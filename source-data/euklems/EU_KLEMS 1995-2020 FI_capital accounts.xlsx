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_ROOT\fingreen-data\source-data\euklems\"/>
    </mc:Choice>
  </mc:AlternateContent>
  <xr:revisionPtr revIDLastSave="0" documentId="8_{C5FD5101-F744-4FE1-ABE1-8BC8CD90A0F3}" xr6:coauthVersionLast="47" xr6:coauthVersionMax="47" xr10:uidLastSave="{00000000-0000-0000-0000-000000000000}"/>
  <bookViews>
    <workbookView xWindow="-108" yWindow="-108" windowWidth="23256" windowHeight="12456" firstSheet="35" activeTab="44" xr2:uid="{00000000-000D-0000-FFFF-FFFF00000000}"/>
  </bookViews>
  <sheets>
    <sheet name="Legend" sheetId="1" r:id="rId1"/>
    <sheet name="I_IT" sheetId="2235" r:id="rId2"/>
    <sheet name="I_CT" sheetId="2236" r:id="rId3"/>
    <sheet name="I_Soft_DB" sheetId="2237" r:id="rId4"/>
    <sheet name="I_TraEq" sheetId="2238" r:id="rId5"/>
    <sheet name="I_OMach" sheetId="2239" r:id="rId6"/>
    <sheet name="I_OCon" sheetId="2240" r:id="rId7"/>
    <sheet name="I_Rstruc" sheetId="2241" r:id="rId8"/>
    <sheet name="I_Cult" sheetId="2242" r:id="rId9"/>
    <sheet name="I_RD" sheetId="2243" r:id="rId10"/>
    <sheet name="I_OIPP" sheetId="2244" r:id="rId11"/>
    <sheet name="I_GFCF" sheetId="2245" r:id="rId12"/>
    <sheet name="Ipyp_IT" sheetId="2246" r:id="rId13"/>
    <sheet name="Ipyp_CT" sheetId="2247" r:id="rId14"/>
    <sheet name="Ipyp_Soft_DB" sheetId="2248" r:id="rId15"/>
    <sheet name="Ipyp_TraEq" sheetId="2249" r:id="rId16"/>
    <sheet name="Ipyp_OMach" sheetId="2250" r:id="rId17"/>
    <sheet name="Ipyp_OCon" sheetId="2251" r:id="rId18"/>
    <sheet name="Ipyp_Rstruc" sheetId="2252" r:id="rId19"/>
    <sheet name="Ipyp_Cult" sheetId="2253" r:id="rId20"/>
    <sheet name="Ipyp_RD" sheetId="2254" r:id="rId21"/>
    <sheet name="Ipyp_OIPP" sheetId="2255" r:id="rId22"/>
    <sheet name="Ipyp_GFCF" sheetId="2256" r:id="rId23"/>
    <sheet name="Ip_IT" sheetId="2257" r:id="rId24"/>
    <sheet name="Ip_CT" sheetId="2258" r:id="rId25"/>
    <sheet name="Ip_Soft_DB" sheetId="2259" r:id="rId26"/>
    <sheet name="Ip_TraEq" sheetId="2260" r:id="rId27"/>
    <sheet name="Ip_OMach" sheetId="2261" r:id="rId28"/>
    <sheet name="Ip_OCon" sheetId="2262" r:id="rId29"/>
    <sheet name="Ip_Rstruc" sheetId="2263" r:id="rId30"/>
    <sheet name="Ip_Cult" sheetId="2264" r:id="rId31"/>
    <sheet name="Ip_RD" sheetId="2265" r:id="rId32"/>
    <sheet name="Ip_OIPP" sheetId="2266" r:id="rId33"/>
    <sheet name="Ip_GFCF" sheetId="2267" r:id="rId34"/>
    <sheet name="K_IT" sheetId="2268" r:id="rId35"/>
    <sheet name="K_CT" sheetId="2269" r:id="rId36"/>
    <sheet name="K_Soft_DB" sheetId="2270" r:id="rId37"/>
    <sheet name="K_TraEq" sheetId="2271" r:id="rId38"/>
    <sheet name="K_OMach" sheetId="2272" r:id="rId39"/>
    <sheet name="K_OCon" sheetId="2273" r:id="rId40"/>
    <sheet name="K_Rstruc" sheetId="2274" r:id="rId41"/>
    <sheet name="K_Cult" sheetId="2275" r:id="rId42"/>
    <sheet name="K_RD" sheetId="2276" r:id="rId43"/>
    <sheet name="K_OIPP" sheetId="2277" r:id="rId44"/>
    <sheet name="K_GFCF" sheetId="2278" r:id="rId45"/>
    <sheet name="Kpyp_IT" sheetId="2279" r:id="rId46"/>
    <sheet name="Kpyp_CT" sheetId="2280" r:id="rId47"/>
    <sheet name="Kpyp_Soft_DB" sheetId="2281" r:id="rId48"/>
    <sheet name="Kpyp_TraEq" sheetId="2282" r:id="rId49"/>
    <sheet name="Kpyp_OMach" sheetId="2283" r:id="rId50"/>
    <sheet name="Kpyp_OCon" sheetId="2284" r:id="rId51"/>
    <sheet name="Kpyp_Rstruc" sheetId="2285" r:id="rId52"/>
    <sheet name="Kpyp_Cult" sheetId="2286" r:id="rId53"/>
    <sheet name="Kpyp_RD" sheetId="2287" r:id="rId54"/>
    <sheet name="Kpyp_OIPP" sheetId="2288" r:id="rId55"/>
    <sheet name="Kpyp_GFCF" sheetId="2289" r:id="rId56"/>
    <sheet name="Iq_IT" sheetId="2290" r:id="rId57"/>
    <sheet name="Iq_CT" sheetId="2291" r:id="rId58"/>
    <sheet name="Iq_Soft_DB" sheetId="2292" r:id="rId59"/>
    <sheet name="Iq_TraEq" sheetId="2293" r:id="rId60"/>
    <sheet name="Iq_OMach" sheetId="2294" r:id="rId61"/>
    <sheet name="Iq_OCon" sheetId="2295" r:id="rId62"/>
    <sheet name="Iq_Rstruc" sheetId="2296" r:id="rId63"/>
    <sheet name="Iq_Cult" sheetId="2297" r:id="rId64"/>
    <sheet name="Iq_RD" sheetId="2298" r:id="rId65"/>
    <sheet name="Iq_OIPP" sheetId="2299" r:id="rId66"/>
    <sheet name="Iq_GFCF" sheetId="2300" r:id="rId67"/>
    <sheet name="Kq_IT" sheetId="2301" r:id="rId68"/>
    <sheet name="Kq_CT" sheetId="2302" r:id="rId69"/>
    <sheet name="Kq_Soft_DB" sheetId="2303" r:id="rId70"/>
    <sheet name="Kq_TraEq" sheetId="2304" r:id="rId71"/>
    <sheet name="Kq_OMach" sheetId="2305" r:id="rId72"/>
    <sheet name="Kq_OCon" sheetId="2306" r:id="rId73"/>
    <sheet name="Kq_Rstruc" sheetId="2307" r:id="rId74"/>
    <sheet name="Kq_Cult" sheetId="2308" r:id="rId75"/>
    <sheet name="Kq_RD" sheetId="2309" r:id="rId76"/>
    <sheet name="Kq_OIPP" sheetId="2310" r:id="rId77"/>
    <sheet name="Kq_GFCF" sheetId="2311" r:id="rId7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" i="1" l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8" i="1"/>
  <c r="A66" i="1"/>
  <c r="A65" i="1"/>
  <c r="A64" i="1"/>
  <c r="A63" i="1"/>
  <c r="A62" i="1"/>
  <c r="A61" i="1"/>
  <c r="A60" i="1"/>
  <c r="A59" i="1"/>
  <c r="A58" i="1"/>
  <c r="A57" i="1"/>
  <c r="A56" i="1"/>
  <c r="A54" i="1"/>
  <c r="A53" i="1"/>
  <c r="A52" i="1"/>
  <c r="A51" i="1"/>
  <c r="A50" i="1"/>
  <c r="A49" i="1"/>
  <c r="A48" i="1"/>
  <c r="A47" i="1"/>
  <c r="A46" i="1"/>
  <c r="A45" i="1"/>
  <c r="A44" i="1"/>
  <c r="A42" i="1"/>
  <c r="A41" i="1"/>
  <c r="A40" i="1"/>
  <c r="A39" i="1"/>
  <c r="A38" i="1"/>
  <c r="A37" i="1"/>
  <c r="A36" i="1"/>
  <c r="A35" i="1"/>
  <c r="A34" i="1"/>
  <c r="A33" i="1"/>
  <c r="A32" i="1"/>
  <c r="A30" i="1"/>
  <c r="A29" i="1"/>
  <c r="A28" i="1"/>
  <c r="A27" i="1"/>
  <c r="A26" i="1"/>
  <c r="A25" i="1"/>
  <c r="A24" i="1"/>
  <c r="A23" i="1"/>
  <c r="A22" i="1"/>
  <c r="A21" i="1"/>
  <c r="A20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<sst xmlns="http://schemas.openxmlformats.org/spreadsheetml/2006/main" count="24821" uniqueCount="314">
  <si>
    <t>FI</t>
  </si>
  <si>
    <t>Capital Accounts</t>
  </si>
  <si>
    <t>Source: Euklems &amp; INTANProd database, 2023 release</t>
  </si>
  <si>
    <t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</si>
  <si>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/>
  </si>
  <si>
    <t>Variable</t>
  </si>
  <si>
    <t>Description</t>
  </si>
  <si>
    <t>GFCF, current prices, millions of national currency</t>
  </si>
  <si>
    <t>Computing equipment</t>
  </si>
  <si>
    <t>Communications equipment</t>
  </si>
  <si>
    <t>Computer software and databases</t>
  </si>
  <si>
    <t>Transport equipment</t>
  </si>
  <si>
    <t>Other Machinery and Equipment</t>
  </si>
  <si>
    <t>Total non-residential investment</t>
  </si>
  <si>
    <t>Residential structures</t>
  </si>
  <si>
    <t>Cultivated assets</t>
  </si>
  <si>
    <t>Research and development</t>
  </si>
  <si>
    <t>Other IPP assets</t>
  </si>
  <si>
    <t>All assets</t>
  </si>
  <si>
    <t>GFCF, previous year prices, millions of national currency</t>
  </si>
  <si>
    <t>Computing equipment previous year prices</t>
  </si>
  <si>
    <t>Communications equipment previous year prices</t>
  </si>
  <si>
    <t>Computer software and databases previous year prices</t>
  </si>
  <si>
    <t>Transport equipment previous year prices</t>
  </si>
  <si>
    <t>Other machinery and equipment previous year prices</t>
  </si>
  <si>
    <t>Total non-residential investment previous year prices</t>
  </si>
  <si>
    <t>Residential structures previous year prices</t>
  </si>
  <si>
    <t>Cultivated assets previous year prices</t>
  </si>
  <si>
    <t>Research and development previous year prices</t>
  </si>
  <si>
    <t>Other IPP assets previous year prices</t>
  </si>
  <si>
    <t>All assets previous year prices</t>
  </si>
  <si>
    <t>GFCF, chained linked volumes (2015), millions of national currency</t>
  </si>
  <si>
    <t>Computing equipment, chained linked volumes (2015)</t>
  </si>
  <si>
    <t>Communications equipment, chained linked volumes (2015)</t>
  </si>
  <si>
    <t>Computer software and databases, chained linked volumes (2015)</t>
  </si>
  <si>
    <t>Transport equipment, chained linked volumes (2015)</t>
  </si>
  <si>
    <t>Other Machinery and Equipment, chained linked volumes (2015)</t>
  </si>
  <si>
    <t>Total non-residential investment, chained linked volumes (2015)</t>
  </si>
  <si>
    <t>Residential structures, chained linked volumes (2015)</t>
  </si>
  <si>
    <t>Cultivated assets, chained linked volumes (2015)</t>
  </si>
  <si>
    <t>Research and development, chained linked volumes (2015)</t>
  </si>
  <si>
    <t>Other IPP assets, chained linked volumes (2015)</t>
  </si>
  <si>
    <t>All assets, chained linked volumes (2015)</t>
  </si>
  <si>
    <t>GFCF, price indexes (2015)</t>
  </si>
  <si>
    <t>Computing equipment price index (2015)</t>
  </si>
  <si>
    <t>Communications equipment price index (2015)</t>
  </si>
  <si>
    <t>Computer software and databases price index (2015)</t>
  </si>
  <si>
    <t>Transport equipment price index (2015)</t>
  </si>
  <si>
    <t>Other machinery and equipment price index (2015)</t>
  </si>
  <si>
    <t>Total non-residential investment price index (2015)</t>
  </si>
  <si>
    <t>Residential structures price index (2015)</t>
  </si>
  <si>
    <t>Cultivated assets price index (2015)</t>
  </si>
  <si>
    <t>Research and development price index (2015)</t>
  </si>
  <si>
    <t>Other IPP assets price index (2015)</t>
  </si>
  <si>
    <t>All assets price index (2015)</t>
  </si>
  <si>
    <t>Capital stock net, current replacement stock, millions of national currency</t>
  </si>
  <si>
    <t>Computing equipment capital stock</t>
  </si>
  <si>
    <t>Communications equipment capital stock</t>
  </si>
  <si>
    <t>Computer software and databases capital stock</t>
  </si>
  <si>
    <t>Transport equipment capital stock</t>
  </si>
  <si>
    <t>Other machinery and equipment capital stock</t>
  </si>
  <si>
    <t>Total non-residential investment capital stock</t>
  </si>
  <si>
    <t>Residential structures capital stock</t>
  </si>
  <si>
    <t>Cultivated assets capital stock</t>
  </si>
  <si>
    <t>Research and development capital stock</t>
  </si>
  <si>
    <t>Other IPP assets capital stock</t>
  </si>
  <si>
    <t>All assets capital stock</t>
  </si>
  <si>
    <t>Capital stock net, previous year replacement stock, millions of national currency</t>
  </si>
  <si>
    <t>Computing equipment capital stock prev. year replac. cost</t>
  </si>
  <si>
    <t>Communications equipment capital stock prev. year replac. cost</t>
  </si>
  <si>
    <t>Computer software and databases capital stock prev. year replac. cost</t>
  </si>
  <si>
    <t>Transport equipment capital stock prev. year replac. cost</t>
  </si>
  <si>
    <t>Other machinery and equipment capital stock prev. year replac. cost</t>
  </si>
  <si>
    <t>Total non-residential investment capital stock prev. year replac. cost</t>
  </si>
  <si>
    <t>Residential structures capital stock prev. year replac. cost</t>
  </si>
  <si>
    <t>Cultivated assets capital stock prev. year replac. cost</t>
  </si>
  <si>
    <t>Research and development capital stock prev. year replac. cost</t>
  </si>
  <si>
    <t>Other IPP assets capital stock prev. year replac. cost</t>
  </si>
  <si>
    <t>All assets capital stock prev. year replac. cost</t>
  </si>
  <si>
    <t>Capital stock net, chained linked volumes (2015), millions of national currency</t>
  </si>
  <si>
    <t>Notes</t>
  </si>
  <si>
    <t>Numbers displayed are in accordance with the industry classification (NACE Rev. 2/ISIC Rev. 4) and the European System of Capital Accounts (ESA 2010).</t>
  </si>
  <si>
    <t>Extracted from Eurostat:		20/01/2023</t>
  </si>
  <si>
    <t>For more information and updates, see: https://euklems-intanprod-llee.luiss.it/</t>
  </si>
  <si>
    <t>Acknowledgements and disclaimer</t>
  </si>
  <si>
    <t>This update of the EUKLEMS &amp; INTANProd database 2023 has been funded by the European Commission:</t>
  </si>
  <si>
    <t>Procurement procedure ECFIN/2020/OP/0001 – Provision of Industry level growth and productivity data with special focus on intangible assets – 2020/S 114-275561</t>
  </si>
  <si>
    <t>Any errors or omissions are entirely the responsibility of the Luiss Lab of European Economics - LLEE</t>
  </si>
  <si>
    <t>For comments and suggestions please send an email to euklems-intanprod@luiss.it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</si>
  <si>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</si>
  <si>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</si>
  <si>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</si>
  <si>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</si>
  <si>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</si>
  <si>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</si>
  <si>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</si>
  <si>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</si>
  <si>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</si>
  <si>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</si>
  <si>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</si>
  <si>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</si>
  <si>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</si>
  <si>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</si>
  <si>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</si>
  <si>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</si>
  <si>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</si>
  <si>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</si>
  <si>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</si>
  <si>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</si>
  <si>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</si>
  <si>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</si>
  <si>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</si>
  <si>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</si>
  <si>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</si>
  <si>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</si>
  <si>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</si>
  <si>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</si>
  <si>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</si>
  <si>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</si>
  <si>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</si>
  <si>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I_IT</t>
  </si>
  <si>
    <t>A</t>
  </si>
  <si>
    <t>Agriculture, forestry and fishing</t>
  </si>
  <si>
    <t>Finland</t>
  </si>
  <si>
    <t>B</t>
  </si>
  <si>
    <t>Mining and quarrying</t>
  </si>
  <si>
    <t>C</t>
  </si>
  <si>
    <t>Manufacturing</t>
  </si>
  <si>
    <t>C10-C12</t>
  </si>
  <si>
    <t>Manufacture of food products; beverages and tobacco products</t>
  </si>
  <si>
    <t>C13-C15</t>
  </si>
  <si>
    <t>Manufacture of textiles, wearing apparel, leather and related products</t>
  </si>
  <si>
    <t>C16-C18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</si>
  <si>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</si>
  <si>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</si>
  <si>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</si>
  <si>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</si>
  <si>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</si>
  <si>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C20-C21</t>
  </si>
  <si>
    <t>Chemicals; basic pharmaceutical products</t>
  </si>
  <si>
    <t>C21</t>
  </si>
  <si>
    <t>Manufacture of basic pharmaceutical products and pharmaceutical preparations</t>
  </si>
  <si>
    <t>C22-C23</t>
  </si>
  <si>
    <t>Manufacture of rubber and plastic products and other non-metallic mineral products</t>
  </si>
  <si>
    <t>C24-C25</t>
  </si>
  <si>
    <t>Manufacture of basic metals and fabricated metal products, except machinery and equipment</t>
  </si>
  <si>
    <t>C26</t>
  </si>
  <si>
    <t>Manufacture of computer, electronic and optical products</t>
  </si>
  <si>
    <t>C26-C27</t>
  </si>
  <si>
    <t>Computer, electronic, optical products; electrical equipment</t>
  </si>
  <si>
    <t>C27</t>
  </si>
  <si>
    <t>Manufacture of electrical equipment</t>
  </si>
  <si>
    <t>C28</t>
  </si>
  <si>
    <t>Manufacture of machinery and equipment n.e.c.</t>
  </si>
  <si>
    <t>C29-C30</t>
  </si>
  <si>
    <t>Manufacture of motor vehicles, trailers, semi-trailers and of other transport equipment</t>
  </si>
  <si>
    <t>C31-C33</t>
  </si>
  <si>
    <t>Manufacture of furniture; jewellery, musical instruments, toys; repair and installation of machinery and equipment</t>
  </si>
  <si>
    <t>D</t>
  </si>
  <si>
    <t>Electricity, gas, steam and air conditioning supply</t>
  </si>
  <si>
    <t>D-E</t>
  </si>
  <si>
    <t>Electricity, gas, steam; water supply, sewerage, waste management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</si>
  <si>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</si>
  <si>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</si>
  <si>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</si>
  <si>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</si>
  <si>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</si>
  <si>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</si>
  <si>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</si>
  <si>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</si>
  <si>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</si>
  <si>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</si>
  <si>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</si>
  <si>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</si>
  <si>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</t>
  </si>
  <si>
    <t>Transportation and storage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</si>
  <si>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</si>
  <si>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</si>
  <si>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</si>
  <si>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</si>
  <si>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</si>
  <si>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</si>
  <si>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</si>
  <si>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</si>
  <si>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</si>
  <si>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</si>
  <si>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</si>
  <si>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</si>
  <si>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</t>
  </si>
  <si>
    <t>Information and communication</t>
  </si>
  <si>
    <t>J58-J60</t>
  </si>
  <si>
    <t>Publishing, motion picture, video, television programme production; sound recording, programming and broadcasting activities</t>
  </si>
  <si>
    <t>J61</t>
  </si>
  <si>
    <t>Telecommunications</t>
  </si>
  <si>
    <t>J62-J63</t>
  </si>
  <si>
    <t>Computer programming, consultancy, and information service activities</t>
  </si>
  <si>
    <t>K</t>
  </si>
  <si>
    <t>Financial and insurance activities</t>
  </si>
  <si>
    <t>L</t>
  </si>
  <si>
    <t>Real estate activities</t>
  </si>
  <si>
    <t>L68A</t>
  </si>
  <si>
    <t>Imputed rents of owner-occupied dwellings</t>
  </si>
  <si>
    <t>M</t>
  </si>
  <si>
    <t>Professional, scientific and technical activities</t>
  </si>
  <si>
    <t>M-N</t>
  </si>
  <si>
    <t>Professional, scientific and technical activities; administrative and support service activities</t>
  </si>
  <si>
    <t>MARKT</t>
  </si>
  <si>
    <t>Market economy (all industries excluding L, O, P, Q, T and U)</t>
  </si>
  <si>
    <t>MARKTxAG</t>
  </si>
  <si>
    <t>Non-agricultural market economy (Market economy less industry A)</t>
  </si>
  <si>
    <t>N</t>
  </si>
  <si>
    <t>Administrative and support service activities</t>
  </si>
  <si>
    <t>O</t>
  </si>
  <si>
    <t>Public administration and defence; compulsory social security</t>
  </si>
  <si>
    <t>O-Q</t>
  </si>
  <si>
    <t>Public administration, defence, education, human health and social work activities</t>
  </si>
  <si>
    <t>P</t>
  </si>
  <si>
    <t>Education</t>
  </si>
  <si>
    <t>Q</t>
  </si>
  <si>
    <t>Human health and social work activities</t>
  </si>
  <si>
    <t>Q86</t>
  </si>
  <si>
    <t>Human health activities</t>
  </si>
  <si>
    <t>Q87-Q88</t>
  </si>
  <si>
    <t>Residential care activities and social work activities without accommodation</t>
  </si>
  <si>
    <t>R</t>
  </si>
  <si>
    <t>Arts, entertainment and recreation</t>
  </si>
  <si>
    <t>R-S</t>
  </si>
  <si>
    <t>Arts, entertainment, recreation; other services and service activities, etc.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</si>
  <si>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</si>
  <si>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</si>
  <si>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</si>
  <si>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</si>
  <si>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TOT</t>
  </si>
  <si>
    <t>Total - all NACE activities</t>
  </si>
  <si>
    <t>TOT_IND</t>
  </si>
  <si>
    <t>Total industries (A-S)</t>
  </si>
  <si>
    <t>U</t>
  </si>
  <si>
    <t>Activities of extraterritorial organisations and bodies</t>
  </si>
  <si>
    <t>I_CT</t>
  </si>
  <si>
    <t>I_Soft_DB</t>
  </si>
  <si>
    <t>I_TraEq</t>
  </si>
  <si>
    <t>I_OMach</t>
  </si>
  <si>
    <t>I_OCon</t>
  </si>
  <si>
    <t>I_Rstruc</t>
  </si>
  <si>
    <t>I_Cult</t>
  </si>
  <si>
    <t>I_RD</t>
  </si>
  <si>
    <t>I_OIPP</t>
  </si>
  <si>
    <t>I_GFCF</t>
  </si>
  <si>
    <t>Ipyp_IT</t>
  </si>
  <si>
    <t>Ipyp_CT</t>
  </si>
  <si>
    <t>Ipyp_Soft_DB</t>
  </si>
  <si>
    <t>Ipyp_TraEq</t>
  </si>
  <si>
    <t>Ipyp_OMach</t>
  </si>
  <si>
    <t>Ipyp_OCon</t>
  </si>
  <si>
    <t>Ipyp_Rstruc</t>
  </si>
  <si>
    <t>Ipyp_Cult</t>
  </si>
  <si>
    <t>Ipyp_RD</t>
  </si>
  <si>
    <t>Ipyp_OIPP</t>
  </si>
  <si>
    <t>Ipyp_GFCF</t>
  </si>
  <si>
    <t>Ip_IT</t>
  </si>
  <si>
    <t>Ip_CT</t>
  </si>
  <si>
    <t>Ip_Soft_DB</t>
  </si>
  <si>
    <t>Ip_TraEq</t>
  </si>
  <si>
    <t>Ip_OMach</t>
  </si>
  <si>
    <t>Ip_OCon</t>
  </si>
  <si>
    <t>Ip_Rstruc</t>
  </si>
  <si>
    <t>Ip_Cult</t>
  </si>
  <si>
    <t>Ip_RD</t>
  </si>
  <si>
    <t>Ip_OIPP</t>
  </si>
  <si>
    <t>Ip_GFCF</t>
  </si>
  <si>
    <t>K_IT</t>
  </si>
  <si>
    <t>K_CT</t>
  </si>
  <si>
    <t>K_Soft_DB</t>
  </si>
  <si>
    <t>K_TraEq</t>
  </si>
  <si>
    <t>K_OMach</t>
  </si>
  <si>
    <t>K_OCon</t>
  </si>
  <si>
    <t>K_Rstruc</t>
  </si>
  <si>
    <t>K_Cult</t>
  </si>
  <si>
    <t>K_RD</t>
  </si>
  <si>
    <t>K_OIPP</t>
  </si>
  <si>
    <t>K_GFCF</t>
  </si>
  <si>
    <t>Kpyp_IT</t>
  </si>
  <si>
    <t>Kpyp_CT</t>
  </si>
  <si>
    <t>Kpyp_Soft_DB</t>
  </si>
  <si>
    <t>Kpyp_TraEq</t>
  </si>
  <si>
    <t>Kpyp_OMach</t>
  </si>
  <si>
    <t>Kpyp_OCon</t>
  </si>
  <si>
    <t>Kpyp_Rstruc</t>
  </si>
  <si>
    <t>Kpyp_Cult</t>
  </si>
  <si>
    <t>Kpyp_RD</t>
  </si>
  <si>
    <t>Kpyp_OIPP</t>
  </si>
  <si>
    <t>Kpyp_GFCF</t>
  </si>
  <si>
    <t>Iq_IT</t>
  </si>
  <si>
    <t>Iq_CT</t>
  </si>
  <si>
    <t>Iq_Soft_DB</t>
  </si>
  <si>
    <t>Iq_TraEq</t>
  </si>
  <si>
    <t>Iq_OMach</t>
  </si>
  <si>
    <t>Iq_OCon</t>
  </si>
  <si>
    <t>Iq_Rstruc</t>
  </si>
  <si>
    <t>Iq_Cult</t>
  </si>
  <si>
    <t>Iq_RD</t>
  </si>
  <si>
    <t>Iq_OIPP</t>
  </si>
  <si>
    <t>Iq_GFCF</t>
  </si>
  <si>
    <t>Kq_IT</t>
  </si>
  <si>
    <t>Kq_CT</t>
  </si>
  <si>
    <t>Kq_Soft_DB</t>
  </si>
  <si>
    <t>Kq_TraEq</t>
  </si>
  <si>
    <t>Kq_OMach</t>
  </si>
  <si>
    <t>Kq_OCon</t>
  </si>
  <si>
    <t>Kq_Rstruc</t>
  </si>
  <si>
    <t>Kq_Cult</t>
  </si>
  <si>
    <t>Kq_RD</t>
  </si>
  <si>
    <t>Kq_OIPP</t>
  </si>
  <si>
    <t>Kq_GFCF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</si>
</sst>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4"/>
      <color rgb="FFFFFFFF"/>
      <name val="Calibri"/>
    </font>
    <font>
      <b/>
      <sz val="14"/>
      <color rgb="FF000000"/>
      <name val="Calibri"/>
    </font>
    <font>
      <sz val="8"/>
      <color rgb="FF00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"/>
  <sheetViews>
    <sheetView topLeftCell="A53" workbookViewId="0">
      <selection activeCell="A66" sqref="A66"/>
    </sheetView>
  </sheetViews>
  <sheetFormatPr defaultColWidth="11.5546875" defaultRowHeight="14.4" x14ac:dyDescent="0.3"/>
  <sheetData>
    <row r="1" spans="1:25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t="s">
        <v>2</v>
      </c>
    </row>
    <row r="4" spans="1:25" ht="18" x14ac:dyDescent="0.3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t="s">
        <v>4</v>
      </c>
    </row>
    <row r="6" spans="1:25" ht="18" x14ac:dyDescent="0.35">
      <c r="A6" s="1" t="s">
        <v>5</v>
      </c>
      <c r="B6" s="1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35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4" t="str">
        <f>HYPERLINK("#'I_IT'!A1", "I_IT")</f>
        <v>I_IT</v>
      </c>
      <c r="B8" t="s">
        <v>8</v>
      </c>
    </row>
    <row r="9" spans="1:25" x14ac:dyDescent="0.3">
      <c r="A9" s="4" t="str">
        <f>HYPERLINK("#'I_CT'!A1", "I_CT")</f>
        <v>I_CT</v>
      </c>
      <c r="B9" t="s">
        <v>9</v>
      </c>
    </row>
    <row r="10" spans="1:25" x14ac:dyDescent="0.3">
      <c r="A10" s="4" t="str">
        <f>HYPERLINK("#'I_Soft_DB'!A1", "I_Soft_DB")</f>
        <v>I_Soft_DB</v>
      </c>
      <c r="B10" t="s">
        <v>10</v>
      </c>
    </row>
    <row r="11" spans="1:25" x14ac:dyDescent="0.3">
      <c r="A11" s="4" t="str">
        <f>HYPERLINK("#'I_TraEq'!A1", "I_TraEq")</f>
        <v>I_TraEq</v>
      </c>
      <c r="B11" t="s">
        <v>11</v>
      </c>
    </row>
    <row r="12" spans="1:25" x14ac:dyDescent="0.3">
      <c r="A12" s="4" t="str">
        <f>HYPERLINK("#'I_OMach'!A1", "I_OMach")</f>
        <v>I_OMach</v>
      </c>
      <c r="B12" t="s">
        <v>12</v>
      </c>
    </row>
    <row r="13" spans="1:25" x14ac:dyDescent="0.3">
      <c r="A13" s="4" t="str">
        <f>HYPERLINK("#'I_OCon'!A1", "I_OCon")</f>
        <v>I_OCon</v>
      </c>
      <c r="B13" t="s">
        <v>13</v>
      </c>
    </row>
    <row r="14" spans="1:25" x14ac:dyDescent="0.3">
      <c r="A14" s="4" t="str">
        <f>HYPERLINK("#'I_Rstruc'!A1", "I_Rstruc")</f>
        <v>I_Rstruc</v>
      </c>
      <c r="B14" t="s">
        <v>14</v>
      </c>
    </row>
    <row r="15" spans="1:25" x14ac:dyDescent="0.3">
      <c r="A15" s="4" t="str">
        <f>HYPERLINK("#'I_Cult'!A1", "I_Cult")</f>
        <v>I_Cult</v>
      </c>
      <c r="B15" t="s">
        <v>15</v>
      </c>
    </row>
    <row r="16" spans="1:25" x14ac:dyDescent="0.3">
      <c r="A16" s="4" t="str">
        <f>HYPERLINK("#'I_RD'!A1", "I_RD")</f>
        <v>I_RD</v>
      </c>
      <c r="B16" t="s">
        <v>16</v>
      </c>
    </row>
    <row r="17" spans="1:25" x14ac:dyDescent="0.3">
      <c r="A17" s="4" t="str">
        <f>HYPERLINK("#'I_OIPP'!A1", "I_OIPP")</f>
        <v>I_OIPP</v>
      </c>
      <c r="B17" t="s">
        <v>17</v>
      </c>
    </row>
    <row r="18" spans="1:25" x14ac:dyDescent="0.3">
      <c r="A18" s="4" t="str">
        <f>HYPERLINK("#'I_GFCF'!A1", "I_GFCF")</f>
        <v>I_GFCF</v>
      </c>
      <c r="B18" t="s">
        <v>18</v>
      </c>
    </row>
    <row r="19" spans="1:25" ht="18" x14ac:dyDescent="0.35">
      <c r="A19" s="2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">
      <c r="A20" s="4" t="str">
        <f>HYPERLINK("#'Ipyp_IT'!A1", "Ipyp_IT")</f>
        <v>Ipyp_IT</v>
      </c>
      <c r="B20" t="s">
        <v>20</v>
      </c>
    </row>
    <row r="21" spans="1:25" x14ac:dyDescent="0.3">
      <c r="A21" s="4" t="str">
        <f>HYPERLINK("#'Ipyp_CT'!A1", "Ipyp_CT")</f>
        <v>Ipyp_CT</v>
      </c>
      <c r="B21" t="s">
        <v>21</v>
      </c>
    </row>
    <row r="22" spans="1:25" x14ac:dyDescent="0.3">
      <c r="A22" s="4" t="str">
        <f>HYPERLINK("#'Ipyp_Soft_DB'!A1", "Ipyp_Soft_DB")</f>
        <v>Ipyp_Soft_DB</v>
      </c>
      <c r="B22" t="s">
        <v>22</v>
      </c>
    </row>
    <row r="23" spans="1:25" x14ac:dyDescent="0.3">
      <c r="A23" s="4" t="str">
        <f>HYPERLINK("#'Ipyp_TraEq'!A1", "Ipyp_TraEq")</f>
        <v>Ipyp_TraEq</v>
      </c>
      <c r="B23" t="s">
        <v>23</v>
      </c>
    </row>
    <row r="24" spans="1:25" x14ac:dyDescent="0.3">
      <c r="A24" s="4" t="str">
        <f>HYPERLINK("#'Ipyp_OMach'!A1", "Ipyp_OMach")</f>
        <v>Ipyp_OMach</v>
      </c>
      <c r="B24" t="s">
        <v>24</v>
      </c>
    </row>
    <row r="25" spans="1:25" x14ac:dyDescent="0.3">
      <c r="A25" s="4" t="str">
        <f>HYPERLINK("#'Ipyp_OCon'!A1", "Ipyp_OCon")</f>
        <v>Ipyp_OCon</v>
      </c>
      <c r="B25" t="s">
        <v>25</v>
      </c>
    </row>
    <row r="26" spans="1:25" x14ac:dyDescent="0.3">
      <c r="A26" s="4" t="str">
        <f>HYPERLINK("#'Ipyp_Rstruc'!A1", "Ipyp_Rstruc")</f>
        <v>Ipyp_Rstruc</v>
      </c>
      <c r="B26" t="s">
        <v>26</v>
      </c>
    </row>
    <row r="27" spans="1:25" x14ac:dyDescent="0.3">
      <c r="A27" s="4" t="str">
        <f>HYPERLINK("#'Ipyp_Cult'!A1", "Ipyp_Cult")</f>
        <v>Ipyp_Cult</v>
      </c>
      <c r="B27" t="s">
        <v>27</v>
      </c>
    </row>
    <row r="28" spans="1:25" x14ac:dyDescent="0.3">
      <c r="A28" s="4" t="str">
        <f>HYPERLINK("#'Ipyp_RD'!A1", "Ipyp_RD")</f>
        <v>Ipyp_RD</v>
      </c>
      <c r="B28" t="s">
        <v>28</v>
      </c>
    </row>
    <row r="29" spans="1:25" x14ac:dyDescent="0.3">
      <c r="A29" s="4" t="str">
        <f>HYPERLINK("#'Ipyp_OIPP'!A1", "Ipyp_OIPP")</f>
        <v>Ipyp_OIPP</v>
      </c>
      <c r="B29" t="s">
        <v>29</v>
      </c>
    </row>
    <row r="30" spans="1:25" x14ac:dyDescent="0.3">
      <c r="A30" s="4" t="str">
        <f>HYPERLINK("#'Ipyp_GFCF'!A1", "Ipyp_GFCF")</f>
        <v>Ipyp_GFCF</v>
      </c>
      <c r="B30" t="s">
        <v>30</v>
      </c>
    </row>
    <row r="31" spans="1:25" ht="18" x14ac:dyDescent="0.35">
      <c r="A31" s="2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">
      <c r="A32" s="4" t="str">
        <f>HYPERLINK("#'Iq_IT'!A1", "Iq_IT")</f>
        <v>Iq_IT</v>
      </c>
      <c r="B32" t="s">
        <v>32</v>
      </c>
    </row>
    <row r="33" spans="1:25" x14ac:dyDescent="0.3">
      <c r="A33" s="4" t="str">
        <f>HYPERLINK("#'Iq_CT'!A1", "Iq_CT")</f>
        <v>Iq_CT</v>
      </c>
      <c r="B33" t="s">
        <v>33</v>
      </c>
    </row>
    <row r="34" spans="1:25" x14ac:dyDescent="0.3">
      <c r="A34" s="4" t="str">
        <f>HYPERLINK("#'Iq_Soft_DB'!A1", "Iq_Soft_DB")</f>
        <v>Iq_Soft_DB</v>
      </c>
      <c r="B34" t="s">
        <v>34</v>
      </c>
    </row>
    <row r="35" spans="1:25" x14ac:dyDescent="0.3">
      <c r="A35" s="4" t="str">
        <f>HYPERLINK("#'Iq_TraEq'!A1", "Iq_TraEq")</f>
        <v>Iq_TraEq</v>
      </c>
      <c r="B35" t="s">
        <v>35</v>
      </c>
    </row>
    <row r="36" spans="1:25" x14ac:dyDescent="0.3">
      <c r="A36" s="4" t="str">
        <f>HYPERLINK("#'Iq_OMach'!A1", "Iq_OMach")</f>
        <v>Iq_OMach</v>
      </c>
      <c r="B36" t="s">
        <v>36</v>
      </c>
    </row>
    <row r="37" spans="1:25" x14ac:dyDescent="0.3">
      <c r="A37" s="4" t="str">
        <f>HYPERLINK("#'Iq_OCon'!A1", "Iq_OCon")</f>
        <v>Iq_OCon</v>
      </c>
      <c r="B37" t="s">
        <v>37</v>
      </c>
    </row>
    <row r="38" spans="1:25" x14ac:dyDescent="0.3">
      <c r="A38" s="4" t="str">
        <f>HYPERLINK("#'Iq_Rstruc'!A1", "Iq_Rstruc")</f>
        <v>Iq_Rstruc</v>
      </c>
      <c r="B38" t="s">
        <v>38</v>
      </c>
    </row>
    <row r="39" spans="1:25" x14ac:dyDescent="0.3">
      <c r="A39" s="4" t="str">
        <f>HYPERLINK("#'Iq_Cult'!A1", "Iq_Cult")</f>
        <v>Iq_Cult</v>
      </c>
      <c r="B39" t="s">
        <v>39</v>
      </c>
    </row>
    <row r="40" spans="1:25" x14ac:dyDescent="0.3">
      <c r="A40" s="4" t="str">
        <f>HYPERLINK("#'Iq_RD'!A1", "Iq_RD")</f>
        <v>Iq_RD</v>
      </c>
      <c r="B40" t="s">
        <v>40</v>
      </c>
    </row>
    <row r="41" spans="1:25" x14ac:dyDescent="0.3">
      <c r="A41" s="4" t="str">
        <f>HYPERLINK("#'Iq_OIPP'!A1", "Iq_OIPP")</f>
        <v>Iq_OIPP</v>
      </c>
      <c r="B41" t="s">
        <v>41</v>
      </c>
    </row>
    <row r="42" spans="1:25" x14ac:dyDescent="0.3">
      <c r="A42" s="4" t="str">
        <f>HYPERLINK("#'Iq_GFCF'!A1", "Iq_GFCF")</f>
        <v>Iq_GFCF</v>
      </c>
      <c r="B42" t="s">
        <v>42</v>
      </c>
    </row>
    <row r="43" spans="1:25" ht="18" x14ac:dyDescent="0.35">
      <c r="A43" s="2" t="s">
        <v>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4" t="str">
        <f>HYPERLINK("#'Ip_IT'!A1", "Ip_IT")</f>
        <v>Ip_IT</v>
      </c>
      <c r="B44" t="s">
        <v>44</v>
      </c>
    </row>
    <row r="45" spans="1:25" x14ac:dyDescent="0.3">
      <c r="A45" s="4" t="str">
        <f>HYPERLINK("#'Ip_CT'!A1", "Ip_CT")</f>
        <v>Ip_CT</v>
      </c>
      <c r="B45" t="s">
        <v>45</v>
      </c>
    </row>
    <row r="46" spans="1:25" x14ac:dyDescent="0.3">
      <c r="A46" s="4" t="str">
        <f>HYPERLINK("#'Ip_Soft_DB'!A1", "Ip_Soft_DB")</f>
        <v>Ip_Soft_DB</v>
      </c>
      <c r="B46" t="s">
        <v>46</v>
      </c>
    </row>
    <row r="47" spans="1:25" x14ac:dyDescent="0.3">
      <c r="A47" s="4" t="str">
        <f>HYPERLINK("#'Ip_TraEq'!A1", "Ip_TraEq")</f>
        <v>Ip_TraEq</v>
      </c>
      <c r="B47" t="s">
        <v>47</v>
      </c>
    </row>
    <row r="48" spans="1:25" x14ac:dyDescent="0.3">
      <c r="A48" s="4" t="str">
        <f>HYPERLINK("#'Ip_OMach'!A1", "Ip_OMach")</f>
        <v>Ip_OMach</v>
      </c>
      <c r="B48" t="s">
        <v>48</v>
      </c>
    </row>
    <row r="49" spans="1:25" x14ac:dyDescent="0.3">
      <c r="A49" s="4" t="str">
        <f>HYPERLINK("#'Ip_OCon'!A1", "Ip_OCon")</f>
        <v>Ip_OCon</v>
      </c>
      <c r="B49" t="s">
        <v>49</v>
      </c>
    </row>
    <row r="50" spans="1:25" x14ac:dyDescent="0.3">
      <c r="A50" s="4" t="str">
        <f>HYPERLINK("#'Ip_Rstruc'!A1", "Ip_Rstruc")</f>
        <v>Ip_Rstruc</v>
      </c>
      <c r="B50" t="s">
        <v>50</v>
      </c>
    </row>
    <row r="51" spans="1:25" x14ac:dyDescent="0.3">
      <c r="A51" s="4" t="str">
        <f>HYPERLINK("#'Ip_Cult'!A1", "Ip_Cult")</f>
        <v>Ip_Cult</v>
      </c>
      <c r="B51" t="s">
        <v>51</v>
      </c>
    </row>
    <row r="52" spans="1:25" x14ac:dyDescent="0.3">
      <c r="A52" s="4" t="str">
        <f>HYPERLINK("#'Ip_RD'!A1", "Ip_RD")</f>
        <v>Ip_RD</v>
      </c>
      <c r="B52" t="s">
        <v>52</v>
      </c>
    </row>
    <row r="53" spans="1:25" x14ac:dyDescent="0.3">
      <c r="A53" s="4" t="str">
        <f>HYPERLINK("#'Ip_OIPP'!A1", "Ip_OIPP")</f>
        <v>Ip_OIPP</v>
      </c>
      <c r="B53" t="s">
        <v>53</v>
      </c>
    </row>
    <row r="54" spans="1:25" x14ac:dyDescent="0.3">
      <c r="A54" s="4" t="str">
        <f>HYPERLINK("#'Ip_GFCF'!A1", "Ip_GFCF")</f>
        <v>Ip_GFCF</v>
      </c>
      <c r="B54" t="s">
        <v>54</v>
      </c>
    </row>
    <row r="55" spans="1:25" ht="18" x14ac:dyDescent="0.35">
      <c r="A55" s="2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">
      <c r="A56" s="4" t="str">
        <f>HYPERLINK("#'K_IT'!A1", "K_IT")</f>
        <v>K_IT</v>
      </c>
      <c r="B56" t="s">
        <v>56</v>
      </c>
    </row>
    <row r="57" spans="1:25" x14ac:dyDescent="0.3">
      <c r="A57" s="4" t="str">
        <f>HYPERLINK("#'K_CT'!A1", "K_CT")</f>
        <v>K_CT</v>
      </c>
      <c r="B57" t="s">
        <v>57</v>
      </c>
    </row>
    <row r="58" spans="1:25" x14ac:dyDescent="0.3">
      <c r="A58" s="4" t="str">
        <f>HYPERLINK("#'K_Soft_DB'!A1", "K_Soft_DB")</f>
        <v>K_Soft_DB</v>
      </c>
      <c r="B58" t="s">
        <v>58</v>
      </c>
    </row>
    <row r="59" spans="1:25" x14ac:dyDescent="0.3">
      <c r="A59" s="4" t="str">
        <f>HYPERLINK("#'K_TraEq'!A1", "K_TraEq")</f>
        <v>K_TraEq</v>
      </c>
      <c r="B59" t="s">
        <v>59</v>
      </c>
    </row>
    <row r="60" spans="1:25" x14ac:dyDescent="0.3">
      <c r="A60" s="4" t="str">
        <f>HYPERLINK("#'K_OMach'!A1", "K_OMach")</f>
        <v>K_OMach</v>
      </c>
      <c r="B60" t="s">
        <v>60</v>
      </c>
    </row>
    <row r="61" spans="1:25" x14ac:dyDescent="0.3">
      <c r="A61" s="4" t="str">
        <f>HYPERLINK("#'K_OCon'!A1", "K_OCon")</f>
        <v>K_OCon</v>
      </c>
      <c r="B61" t="s">
        <v>61</v>
      </c>
    </row>
    <row r="62" spans="1:25" x14ac:dyDescent="0.3">
      <c r="A62" s="4" t="str">
        <f>HYPERLINK("#'K_Rstruc'!A1", "K_Rstruc")</f>
        <v>K_Rstruc</v>
      </c>
      <c r="B62" t="s">
        <v>62</v>
      </c>
    </row>
    <row r="63" spans="1:25" x14ac:dyDescent="0.3">
      <c r="A63" s="4" t="str">
        <f>HYPERLINK("#'K_Cult'!A1", "K_Cult")</f>
        <v>K_Cult</v>
      </c>
      <c r="B63" t="s">
        <v>63</v>
      </c>
    </row>
    <row r="64" spans="1:25" x14ac:dyDescent="0.3">
      <c r="A64" s="4" t="str">
        <f>HYPERLINK("#'K_RD'!A1", "K_RD")</f>
        <v>K_RD</v>
      </c>
      <c r="B64" t="s">
        <v>64</v>
      </c>
    </row>
    <row r="65" spans="1:25" x14ac:dyDescent="0.3">
      <c r="A65" s="4" t="str">
        <f>HYPERLINK("#'K_OIPP'!A1", "K_OIPP")</f>
        <v>K_OIPP</v>
      </c>
      <c r="B65" t="s">
        <v>65</v>
      </c>
    </row>
    <row r="66" spans="1:25" x14ac:dyDescent="0.3">
      <c r="A66" s="4" t="str">
        <f>HYPERLINK("#'K_GFCF'!A1", "K_GFCF")</f>
        <v>K_GFCF</v>
      </c>
      <c r="B66" t="s">
        <v>66</v>
      </c>
    </row>
    <row r="67" spans="1:25" ht="18" x14ac:dyDescent="0.35">
      <c r="A67" s="2" t="s">
        <v>67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">
      <c r="A68" s="4" t="str">
        <f>HYPERLINK("#'Kpyp_IT'!A1", "Kpyp_IT")</f>
        <v>Kpyp_IT</v>
      </c>
      <c r="B68" t="s">
        <v>68</v>
      </c>
    </row>
    <row r="69" spans="1:25" x14ac:dyDescent="0.3">
      <c r="A69" s="4" t="str">
        <f>HYPERLINK("#'Kpyp_CT'!A1", "Kpyp_CT")</f>
        <v>Kpyp_CT</v>
      </c>
      <c r="B69" t="s">
        <v>69</v>
      </c>
    </row>
    <row r="70" spans="1:25" x14ac:dyDescent="0.3">
      <c r="A70" s="4" t="str">
        <f>HYPERLINK("#'Kpyp_Soft_DB'!A1", "Kpyp_Soft_DB")</f>
        <v>Kpyp_Soft_DB</v>
      </c>
      <c r="B70" t="s">
        <v>70</v>
      </c>
    </row>
    <row r="71" spans="1:25" x14ac:dyDescent="0.3">
      <c r="A71" s="4" t="str">
        <f>HYPERLINK("#'Kpyp_TraEq'!A1", "Kpyp_TraEq")</f>
        <v>Kpyp_TraEq</v>
      </c>
      <c r="B71" t="s">
        <v>71</v>
      </c>
    </row>
    <row r="72" spans="1:25" x14ac:dyDescent="0.3">
      <c r="A72" s="4" t="str">
        <f>HYPERLINK("#'Kpyp_OMach'!A1", "Kpyp_OMach")</f>
        <v>Kpyp_OMach</v>
      </c>
      <c r="B72" t="s">
        <v>72</v>
      </c>
    </row>
    <row r="73" spans="1:25" x14ac:dyDescent="0.3">
      <c r="A73" s="4" t="str">
        <f>HYPERLINK("#'Kpyp_OCon'!A1", "Kpyp_OCon")</f>
        <v>Kpyp_OCon</v>
      </c>
      <c r="B73" t="s">
        <v>73</v>
      </c>
    </row>
    <row r="74" spans="1:25" x14ac:dyDescent="0.3">
      <c r="A74" s="4" t="str">
        <f>HYPERLINK("#'Kpyp_Rstruc'!A1", "Kpyp_Rstruc")</f>
        <v>Kpyp_Rstruc</v>
      </c>
      <c r="B74" t="s">
        <v>74</v>
      </c>
    </row>
    <row r="75" spans="1:25" x14ac:dyDescent="0.3">
      <c r="A75" s="4" t="str">
        <f>HYPERLINK("#'Kpyp_Cult'!A1", "Kpyp_Cult")</f>
        <v>Kpyp_Cult</v>
      </c>
      <c r="B75" t="s">
        <v>75</v>
      </c>
    </row>
    <row r="76" spans="1:25" x14ac:dyDescent="0.3">
      <c r="A76" s="4" t="str">
        <f>HYPERLINK("#'Kpyp_RD'!A1", "Kpyp_RD")</f>
        <v>Kpyp_RD</v>
      </c>
      <c r="B76" t="s">
        <v>76</v>
      </c>
    </row>
    <row r="77" spans="1:25" x14ac:dyDescent="0.3">
      <c r="A77" s="4" t="str">
        <f>HYPERLINK("#'Kpyp_OIPP'!A1", "Kpyp_OIPP")</f>
        <v>Kpyp_OIPP</v>
      </c>
      <c r="B77" t="s">
        <v>77</v>
      </c>
    </row>
    <row r="78" spans="1:25" x14ac:dyDescent="0.3">
      <c r="A78" s="4" t="str">
        <f>HYPERLINK("#'Kpyp_GFCF'!A1", "Kpyp_GFCF")</f>
        <v>Kpyp_GFCF</v>
      </c>
      <c r="B78" t="s">
        <v>78</v>
      </c>
    </row>
    <row r="79" spans="1:25" ht="18" x14ac:dyDescent="0.35">
      <c r="A79" s="2" t="s">
        <v>79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">
      <c r="A80" s="4" t="str">
        <f>HYPERLINK("#'Kq_IT'!A1", "Kq_IT")</f>
        <v>Kq_IT</v>
      </c>
      <c r="B80" t="s">
        <v>32</v>
      </c>
    </row>
    <row r="81" spans="1:25" x14ac:dyDescent="0.3">
      <c r="A81" s="4" t="str">
        <f>HYPERLINK("#'Kq_CT'!A1", "Kq_CT")</f>
        <v>Kq_CT</v>
      </c>
      <c r="B81" t="s">
        <v>33</v>
      </c>
    </row>
    <row r="82" spans="1:25" x14ac:dyDescent="0.3">
      <c r="A82" s="4" t="str">
        <f>HYPERLINK("#'Kq_Soft_DB'!A1", "Kq_Soft_DB")</f>
        <v>Kq_Soft_DB</v>
      </c>
      <c r="B82" t="s">
        <v>34</v>
      </c>
    </row>
    <row r="83" spans="1:25" x14ac:dyDescent="0.3">
      <c r="A83" s="4" t="str">
        <f>HYPERLINK("#'Kq_TraEq'!A1", "Kq_TraEq")</f>
        <v>Kq_TraEq</v>
      </c>
      <c r="B83" t="s">
        <v>35</v>
      </c>
    </row>
    <row r="84" spans="1:25" x14ac:dyDescent="0.3">
      <c r="A84" s="4" t="str">
        <f>HYPERLINK("#'Kq_OMach'!A1", "Kq_OMach")</f>
        <v>Kq_OMach</v>
      </c>
      <c r="B84" t="s">
        <v>36</v>
      </c>
    </row>
    <row r="85" spans="1:25" x14ac:dyDescent="0.3">
      <c r="A85" s="4" t="str">
        <f>HYPERLINK("#'Kq_OCon'!A1", "Kq_OCon")</f>
        <v>Kq_OCon</v>
      </c>
      <c r="B85" t="s">
        <v>37</v>
      </c>
    </row>
    <row r="86" spans="1:25" x14ac:dyDescent="0.3">
      <c r="A86" s="4" t="str">
        <f>HYPERLINK("#'Kq_Rstruc'!A1", "Kq_Rstruc")</f>
        <v>Kq_Rstruc</v>
      </c>
      <c r="B86" t="s">
        <v>38</v>
      </c>
    </row>
    <row r="87" spans="1:25" x14ac:dyDescent="0.3">
      <c r="A87" s="4" t="str">
        <f>HYPERLINK("#'Kq_Cult'!A1", "Kq_Cult")</f>
        <v>Kq_Cult</v>
      </c>
      <c r="B87" t="s">
        <v>39</v>
      </c>
    </row>
    <row r="88" spans="1:25" x14ac:dyDescent="0.3">
      <c r="A88" s="4" t="str">
        <f>HYPERLINK("#'Kq_RD'!A1", "Kq_RD")</f>
        <v>Kq_RD</v>
      </c>
      <c r="B88" t="s">
        <v>40</v>
      </c>
    </row>
    <row r="89" spans="1:25" x14ac:dyDescent="0.3">
      <c r="A89" s="4" t="str">
        <f>HYPERLINK("#'Kq_OIPP'!A1", "Kq_OIPP")</f>
        <v>Kq_OIPP</v>
      </c>
      <c r="B89" t="s">
        <v>41</v>
      </c>
    </row>
    <row r="90" spans="1:25" x14ac:dyDescent="0.3">
      <c r="A90" s="4" t="str">
        <f>HYPERLINK("#'Kq_GFCF'!A1", "Kq_GFCF")</f>
        <v>Kq_GFCF</v>
      </c>
      <c r="B90" t="s">
        <v>42</v>
      </c>
    </row>
    <row r="91" spans="1:25" x14ac:dyDescent="0.3">
      <c r="A91" t="s">
        <v>4</v>
      </c>
    </row>
    <row r="92" spans="1:25" x14ac:dyDescent="0.3">
      <c r="A92" t="s">
        <v>4</v>
      </c>
    </row>
    <row r="93" spans="1:25" ht="18" x14ac:dyDescent="0.35">
      <c r="A93" s="1" t="s">
        <v>80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3" t="s">
        <v>81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 t="s">
        <v>82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 t="s">
        <v>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8" x14ac:dyDescent="0.35">
      <c r="A97" s="1" t="s">
        <v>83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t="s">
        <v>4</v>
      </c>
    </row>
    <row r="99" spans="1:25" ht="18" x14ac:dyDescent="0.35">
      <c r="A99" s="1" t="s">
        <v>84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3" t="s">
        <v>85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 t="s">
        <v>86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 t="s">
        <v>87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 t="s">
        <v>88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120</v>
      </c>
      <c r="B2" t="s">
        <v>121</v>
      </c>
      <c r="C2" t="s">
        <v>0</v>
      </c>
      <c r="D2" t="s">
        <v>122</v>
      </c>
      <c r="E2" t="s">
        <v>123</v>
      </c>
      <c r="F2">
        <v>46</v>
      </c>
      <c r="G2">
        <v>22</v>
      </c>
      <c r="H2">
        <v>23</v>
      </c>
      <c r="I2">
        <v>29</v>
      </c>
      <c r="J2">
        <v>28</v>
      </c>
      <c r="K2">
        <v>19</v>
      </c>
      <c r="L2">
        <v>8</v>
      </c>
      <c r="M2">
        <v>10</v>
      </c>
      <c r="N2">
        <v>12</v>
      </c>
      <c r="O2">
        <v>15</v>
      </c>
      <c r="P2">
        <v>14</v>
      </c>
      <c r="Q2">
        <v>13</v>
      </c>
      <c r="R2">
        <v>13</v>
      </c>
      <c r="S2">
        <v>13</v>
      </c>
      <c r="T2">
        <v>13</v>
      </c>
      <c r="U2">
        <v>16</v>
      </c>
      <c r="V2">
        <v>14</v>
      </c>
      <c r="W2">
        <v>14</v>
      </c>
      <c r="X2">
        <v>14</v>
      </c>
      <c r="Y2">
        <v>14</v>
      </c>
      <c r="Z2">
        <v>14</v>
      </c>
      <c r="AA2">
        <v>14</v>
      </c>
      <c r="AB2">
        <v>14</v>
      </c>
      <c r="AC2">
        <v>11</v>
      </c>
      <c r="AD2">
        <v>10</v>
      </c>
      <c r="AE2">
        <v>8</v>
      </c>
    </row>
    <row r="3" spans="1:31" x14ac:dyDescent="0.3">
      <c r="A3" t="s">
        <v>120</v>
      </c>
      <c r="B3" t="s">
        <v>124</v>
      </c>
      <c r="C3" t="s">
        <v>0</v>
      </c>
      <c r="D3" t="s">
        <v>125</v>
      </c>
      <c r="E3" t="s">
        <v>123</v>
      </c>
      <c r="F3">
        <v>3</v>
      </c>
      <c r="G3">
        <v>2</v>
      </c>
      <c r="H3">
        <v>1</v>
      </c>
      <c r="I3">
        <v>2</v>
      </c>
      <c r="J3">
        <v>2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0</v>
      </c>
      <c r="S3">
        <v>2</v>
      </c>
      <c r="T3">
        <v>1</v>
      </c>
      <c r="U3">
        <v>1</v>
      </c>
      <c r="V3">
        <v>1</v>
      </c>
      <c r="W3">
        <v>4</v>
      </c>
      <c r="X3">
        <v>6</v>
      </c>
      <c r="Y3">
        <v>4</v>
      </c>
      <c r="Z3">
        <v>3</v>
      </c>
      <c r="AA3">
        <v>2</v>
      </c>
      <c r="AB3">
        <v>3</v>
      </c>
      <c r="AC3">
        <v>3</v>
      </c>
      <c r="AD3">
        <v>2</v>
      </c>
      <c r="AE3">
        <v>6</v>
      </c>
    </row>
    <row r="4" spans="1:31" x14ac:dyDescent="0.3">
      <c r="A4" t="s">
        <v>120</v>
      </c>
      <c r="B4" t="s">
        <v>126</v>
      </c>
      <c r="C4" t="s">
        <v>0</v>
      </c>
      <c r="D4" t="s">
        <v>127</v>
      </c>
      <c r="E4" t="s">
        <v>123</v>
      </c>
      <c r="F4">
        <v>291</v>
      </c>
      <c r="G4">
        <v>205</v>
      </c>
      <c r="H4">
        <v>162</v>
      </c>
      <c r="I4">
        <v>210</v>
      </c>
      <c r="J4">
        <v>181</v>
      </c>
      <c r="K4">
        <v>134</v>
      </c>
      <c r="L4">
        <v>76</v>
      </c>
      <c r="M4">
        <v>68</v>
      </c>
      <c r="N4">
        <v>75</v>
      </c>
      <c r="O4">
        <v>87</v>
      </c>
      <c r="P4">
        <v>82</v>
      </c>
      <c r="Q4">
        <v>139</v>
      </c>
      <c r="R4">
        <v>176</v>
      </c>
      <c r="S4">
        <v>127</v>
      </c>
      <c r="T4">
        <v>118</v>
      </c>
      <c r="U4">
        <v>97</v>
      </c>
      <c r="V4">
        <v>95</v>
      </c>
      <c r="W4">
        <v>105</v>
      </c>
      <c r="X4">
        <v>74</v>
      </c>
      <c r="Y4">
        <v>84</v>
      </c>
      <c r="Z4">
        <v>113</v>
      </c>
      <c r="AA4">
        <v>93</v>
      </c>
      <c r="AB4">
        <v>99</v>
      </c>
      <c r="AC4">
        <v>101</v>
      </c>
      <c r="AD4">
        <v>99</v>
      </c>
      <c r="AE4">
        <v>90</v>
      </c>
    </row>
    <row r="5" spans="1:31" x14ac:dyDescent="0.3">
      <c r="A5" t="s">
        <v>120</v>
      </c>
      <c r="B5" t="s">
        <v>128</v>
      </c>
      <c r="C5" t="s">
        <v>0</v>
      </c>
      <c r="D5" t="s">
        <v>129</v>
      </c>
      <c r="E5" t="s">
        <v>123</v>
      </c>
      <c r="F5">
        <v>36</v>
      </c>
      <c r="G5">
        <v>21</v>
      </c>
      <c r="H5">
        <v>15</v>
      </c>
      <c r="I5">
        <v>24</v>
      </c>
      <c r="J5">
        <v>21</v>
      </c>
      <c r="K5">
        <v>14</v>
      </c>
      <c r="L5">
        <v>8</v>
      </c>
      <c r="M5">
        <v>10</v>
      </c>
      <c r="N5">
        <v>11</v>
      </c>
      <c r="O5">
        <v>11</v>
      </c>
      <c r="P5">
        <v>11</v>
      </c>
      <c r="Q5">
        <v>13</v>
      </c>
      <c r="R5">
        <v>16</v>
      </c>
      <c r="S5">
        <v>15</v>
      </c>
      <c r="T5">
        <v>16</v>
      </c>
      <c r="U5">
        <v>11</v>
      </c>
      <c r="V5">
        <v>11</v>
      </c>
      <c r="W5">
        <v>12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120</v>
      </c>
      <c r="B6" t="s">
        <v>130</v>
      </c>
      <c r="C6" t="s">
        <v>0</v>
      </c>
      <c r="D6" t="s">
        <v>131</v>
      </c>
      <c r="E6" t="s">
        <v>123</v>
      </c>
      <c r="F6">
        <v>7</v>
      </c>
      <c r="G6">
        <v>4</v>
      </c>
      <c r="H6">
        <v>3</v>
      </c>
      <c r="I6">
        <v>4</v>
      </c>
      <c r="J6">
        <v>3</v>
      </c>
      <c r="K6">
        <v>2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120</v>
      </c>
      <c r="B7" t="s">
        <v>132</v>
      </c>
      <c r="C7" t="s">
        <v>0</v>
      </c>
      <c r="D7" t="s">
        <v>133</v>
      </c>
      <c r="E7" t="s">
        <v>123</v>
      </c>
      <c r="F7">
        <v>83</v>
      </c>
      <c r="G7">
        <v>92</v>
      </c>
      <c r="H7">
        <v>50</v>
      </c>
      <c r="I7">
        <v>75</v>
      </c>
      <c r="J7">
        <v>57</v>
      </c>
      <c r="K7">
        <v>39</v>
      </c>
      <c r="L7">
        <v>28</v>
      </c>
      <c r="M7">
        <v>19</v>
      </c>
      <c r="N7">
        <v>26</v>
      </c>
      <c r="O7">
        <v>20</v>
      </c>
      <c r="P7">
        <v>21</v>
      </c>
      <c r="Q7">
        <v>30</v>
      </c>
      <c r="R7">
        <v>28</v>
      </c>
      <c r="S7">
        <v>28</v>
      </c>
      <c r="T7">
        <v>14</v>
      </c>
      <c r="U7">
        <v>14</v>
      </c>
      <c r="V7">
        <v>18</v>
      </c>
      <c r="W7">
        <v>15</v>
      </c>
      <c r="X7">
        <v>13</v>
      </c>
      <c r="Y7">
        <v>12</v>
      </c>
      <c r="Z7">
        <v>17</v>
      </c>
      <c r="AA7">
        <v>22</v>
      </c>
      <c r="AB7">
        <v>39</v>
      </c>
      <c r="AC7">
        <v>19</v>
      </c>
      <c r="AD7">
        <v>20</v>
      </c>
      <c r="AE7">
        <v>17</v>
      </c>
    </row>
    <row r="8" spans="1:31" x14ac:dyDescent="0.3">
      <c r="A8" t="s">
        <v>120</v>
      </c>
      <c r="B8" t="s">
        <v>134</v>
      </c>
      <c r="C8" t="s">
        <v>0</v>
      </c>
      <c r="D8" t="s">
        <v>135</v>
      </c>
      <c r="E8" t="s">
        <v>123</v>
      </c>
      <c r="F8">
        <v>4</v>
      </c>
      <c r="G8">
        <v>2</v>
      </c>
      <c r="H8">
        <v>8</v>
      </c>
      <c r="I8">
        <v>2</v>
      </c>
      <c r="J8">
        <v>4</v>
      </c>
      <c r="K8">
        <v>2</v>
      </c>
      <c r="L8">
        <v>3</v>
      </c>
      <c r="M8">
        <v>0</v>
      </c>
      <c r="N8">
        <v>2</v>
      </c>
      <c r="O8">
        <v>1</v>
      </c>
      <c r="P8">
        <v>6</v>
      </c>
      <c r="Q8">
        <v>9</v>
      </c>
      <c r="R8">
        <v>30</v>
      </c>
      <c r="S8">
        <v>8</v>
      </c>
      <c r="T8">
        <v>4</v>
      </c>
      <c r="U8">
        <v>10</v>
      </c>
      <c r="V8">
        <v>3</v>
      </c>
      <c r="W8">
        <v>7</v>
      </c>
      <c r="X8">
        <v>6</v>
      </c>
      <c r="Y8">
        <v>7</v>
      </c>
      <c r="Z8">
        <v>17</v>
      </c>
      <c r="AA8">
        <v>-5</v>
      </c>
      <c r="AB8">
        <v>-35</v>
      </c>
      <c r="AC8">
        <v>2</v>
      </c>
      <c r="AD8">
        <v>1</v>
      </c>
      <c r="AE8">
        <v>1</v>
      </c>
    </row>
    <row r="9" spans="1:31" x14ac:dyDescent="0.3">
      <c r="A9" t="s">
        <v>120</v>
      </c>
      <c r="B9" t="s">
        <v>136</v>
      </c>
      <c r="C9" t="s">
        <v>0</v>
      </c>
      <c r="D9" t="s">
        <v>137</v>
      </c>
      <c r="E9" t="s">
        <v>123</v>
      </c>
      <c r="F9">
        <v>26</v>
      </c>
      <c r="G9">
        <v>8</v>
      </c>
      <c r="H9">
        <v>11</v>
      </c>
      <c r="I9">
        <v>11</v>
      </c>
      <c r="J9">
        <v>12</v>
      </c>
      <c r="K9">
        <v>6</v>
      </c>
      <c r="L9">
        <v>4</v>
      </c>
      <c r="M9">
        <v>5</v>
      </c>
      <c r="N9">
        <v>4</v>
      </c>
      <c r="O9">
        <v>6</v>
      </c>
      <c r="P9">
        <v>5</v>
      </c>
      <c r="Q9">
        <v>7</v>
      </c>
      <c r="R9">
        <v>14</v>
      </c>
      <c r="S9">
        <v>7</v>
      </c>
      <c r="T9">
        <v>8</v>
      </c>
      <c r="U9">
        <v>4</v>
      </c>
      <c r="V9">
        <v>6</v>
      </c>
      <c r="W9">
        <v>7</v>
      </c>
      <c r="X9">
        <v>9</v>
      </c>
      <c r="Y9">
        <v>6</v>
      </c>
      <c r="Z9">
        <v>12</v>
      </c>
      <c r="AA9">
        <v>16</v>
      </c>
      <c r="AB9">
        <v>20</v>
      </c>
      <c r="AC9">
        <v>15</v>
      </c>
      <c r="AD9">
        <v>12</v>
      </c>
      <c r="AE9">
        <v>12</v>
      </c>
    </row>
    <row r="10" spans="1:31" x14ac:dyDescent="0.3">
      <c r="A10" t="s">
        <v>120</v>
      </c>
      <c r="B10" t="s">
        <v>138</v>
      </c>
      <c r="C10" t="s">
        <v>0</v>
      </c>
      <c r="D10" t="s">
        <v>139</v>
      </c>
      <c r="E10" t="s">
        <v>123</v>
      </c>
      <c r="F10">
        <v>28</v>
      </c>
      <c r="G10">
        <v>9</v>
      </c>
      <c r="H10">
        <v>12</v>
      </c>
      <c r="I10">
        <v>12</v>
      </c>
      <c r="J10">
        <v>13</v>
      </c>
      <c r="K10">
        <v>7</v>
      </c>
      <c r="L10">
        <v>4</v>
      </c>
      <c r="M10">
        <v>6</v>
      </c>
      <c r="N10">
        <v>4</v>
      </c>
      <c r="O10">
        <v>6</v>
      </c>
      <c r="P10">
        <v>5</v>
      </c>
      <c r="Q10">
        <v>8</v>
      </c>
      <c r="R10">
        <v>15</v>
      </c>
      <c r="S10">
        <v>8</v>
      </c>
      <c r="T10">
        <v>9</v>
      </c>
      <c r="U10">
        <v>5</v>
      </c>
      <c r="V10">
        <v>7</v>
      </c>
      <c r="W10">
        <v>8</v>
      </c>
      <c r="X10">
        <v>10</v>
      </c>
      <c r="Y10">
        <v>7</v>
      </c>
      <c r="Z10">
        <v>13</v>
      </c>
      <c r="AA10">
        <v>17</v>
      </c>
      <c r="AB10">
        <v>21</v>
      </c>
      <c r="AC10">
        <v>17</v>
      </c>
      <c r="AD10">
        <v>14</v>
      </c>
      <c r="AE10">
        <v>13</v>
      </c>
    </row>
    <row r="11" spans="1:31" x14ac:dyDescent="0.3">
      <c r="A11" t="s">
        <v>120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2</v>
      </c>
      <c r="AE11">
        <v>1</v>
      </c>
    </row>
    <row r="12" spans="1:31" x14ac:dyDescent="0.3">
      <c r="A12" t="s">
        <v>120</v>
      </c>
      <c r="B12" t="s">
        <v>142</v>
      </c>
      <c r="C12" t="s">
        <v>0</v>
      </c>
      <c r="D12" t="s">
        <v>143</v>
      </c>
      <c r="E12" t="s">
        <v>123</v>
      </c>
      <c r="F12">
        <v>20</v>
      </c>
      <c r="G12">
        <v>10</v>
      </c>
      <c r="H12">
        <v>10</v>
      </c>
      <c r="I12">
        <v>16</v>
      </c>
      <c r="J12">
        <v>16</v>
      </c>
      <c r="K12">
        <v>13</v>
      </c>
      <c r="L12">
        <v>4</v>
      </c>
      <c r="M12">
        <v>5</v>
      </c>
      <c r="N12">
        <v>7</v>
      </c>
      <c r="O12">
        <v>7</v>
      </c>
      <c r="P12">
        <v>8</v>
      </c>
      <c r="Q12">
        <v>12</v>
      </c>
      <c r="R12">
        <v>15</v>
      </c>
      <c r="S12">
        <v>9</v>
      </c>
      <c r="T12">
        <v>13</v>
      </c>
      <c r="U12">
        <v>8</v>
      </c>
      <c r="V12">
        <v>9</v>
      </c>
      <c r="W12">
        <v>8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120</v>
      </c>
      <c r="B13" t="s">
        <v>144</v>
      </c>
      <c r="C13" t="s">
        <v>0</v>
      </c>
      <c r="D13" t="s">
        <v>145</v>
      </c>
      <c r="E13" t="s">
        <v>123</v>
      </c>
      <c r="F13">
        <v>52</v>
      </c>
      <c r="G13">
        <v>30</v>
      </c>
      <c r="H13">
        <v>31</v>
      </c>
      <c r="I13">
        <v>35</v>
      </c>
      <c r="J13">
        <v>22</v>
      </c>
      <c r="K13">
        <v>23</v>
      </c>
      <c r="L13">
        <v>10</v>
      </c>
      <c r="M13">
        <v>16</v>
      </c>
      <c r="N13">
        <v>10</v>
      </c>
      <c r="O13">
        <v>25</v>
      </c>
      <c r="P13">
        <v>12</v>
      </c>
      <c r="Q13">
        <v>16</v>
      </c>
      <c r="R13">
        <v>23</v>
      </c>
      <c r="S13">
        <v>16</v>
      </c>
      <c r="T13">
        <v>26</v>
      </c>
      <c r="U13">
        <v>18</v>
      </c>
      <c r="V13">
        <v>12</v>
      </c>
      <c r="W13">
        <v>25</v>
      </c>
      <c r="X13">
        <v>9</v>
      </c>
      <c r="Y13">
        <v>12</v>
      </c>
      <c r="Z13">
        <v>14</v>
      </c>
      <c r="AA13">
        <v>13</v>
      </c>
      <c r="AB13">
        <v>15</v>
      </c>
      <c r="AC13">
        <v>17</v>
      </c>
      <c r="AD13">
        <v>20</v>
      </c>
      <c r="AE13">
        <v>12</v>
      </c>
    </row>
    <row r="14" spans="1:31" x14ac:dyDescent="0.3">
      <c r="A14" t="s">
        <v>120</v>
      </c>
      <c r="B14" t="s">
        <v>146</v>
      </c>
      <c r="C14" t="s">
        <v>0</v>
      </c>
      <c r="D14" t="s">
        <v>147</v>
      </c>
      <c r="E14" t="s">
        <v>123</v>
      </c>
      <c r="F14">
        <v>25</v>
      </c>
      <c r="G14">
        <v>10</v>
      </c>
      <c r="H14">
        <v>11</v>
      </c>
      <c r="I14">
        <v>17</v>
      </c>
      <c r="J14">
        <v>22</v>
      </c>
      <c r="K14">
        <v>17</v>
      </c>
      <c r="L14">
        <v>9</v>
      </c>
      <c r="M14">
        <v>5</v>
      </c>
      <c r="N14">
        <v>5</v>
      </c>
      <c r="O14">
        <v>7</v>
      </c>
      <c r="P14">
        <v>8</v>
      </c>
      <c r="Q14">
        <v>34</v>
      </c>
      <c r="R14">
        <v>30</v>
      </c>
      <c r="S14">
        <v>23</v>
      </c>
      <c r="T14">
        <v>17</v>
      </c>
      <c r="U14">
        <v>21</v>
      </c>
      <c r="V14">
        <v>22</v>
      </c>
      <c r="W14">
        <v>18</v>
      </c>
      <c r="X14">
        <v>10</v>
      </c>
      <c r="Y14">
        <v>17</v>
      </c>
      <c r="Z14">
        <v>22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120</v>
      </c>
      <c r="B15" t="s">
        <v>148</v>
      </c>
      <c r="C15" t="s">
        <v>0</v>
      </c>
      <c r="D15" t="s">
        <v>149</v>
      </c>
      <c r="E15" t="s">
        <v>123</v>
      </c>
      <c r="F15">
        <v>31</v>
      </c>
      <c r="G15">
        <v>15</v>
      </c>
      <c r="H15">
        <v>15</v>
      </c>
      <c r="I15">
        <v>22</v>
      </c>
      <c r="J15">
        <v>26</v>
      </c>
      <c r="K15">
        <v>20</v>
      </c>
      <c r="L15">
        <v>11</v>
      </c>
      <c r="M15">
        <v>5</v>
      </c>
      <c r="N15">
        <v>7</v>
      </c>
      <c r="O15">
        <v>8</v>
      </c>
      <c r="P15">
        <v>10</v>
      </c>
      <c r="Q15">
        <v>37</v>
      </c>
      <c r="R15">
        <v>34</v>
      </c>
      <c r="S15">
        <v>26</v>
      </c>
      <c r="T15">
        <v>22</v>
      </c>
      <c r="U15">
        <v>24</v>
      </c>
      <c r="V15">
        <v>26</v>
      </c>
      <c r="W15">
        <v>21</v>
      </c>
      <c r="X15">
        <v>14</v>
      </c>
      <c r="Y15">
        <v>18</v>
      </c>
      <c r="Z15">
        <v>24</v>
      </c>
      <c r="AA15">
        <v>20</v>
      </c>
      <c r="AB15">
        <v>24</v>
      </c>
      <c r="AC15">
        <v>20</v>
      </c>
      <c r="AD15">
        <v>20</v>
      </c>
      <c r="AE15">
        <v>26</v>
      </c>
    </row>
    <row r="16" spans="1:31" x14ac:dyDescent="0.3">
      <c r="A16" t="s">
        <v>120</v>
      </c>
      <c r="B16" t="s">
        <v>150</v>
      </c>
      <c r="C16" t="s">
        <v>0</v>
      </c>
      <c r="D16" t="s">
        <v>151</v>
      </c>
      <c r="E16" t="s">
        <v>123</v>
      </c>
      <c r="F16">
        <v>6</v>
      </c>
      <c r="G16">
        <v>5</v>
      </c>
      <c r="H16">
        <v>4</v>
      </c>
      <c r="I16">
        <v>5</v>
      </c>
      <c r="J16">
        <v>4</v>
      </c>
      <c r="K16">
        <v>3</v>
      </c>
      <c r="L16">
        <v>2</v>
      </c>
      <c r="M16">
        <v>0</v>
      </c>
      <c r="N16">
        <v>2</v>
      </c>
      <c r="O16">
        <v>1</v>
      </c>
      <c r="P16">
        <v>2</v>
      </c>
      <c r="Q16">
        <v>3</v>
      </c>
      <c r="R16">
        <v>4</v>
      </c>
      <c r="S16">
        <v>3</v>
      </c>
      <c r="T16">
        <v>5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120</v>
      </c>
      <c r="B17" t="s">
        <v>152</v>
      </c>
      <c r="C17" t="s">
        <v>0</v>
      </c>
      <c r="D17" t="s">
        <v>153</v>
      </c>
      <c r="E17" t="s">
        <v>123</v>
      </c>
      <c r="F17">
        <v>16</v>
      </c>
      <c r="G17">
        <v>13</v>
      </c>
      <c r="H17">
        <v>9</v>
      </c>
      <c r="I17">
        <v>10</v>
      </c>
      <c r="J17">
        <v>9</v>
      </c>
      <c r="K17">
        <v>7</v>
      </c>
      <c r="L17">
        <v>3</v>
      </c>
      <c r="M17">
        <v>3</v>
      </c>
      <c r="N17">
        <v>5</v>
      </c>
      <c r="O17">
        <v>4</v>
      </c>
      <c r="P17">
        <v>4</v>
      </c>
      <c r="Q17">
        <v>7</v>
      </c>
      <c r="R17">
        <v>7</v>
      </c>
      <c r="S17">
        <v>9</v>
      </c>
      <c r="T17">
        <v>9</v>
      </c>
      <c r="U17">
        <v>3</v>
      </c>
      <c r="V17">
        <v>5</v>
      </c>
      <c r="W17">
        <v>5</v>
      </c>
      <c r="X17">
        <v>3</v>
      </c>
      <c r="Y17">
        <v>5</v>
      </c>
      <c r="Z17">
        <v>4</v>
      </c>
      <c r="AA17">
        <v>4</v>
      </c>
      <c r="AB17">
        <v>3</v>
      </c>
      <c r="AC17">
        <v>6</v>
      </c>
      <c r="AD17">
        <v>7</v>
      </c>
      <c r="AE17">
        <v>4</v>
      </c>
    </row>
    <row r="18" spans="1:31" x14ac:dyDescent="0.3">
      <c r="A18" t="s">
        <v>120</v>
      </c>
      <c r="B18" t="s">
        <v>154</v>
      </c>
      <c r="C18" t="s">
        <v>0</v>
      </c>
      <c r="D18" t="s">
        <v>155</v>
      </c>
      <c r="E18" t="s">
        <v>123</v>
      </c>
      <c r="F18">
        <v>5</v>
      </c>
      <c r="G18">
        <v>3</v>
      </c>
      <c r="H18">
        <v>3</v>
      </c>
      <c r="I18">
        <v>3</v>
      </c>
      <c r="J18">
        <v>3</v>
      </c>
      <c r="K18">
        <v>2</v>
      </c>
      <c r="L18">
        <v>2</v>
      </c>
      <c r="M18">
        <v>1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3</v>
      </c>
      <c r="U18">
        <v>2</v>
      </c>
      <c r="V18">
        <v>2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120</v>
      </c>
      <c r="B19" t="s">
        <v>156</v>
      </c>
      <c r="C19" t="s">
        <v>0</v>
      </c>
      <c r="D19" t="s">
        <v>157</v>
      </c>
      <c r="E19" t="s">
        <v>123</v>
      </c>
      <c r="F19">
        <v>9</v>
      </c>
      <c r="G19">
        <v>6</v>
      </c>
      <c r="H19">
        <v>6</v>
      </c>
      <c r="I19">
        <v>7</v>
      </c>
      <c r="J19">
        <v>7</v>
      </c>
      <c r="K19">
        <v>5</v>
      </c>
      <c r="L19">
        <v>2</v>
      </c>
      <c r="M19">
        <v>2</v>
      </c>
      <c r="N19">
        <v>1</v>
      </c>
      <c r="O19">
        <v>2</v>
      </c>
      <c r="P19">
        <v>2</v>
      </c>
      <c r="Q19">
        <v>3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120</v>
      </c>
      <c r="B20" t="s">
        <v>158</v>
      </c>
      <c r="C20" t="s">
        <v>0</v>
      </c>
      <c r="D20" t="s">
        <v>159</v>
      </c>
      <c r="E20" t="s">
        <v>123</v>
      </c>
      <c r="F20">
        <v>46</v>
      </c>
      <c r="G20">
        <v>25</v>
      </c>
      <c r="H20">
        <v>29</v>
      </c>
      <c r="I20">
        <v>22</v>
      </c>
      <c r="J20">
        <v>21</v>
      </c>
      <c r="K20">
        <v>22</v>
      </c>
      <c r="L20">
        <v>9</v>
      </c>
      <c r="M20">
        <v>14</v>
      </c>
      <c r="N20">
        <v>12</v>
      </c>
      <c r="O20">
        <v>20</v>
      </c>
      <c r="P20">
        <v>19</v>
      </c>
      <c r="Q20">
        <v>14</v>
      </c>
      <c r="R20">
        <v>16</v>
      </c>
      <c r="S20">
        <v>10</v>
      </c>
      <c r="T20">
        <v>19</v>
      </c>
      <c r="U20">
        <v>11</v>
      </c>
      <c r="V20">
        <v>10</v>
      </c>
      <c r="W20">
        <v>8</v>
      </c>
      <c r="X20">
        <v>9</v>
      </c>
      <c r="Y20">
        <v>8</v>
      </c>
      <c r="Z20">
        <v>10</v>
      </c>
      <c r="AA20">
        <v>12</v>
      </c>
      <c r="AB20">
        <v>11</v>
      </c>
      <c r="AC20">
        <v>10</v>
      </c>
      <c r="AD20">
        <v>8</v>
      </c>
      <c r="AE20">
        <v>9</v>
      </c>
    </row>
    <row r="21" spans="1:31" x14ac:dyDescent="0.3">
      <c r="A21" t="s">
        <v>120</v>
      </c>
      <c r="B21" t="s">
        <v>160</v>
      </c>
      <c r="C21" t="s">
        <v>0</v>
      </c>
      <c r="D21" t="s">
        <v>161</v>
      </c>
      <c r="E21" t="s">
        <v>123</v>
      </c>
      <c r="F21">
        <v>49</v>
      </c>
      <c r="G21">
        <v>27</v>
      </c>
      <c r="H21">
        <v>30</v>
      </c>
      <c r="I21">
        <v>23</v>
      </c>
      <c r="J21">
        <v>22</v>
      </c>
      <c r="K21">
        <v>24</v>
      </c>
      <c r="L21">
        <v>9</v>
      </c>
      <c r="M21">
        <v>14</v>
      </c>
      <c r="N21">
        <v>13</v>
      </c>
      <c r="O21">
        <v>20</v>
      </c>
      <c r="P21">
        <v>21</v>
      </c>
      <c r="Q21">
        <v>15</v>
      </c>
      <c r="R21">
        <v>18</v>
      </c>
      <c r="S21">
        <v>11</v>
      </c>
      <c r="T21">
        <v>21</v>
      </c>
      <c r="U21">
        <v>13</v>
      </c>
      <c r="V21">
        <v>13</v>
      </c>
      <c r="W21">
        <v>12</v>
      </c>
      <c r="X21">
        <v>13</v>
      </c>
      <c r="Y21">
        <v>11</v>
      </c>
      <c r="Z21">
        <v>14</v>
      </c>
      <c r="AA21">
        <v>17</v>
      </c>
      <c r="AB21">
        <v>16</v>
      </c>
      <c r="AC21">
        <v>15</v>
      </c>
      <c r="AD21">
        <v>13</v>
      </c>
      <c r="AE21">
        <v>13</v>
      </c>
    </row>
    <row r="22" spans="1:31" x14ac:dyDescent="0.3">
      <c r="A22" t="s">
        <v>120</v>
      </c>
      <c r="B22" t="s">
        <v>162</v>
      </c>
      <c r="C22" t="s">
        <v>0</v>
      </c>
      <c r="D22" t="s">
        <v>163</v>
      </c>
      <c r="E22" t="s">
        <v>123</v>
      </c>
      <c r="F22">
        <v>3</v>
      </c>
      <c r="G22">
        <v>2</v>
      </c>
      <c r="H22">
        <v>1</v>
      </c>
      <c r="I22">
        <v>1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2</v>
      </c>
      <c r="Q22">
        <v>1</v>
      </c>
      <c r="R22">
        <v>2</v>
      </c>
      <c r="S22">
        <v>1</v>
      </c>
      <c r="T22">
        <v>2</v>
      </c>
      <c r="U22">
        <v>2</v>
      </c>
      <c r="V22">
        <v>3</v>
      </c>
      <c r="W22">
        <v>4</v>
      </c>
      <c r="X22">
        <v>4</v>
      </c>
      <c r="Y22">
        <v>3</v>
      </c>
      <c r="Z22">
        <v>4</v>
      </c>
      <c r="AA22">
        <v>5</v>
      </c>
      <c r="AB22">
        <v>5</v>
      </c>
      <c r="AC22">
        <v>5</v>
      </c>
      <c r="AD22">
        <v>5</v>
      </c>
      <c r="AE22">
        <v>4</v>
      </c>
    </row>
    <row r="23" spans="1:31" x14ac:dyDescent="0.3">
      <c r="A23" t="s">
        <v>120</v>
      </c>
      <c r="B23" t="s">
        <v>164</v>
      </c>
      <c r="C23" t="s">
        <v>0</v>
      </c>
      <c r="D23" t="s">
        <v>165</v>
      </c>
      <c r="E23" t="s">
        <v>123</v>
      </c>
      <c r="F23">
        <v>20</v>
      </c>
      <c r="G23">
        <v>13</v>
      </c>
      <c r="H23">
        <v>13</v>
      </c>
      <c r="I23">
        <v>13</v>
      </c>
      <c r="J23">
        <v>20</v>
      </c>
      <c r="K23">
        <v>17</v>
      </c>
      <c r="L23">
        <v>7</v>
      </c>
      <c r="M23">
        <v>8</v>
      </c>
      <c r="N23">
        <v>11</v>
      </c>
      <c r="O23">
        <v>14</v>
      </c>
      <c r="P23">
        <v>15</v>
      </c>
      <c r="Q23">
        <v>12</v>
      </c>
      <c r="R23">
        <v>12</v>
      </c>
      <c r="S23">
        <v>13</v>
      </c>
      <c r="T23">
        <v>8</v>
      </c>
      <c r="U23">
        <v>7</v>
      </c>
      <c r="V23">
        <v>8</v>
      </c>
      <c r="W23">
        <v>7</v>
      </c>
      <c r="X23">
        <v>7</v>
      </c>
      <c r="Y23">
        <v>7</v>
      </c>
      <c r="Z23">
        <v>4</v>
      </c>
      <c r="AA23">
        <v>4</v>
      </c>
      <c r="AB23">
        <v>3</v>
      </c>
      <c r="AC23">
        <v>4</v>
      </c>
      <c r="AD23">
        <v>2</v>
      </c>
      <c r="AE23">
        <v>2</v>
      </c>
    </row>
    <row r="24" spans="1:31" x14ac:dyDescent="0.3">
      <c r="A24" t="s">
        <v>120</v>
      </c>
      <c r="B24" t="s">
        <v>166</v>
      </c>
      <c r="C24" t="s">
        <v>0</v>
      </c>
      <c r="D24" t="s">
        <v>167</v>
      </c>
      <c r="E24" t="s">
        <v>123</v>
      </c>
      <c r="F24">
        <v>64</v>
      </c>
      <c r="G24">
        <v>42</v>
      </c>
      <c r="H24">
        <v>51</v>
      </c>
      <c r="I24">
        <v>63</v>
      </c>
      <c r="J24">
        <v>63</v>
      </c>
      <c r="K24">
        <v>43</v>
      </c>
      <c r="L24">
        <v>19</v>
      </c>
      <c r="M24">
        <v>21</v>
      </c>
      <c r="N24">
        <v>26</v>
      </c>
      <c r="O24">
        <v>26</v>
      </c>
      <c r="P24">
        <v>26</v>
      </c>
      <c r="Q24">
        <v>23</v>
      </c>
      <c r="R24">
        <v>31</v>
      </c>
      <c r="S24">
        <v>47</v>
      </c>
      <c r="T24">
        <v>30</v>
      </c>
      <c r="U24">
        <v>32</v>
      </c>
      <c r="V24">
        <v>31</v>
      </c>
      <c r="W24">
        <v>39</v>
      </c>
      <c r="X24">
        <v>30</v>
      </c>
      <c r="Y24">
        <v>38</v>
      </c>
      <c r="Z24">
        <v>34</v>
      </c>
      <c r="AA24">
        <v>43</v>
      </c>
      <c r="AB24">
        <v>30</v>
      </c>
      <c r="AC24">
        <v>32</v>
      </c>
      <c r="AD24">
        <v>21</v>
      </c>
      <c r="AE24">
        <v>14</v>
      </c>
    </row>
    <row r="25" spans="1:31" x14ac:dyDescent="0.3">
      <c r="A25" t="s">
        <v>120</v>
      </c>
      <c r="B25" t="s">
        <v>168</v>
      </c>
      <c r="C25" t="s">
        <v>0</v>
      </c>
      <c r="D25" t="s">
        <v>169</v>
      </c>
      <c r="E25" t="s">
        <v>123</v>
      </c>
      <c r="F25">
        <v>7</v>
      </c>
      <c r="G25">
        <v>4</v>
      </c>
      <c r="H25">
        <v>6</v>
      </c>
      <c r="I25">
        <v>8</v>
      </c>
      <c r="J25">
        <v>7</v>
      </c>
      <c r="K25">
        <v>4</v>
      </c>
      <c r="L25">
        <v>2</v>
      </c>
      <c r="M25">
        <v>2</v>
      </c>
      <c r="N25">
        <v>2</v>
      </c>
      <c r="O25">
        <v>3</v>
      </c>
      <c r="P25">
        <v>2</v>
      </c>
      <c r="Q25">
        <v>3</v>
      </c>
      <c r="R25">
        <v>2</v>
      </c>
      <c r="S25">
        <v>8</v>
      </c>
      <c r="T25">
        <v>3</v>
      </c>
      <c r="U25">
        <v>5</v>
      </c>
      <c r="V25">
        <v>5</v>
      </c>
      <c r="W25">
        <v>3</v>
      </c>
      <c r="X25">
        <v>3</v>
      </c>
      <c r="Y25">
        <v>5</v>
      </c>
      <c r="Z25">
        <v>4</v>
      </c>
      <c r="AA25">
        <v>7</v>
      </c>
      <c r="AB25">
        <v>4</v>
      </c>
      <c r="AC25">
        <v>4</v>
      </c>
      <c r="AD25">
        <v>3</v>
      </c>
      <c r="AE25">
        <v>2</v>
      </c>
    </row>
    <row r="26" spans="1:31" x14ac:dyDescent="0.3">
      <c r="A26" t="s">
        <v>120</v>
      </c>
      <c r="B26" t="s">
        <v>170</v>
      </c>
      <c r="C26" t="s">
        <v>0</v>
      </c>
      <c r="D26" t="s">
        <v>171</v>
      </c>
      <c r="E26" t="s">
        <v>123</v>
      </c>
      <c r="F26">
        <v>35</v>
      </c>
      <c r="G26">
        <v>25</v>
      </c>
      <c r="H26">
        <v>32</v>
      </c>
      <c r="I26">
        <v>36</v>
      </c>
      <c r="J26">
        <v>34</v>
      </c>
      <c r="K26">
        <v>25</v>
      </c>
      <c r="L26">
        <v>11</v>
      </c>
      <c r="M26">
        <v>12</v>
      </c>
      <c r="N26">
        <v>14</v>
      </c>
      <c r="O26">
        <v>14</v>
      </c>
      <c r="P26">
        <v>15</v>
      </c>
      <c r="Q26">
        <v>11</v>
      </c>
      <c r="R26">
        <v>18</v>
      </c>
      <c r="S26">
        <v>25</v>
      </c>
      <c r="T26">
        <v>16</v>
      </c>
      <c r="U26">
        <v>16</v>
      </c>
      <c r="V26">
        <v>16</v>
      </c>
      <c r="W26">
        <v>20</v>
      </c>
      <c r="X26">
        <v>14</v>
      </c>
      <c r="Y26">
        <v>19</v>
      </c>
      <c r="Z26">
        <v>16</v>
      </c>
      <c r="AA26">
        <v>21</v>
      </c>
      <c r="AB26">
        <v>15</v>
      </c>
      <c r="AC26">
        <v>17</v>
      </c>
      <c r="AD26">
        <v>10</v>
      </c>
      <c r="AE26">
        <v>6</v>
      </c>
    </row>
    <row r="27" spans="1:31" x14ac:dyDescent="0.3">
      <c r="A27" t="s">
        <v>120</v>
      </c>
      <c r="B27" t="s">
        <v>172</v>
      </c>
      <c r="C27" t="s">
        <v>0</v>
      </c>
      <c r="D27" t="s">
        <v>173</v>
      </c>
      <c r="E27" t="s">
        <v>123</v>
      </c>
      <c r="F27">
        <v>22</v>
      </c>
      <c r="G27">
        <v>13</v>
      </c>
      <c r="H27">
        <v>13</v>
      </c>
      <c r="I27">
        <v>19</v>
      </c>
      <c r="J27">
        <v>22</v>
      </c>
      <c r="K27">
        <v>14</v>
      </c>
      <c r="L27">
        <v>6</v>
      </c>
      <c r="M27">
        <v>7</v>
      </c>
      <c r="N27">
        <v>10</v>
      </c>
      <c r="O27">
        <v>9</v>
      </c>
      <c r="P27">
        <v>9</v>
      </c>
      <c r="Q27">
        <v>9</v>
      </c>
      <c r="R27">
        <v>11</v>
      </c>
      <c r="S27">
        <v>14</v>
      </c>
      <c r="T27">
        <v>11</v>
      </c>
      <c r="U27">
        <v>11</v>
      </c>
      <c r="V27">
        <v>10</v>
      </c>
      <c r="W27">
        <v>16</v>
      </c>
      <c r="X27">
        <v>13</v>
      </c>
      <c r="Y27">
        <v>14</v>
      </c>
      <c r="Z27">
        <v>14</v>
      </c>
      <c r="AA27">
        <v>15</v>
      </c>
      <c r="AB27">
        <v>11</v>
      </c>
      <c r="AC27">
        <v>11</v>
      </c>
      <c r="AD27">
        <v>8</v>
      </c>
      <c r="AE27">
        <v>6</v>
      </c>
    </row>
    <row r="28" spans="1:31" x14ac:dyDescent="0.3">
      <c r="A28" t="s">
        <v>120</v>
      </c>
      <c r="B28" t="s">
        <v>174</v>
      </c>
      <c r="C28" t="s">
        <v>0</v>
      </c>
      <c r="D28" t="s">
        <v>175</v>
      </c>
      <c r="E28" t="s">
        <v>123</v>
      </c>
      <c r="F28">
        <v>47</v>
      </c>
      <c r="G28">
        <v>16</v>
      </c>
      <c r="H28">
        <v>10</v>
      </c>
      <c r="I28">
        <v>19</v>
      </c>
      <c r="J28">
        <v>17</v>
      </c>
      <c r="K28">
        <v>10</v>
      </c>
      <c r="L28">
        <v>2</v>
      </c>
      <c r="M28">
        <v>2</v>
      </c>
      <c r="N28">
        <v>5</v>
      </c>
      <c r="O28">
        <v>5</v>
      </c>
      <c r="P28">
        <v>6</v>
      </c>
      <c r="Q28">
        <v>9</v>
      </c>
      <c r="R28">
        <v>10</v>
      </c>
      <c r="S28">
        <v>12</v>
      </c>
      <c r="T28">
        <v>12</v>
      </c>
      <c r="U28">
        <v>10</v>
      </c>
      <c r="V28">
        <v>11</v>
      </c>
      <c r="W28">
        <v>10</v>
      </c>
      <c r="X28">
        <v>11</v>
      </c>
      <c r="Y28">
        <v>12</v>
      </c>
      <c r="Z28">
        <v>11</v>
      </c>
      <c r="AA28">
        <v>16</v>
      </c>
      <c r="AB28">
        <v>11</v>
      </c>
      <c r="AC28">
        <v>10</v>
      </c>
      <c r="AD28">
        <v>12</v>
      </c>
      <c r="AE28">
        <v>7</v>
      </c>
    </row>
    <row r="29" spans="1:31" x14ac:dyDescent="0.3">
      <c r="A29" t="s">
        <v>120</v>
      </c>
      <c r="B29" t="s">
        <v>176</v>
      </c>
      <c r="C29" t="s">
        <v>0</v>
      </c>
      <c r="D29" t="s">
        <v>177</v>
      </c>
      <c r="E29" t="s">
        <v>123</v>
      </c>
      <c r="F29">
        <v>6</v>
      </c>
      <c r="G29">
        <v>2</v>
      </c>
      <c r="H29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5</v>
      </c>
      <c r="AB29">
        <v>4</v>
      </c>
      <c r="AC29">
        <v>5</v>
      </c>
      <c r="AD29">
        <v>4</v>
      </c>
      <c r="AE29">
        <v>2</v>
      </c>
    </row>
    <row r="30" spans="1:31" x14ac:dyDescent="0.3">
      <c r="A30" t="s">
        <v>120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120</v>
      </c>
      <c r="B31" t="s">
        <v>180</v>
      </c>
      <c r="C31" t="s">
        <v>0</v>
      </c>
      <c r="D31" t="s">
        <v>181</v>
      </c>
      <c r="E31" t="s">
        <v>123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120</v>
      </c>
      <c r="B32" t="s">
        <v>182</v>
      </c>
      <c r="C32" t="s">
        <v>0</v>
      </c>
      <c r="D32" t="s">
        <v>183</v>
      </c>
      <c r="E32" t="s">
        <v>123</v>
      </c>
      <c r="F32">
        <v>27</v>
      </c>
      <c r="G32">
        <v>11</v>
      </c>
      <c r="H32">
        <v>7</v>
      </c>
      <c r="I32">
        <v>10</v>
      </c>
      <c r="J32">
        <v>8</v>
      </c>
      <c r="K32">
        <v>6</v>
      </c>
      <c r="L32">
        <v>1</v>
      </c>
      <c r="M32">
        <v>1</v>
      </c>
      <c r="N32">
        <v>4</v>
      </c>
      <c r="O32">
        <v>5</v>
      </c>
      <c r="P32">
        <v>4</v>
      </c>
      <c r="Q32">
        <v>6</v>
      </c>
      <c r="R32">
        <v>7</v>
      </c>
      <c r="S32">
        <v>7</v>
      </c>
      <c r="T32">
        <v>8</v>
      </c>
      <c r="U32">
        <v>5</v>
      </c>
      <c r="V32">
        <v>4</v>
      </c>
      <c r="W32">
        <v>5</v>
      </c>
      <c r="X32">
        <v>6</v>
      </c>
      <c r="Y32">
        <v>7</v>
      </c>
      <c r="Z32">
        <v>7</v>
      </c>
      <c r="AA32">
        <v>7</v>
      </c>
      <c r="AB32">
        <v>3</v>
      </c>
      <c r="AC32">
        <v>2</v>
      </c>
      <c r="AD32">
        <v>6</v>
      </c>
      <c r="AE32">
        <v>2</v>
      </c>
    </row>
    <row r="33" spans="1:31" x14ac:dyDescent="0.3">
      <c r="A33" t="s">
        <v>120</v>
      </c>
      <c r="B33" t="s">
        <v>184</v>
      </c>
      <c r="C33" t="s">
        <v>0</v>
      </c>
      <c r="D33" t="s">
        <v>185</v>
      </c>
      <c r="E33" t="s">
        <v>123</v>
      </c>
      <c r="F33">
        <v>13</v>
      </c>
      <c r="G33">
        <v>3</v>
      </c>
      <c r="H33">
        <v>3</v>
      </c>
      <c r="I33">
        <v>6</v>
      </c>
      <c r="J33">
        <v>7</v>
      </c>
      <c r="K33">
        <v>4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120</v>
      </c>
      <c r="B34" t="s">
        <v>186</v>
      </c>
      <c r="C34" t="s">
        <v>0</v>
      </c>
      <c r="D34" t="s">
        <v>187</v>
      </c>
      <c r="E34" t="s">
        <v>123</v>
      </c>
      <c r="F34">
        <v>7</v>
      </c>
      <c r="G34">
        <v>6</v>
      </c>
      <c r="H34">
        <v>6</v>
      </c>
      <c r="I34">
        <v>10</v>
      </c>
      <c r="J34">
        <v>8</v>
      </c>
      <c r="K34">
        <v>6</v>
      </c>
      <c r="L34">
        <v>2</v>
      </c>
      <c r="M34">
        <v>3</v>
      </c>
      <c r="N34">
        <v>4</v>
      </c>
      <c r="O34">
        <v>4</v>
      </c>
      <c r="P34">
        <v>4</v>
      </c>
      <c r="Q34">
        <v>3</v>
      </c>
      <c r="R34">
        <v>5</v>
      </c>
      <c r="S34">
        <v>8</v>
      </c>
      <c r="T34">
        <v>6</v>
      </c>
      <c r="U34">
        <v>4</v>
      </c>
      <c r="V34">
        <v>5</v>
      </c>
      <c r="W34">
        <v>5</v>
      </c>
      <c r="X34">
        <v>3</v>
      </c>
      <c r="Y34">
        <v>3</v>
      </c>
      <c r="Z34">
        <v>3</v>
      </c>
      <c r="AA34">
        <v>4</v>
      </c>
      <c r="AB34">
        <v>2</v>
      </c>
      <c r="AC34">
        <v>4</v>
      </c>
      <c r="AD34">
        <v>3</v>
      </c>
      <c r="AE34">
        <v>2</v>
      </c>
    </row>
    <row r="35" spans="1:31" x14ac:dyDescent="0.3">
      <c r="A35" t="s">
        <v>120</v>
      </c>
      <c r="B35" t="s">
        <v>188</v>
      </c>
      <c r="C35" t="s">
        <v>0</v>
      </c>
      <c r="D35" t="s">
        <v>189</v>
      </c>
      <c r="E35" t="s">
        <v>123</v>
      </c>
      <c r="F35">
        <v>125</v>
      </c>
      <c r="G35">
        <v>99</v>
      </c>
      <c r="H35">
        <v>98</v>
      </c>
      <c r="I35">
        <v>128</v>
      </c>
      <c r="J35">
        <v>131</v>
      </c>
      <c r="K35">
        <v>115</v>
      </c>
      <c r="L35">
        <v>54</v>
      </c>
      <c r="M35">
        <v>63</v>
      </c>
      <c r="N35">
        <v>55</v>
      </c>
      <c r="O35">
        <v>78</v>
      </c>
      <c r="P35">
        <v>118</v>
      </c>
      <c r="Q35">
        <v>105</v>
      </c>
      <c r="R35">
        <v>96</v>
      </c>
      <c r="S35">
        <v>117</v>
      </c>
      <c r="T35">
        <v>73</v>
      </c>
      <c r="U35">
        <v>132</v>
      </c>
      <c r="V35">
        <v>140</v>
      </c>
      <c r="W35">
        <v>150</v>
      </c>
      <c r="X35">
        <v>145</v>
      </c>
      <c r="Y35">
        <v>217</v>
      </c>
      <c r="Z35">
        <v>348</v>
      </c>
      <c r="AA35">
        <v>341</v>
      </c>
      <c r="AB35">
        <v>383</v>
      </c>
      <c r="AC35">
        <v>711</v>
      </c>
      <c r="AD35">
        <v>263</v>
      </c>
      <c r="AE35">
        <v>217</v>
      </c>
    </row>
    <row r="36" spans="1:31" x14ac:dyDescent="0.3">
      <c r="A36" t="s">
        <v>120</v>
      </c>
      <c r="B36" t="s">
        <v>190</v>
      </c>
      <c r="C36" t="s">
        <v>0</v>
      </c>
      <c r="D36" t="s">
        <v>191</v>
      </c>
      <c r="E36" t="s">
        <v>123</v>
      </c>
      <c r="F36">
        <v>12</v>
      </c>
      <c r="G36">
        <v>9</v>
      </c>
      <c r="H36">
        <v>12</v>
      </c>
      <c r="I36">
        <v>11</v>
      </c>
      <c r="J36">
        <v>7</v>
      </c>
      <c r="K36">
        <v>8</v>
      </c>
      <c r="L36">
        <v>3</v>
      </c>
      <c r="M36">
        <v>3</v>
      </c>
      <c r="N36">
        <v>4</v>
      </c>
      <c r="O36">
        <v>3</v>
      </c>
      <c r="P36">
        <v>5</v>
      </c>
      <c r="Q36">
        <v>4</v>
      </c>
      <c r="R36">
        <v>4</v>
      </c>
      <c r="S36">
        <v>15</v>
      </c>
      <c r="T36">
        <v>5</v>
      </c>
      <c r="U36">
        <v>7</v>
      </c>
      <c r="V36">
        <v>4</v>
      </c>
      <c r="W36">
        <v>6</v>
      </c>
      <c r="X36">
        <v>4</v>
      </c>
      <c r="Y36">
        <v>3</v>
      </c>
      <c r="Z36">
        <v>30</v>
      </c>
      <c r="AA36">
        <v>34</v>
      </c>
      <c r="AB36">
        <v>38</v>
      </c>
      <c r="AC36">
        <v>22</v>
      </c>
      <c r="AD36">
        <v>10</v>
      </c>
      <c r="AE36">
        <v>5</v>
      </c>
    </row>
    <row r="37" spans="1:31" x14ac:dyDescent="0.3">
      <c r="A37" t="s">
        <v>120</v>
      </c>
      <c r="B37" t="s">
        <v>192</v>
      </c>
      <c r="C37" t="s">
        <v>0</v>
      </c>
      <c r="D37" t="s">
        <v>193</v>
      </c>
      <c r="E37" t="s">
        <v>123</v>
      </c>
      <c r="F37">
        <v>89</v>
      </c>
      <c r="G37">
        <v>68</v>
      </c>
      <c r="H37">
        <v>63</v>
      </c>
      <c r="I37">
        <v>86</v>
      </c>
      <c r="J37">
        <v>84</v>
      </c>
      <c r="K37">
        <v>68</v>
      </c>
      <c r="L37">
        <v>31</v>
      </c>
      <c r="M37">
        <v>37</v>
      </c>
      <c r="N37">
        <v>26</v>
      </c>
      <c r="O37">
        <v>43</v>
      </c>
      <c r="P37">
        <v>83</v>
      </c>
      <c r="Q37">
        <v>38</v>
      </c>
      <c r="R37">
        <v>31</v>
      </c>
      <c r="S37">
        <v>40</v>
      </c>
      <c r="T37">
        <v>23</v>
      </c>
      <c r="U37">
        <v>38</v>
      </c>
      <c r="V37">
        <v>51</v>
      </c>
      <c r="W37">
        <v>52</v>
      </c>
      <c r="X37">
        <v>54</v>
      </c>
      <c r="Y37">
        <v>54</v>
      </c>
      <c r="Z37">
        <v>54</v>
      </c>
      <c r="AA37">
        <v>62</v>
      </c>
      <c r="AB37">
        <v>48</v>
      </c>
      <c r="AC37">
        <v>58</v>
      </c>
      <c r="AD37">
        <v>46</v>
      </c>
      <c r="AE37">
        <v>56</v>
      </c>
    </row>
    <row r="38" spans="1:31" x14ac:dyDescent="0.3">
      <c r="A38" t="s">
        <v>120</v>
      </c>
      <c r="B38" t="s">
        <v>194</v>
      </c>
      <c r="C38" t="s">
        <v>0</v>
      </c>
      <c r="D38" t="s">
        <v>195</v>
      </c>
      <c r="E38" t="s">
        <v>123</v>
      </c>
      <c r="F38">
        <v>24</v>
      </c>
      <c r="G38">
        <v>22</v>
      </c>
      <c r="H38">
        <v>23</v>
      </c>
      <c r="I38">
        <v>31</v>
      </c>
      <c r="J38">
        <v>40</v>
      </c>
      <c r="K38">
        <v>39</v>
      </c>
      <c r="L38">
        <v>20</v>
      </c>
      <c r="M38">
        <v>23</v>
      </c>
      <c r="N38">
        <v>25</v>
      </c>
      <c r="O38">
        <v>32</v>
      </c>
      <c r="P38">
        <v>30</v>
      </c>
      <c r="Q38">
        <v>63</v>
      </c>
      <c r="R38">
        <v>61</v>
      </c>
      <c r="S38">
        <v>62</v>
      </c>
      <c r="T38">
        <v>45</v>
      </c>
      <c r="U38">
        <v>87</v>
      </c>
      <c r="V38">
        <v>85</v>
      </c>
      <c r="W38">
        <v>92</v>
      </c>
      <c r="X38">
        <v>87</v>
      </c>
      <c r="Y38">
        <v>160</v>
      </c>
      <c r="Z38">
        <v>264</v>
      </c>
      <c r="AA38">
        <v>245</v>
      </c>
      <c r="AB38">
        <v>297</v>
      </c>
      <c r="AC38">
        <v>631</v>
      </c>
      <c r="AD38">
        <v>207</v>
      </c>
      <c r="AE38">
        <v>156</v>
      </c>
    </row>
    <row r="39" spans="1:31" x14ac:dyDescent="0.3">
      <c r="A39" t="s">
        <v>120</v>
      </c>
      <c r="B39" t="s">
        <v>196</v>
      </c>
      <c r="C39" t="s">
        <v>0</v>
      </c>
      <c r="D39" t="s">
        <v>197</v>
      </c>
      <c r="E39" t="s">
        <v>123</v>
      </c>
      <c r="F39">
        <v>10</v>
      </c>
      <c r="G39">
        <v>24</v>
      </c>
      <c r="H39">
        <v>26</v>
      </c>
      <c r="I39">
        <v>24</v>
      </c>
      <c r="J39">
        <v>21</v>
      </c>
      <c r="K39">
        <v>47</v>
      </c>
      <c r="L39">
        <v>32</v>
      </c>
      <c r="M39">
        <v>40</v>
      </c>
      <c r="N39">
        <v>47</v>
      </c>
      <c r="O39">
        <v>23</v>
      </c>
      <c r="P39">
        <v>45</v>
      </c>
      <c r="Q39">
        <v>3</v>
      </c>
      <c r="R39">
        <v>40</v>
      </c>
      <c r="S39">
        <v>48</v>
      </c>
      <c r="T39">
        <v>32</v>
      </c>
      <c r="U39">
        <v>34</v>
      </c>
      <c r="V39">
        <v>35</v>
      </c>
      <c r="W39">
        <v>33</v>
      </c>
      <c r="X39">
        <v>44</v>
      </c>
      <c r="Y39">
        <v>43</v>
      </c>
      <c r="Z39">
        <v>41</v>
      </c>
      <c r="AA39">
        <v>41</v>
      </c>
      <c r="AB39">
        <v>111</v>
      </c>
      <c r="AC39">
        <v>63</v>
      </c>
      <c r="AD39">
        <v>102</v>
      </c>
      <c r="AE39">
        <v>78</v>
      </c>
    </row>
    <row r="40" spans="1:31" x14ac:dyDescent="0.3">
      <c r="A40" t="s">
        <v>120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1</v>
      </c>
      <c r="H40">
        <v>2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2</v>
      </c>
      <c r="Q40">
        <v>2</v>
      </c>
      <c r="R40">
        <v>2</v>
      </c>
      <c r="S40">
        <v>11</v>
      </c>
      <c r="T40">
        <v>5</v>
      </c>
      <c r="U40">
        <v>3</v>
      </c>
      <c r="V40">
        <v>3</v>
      </c>
      <c r="W40">
        <v>4</v>
      </c>
      <c r="X40">
        <v>6</v>
      </c>
      <c r="Y40">
        <v>5</v>
      </c>
      <c r="Z40">
        <v>5</v>
      </c>
      <c r="AA40">
        <v>6</v>
      </c>
      <c r="AB40">
        <v>6</v>
      </c>
      <c r="AC40">
        <v>6</v>
      </c>
      <c r="AD40">
        <v>5</v>
      </c>
      <c r="AE40">
        <v>5</v>
      </c>
    </row>
    <row r="41" spans="1:31" x14ac:dyDescent="0.3">
      <c r="A41" t="s">
        <v>120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120</v>
      </c>
      <c r="B42" t="s">
        <v>202</v>
      </c>
      <c r="C42" t="s">
        <v>0</v>
      </c>
      <c r="D42" t="s">
        <v>203</v>
      </c>
      <c r="E42" t="s">
        <v>123</v>
      </c>
      <c r="F42">
        <v>36</v>
      </c>
      <c r="G42">
        <v>25</v>
      </c>
      <c r="H42">
        <v>13</v>
      </c>
      <c r="I42">
        <v>20</v>
      </c>
      <c r="J42">
        <v>18</v>
      </c>
      <c r="K42">
        <v>11</v>
      </c>
      <c r="L42">
        <v>1</v>
      </c>
      <c r="M42">
        <v>4</v>
      </c>
      <c r="N42">
        <v>8</v>
      </c>
      <c r="O42">
        <v>9</v>
      </c>
      <c r="P42">
        <v>9</v>
      </c>
      <c r="Q42">
        <v>15</v>
      </c>
      <c r="R42">
        <v>19</v>
      </c>
      <c r="S42">
        <v>47</v>
      </c>
      <c r="T42">
        <v>11</v>
      </c>
      <c r="U42">
        <v>17</v>
      </c>
      <c r="V42">
        <v>93</v>
      </c>
      <c r="W42">
        <v>41</v>
      </c>
      <c r="X42">
        <v>33</v>
      </c>
      <c r="Y42">
        <v>33</v>
      </c>
      <c r="Z42">
        <v>30</v>
      </c>
      <c r="AA42">
        <v>41</v>
      </c>
      <c r="AB42">
        <v>42</v>
      </c>
      <c r="AC42">
        <v>30</v>
      </c>
      <c r="AD42">
        <v>30</v>
      </c>
      <c r="AE42">
        <v>20</v>
      </c>
    </row>
    <row r="43" spans="1:31" x14ac:dyDescent="0.3">
      <c r="A43" t="s">
        <v>120</v>
      </c>
      <c r="B43" t="s">
        <v>204</v>
      </c>
      <c r="C43" t="s">
        <v>0</v>
      </c>
      <c r="D43" t="s">
        <v>205</v>
      </c>
      <c r="E43" t="s">
        <v>123</v>
      </c>
      <c r="F43">
        <v>42</v>
      </c>
      <c r="G43">
        <v>27</v>
      </c>
      <c r="H43">
        <v>14</v>
      </c>
      <c r="I43">
        <v>23</v>
      </c>
      <c r="J43">
        <v>20</v>
      </c>
      <c r="K43">
        <v>13</v>
      </c>
      <c r="L43">
        <v>1</v>
      </c>
      <c r="M43">
        <v>4</v>
      </c>
      <c r="N43">
        <v>8</v>
      </c>
      <c r="O43">
        <v>9</v>
      </c>
      <c r="P43">
        <v>10</v>
      </c>
      <c r="Q43">
        <v>19</v>
      </c>
      <c r="R43">
        <v>94</v>
      </c>
      <c r="S43">
        <v>157</v>
      </c>
      <c r="T43">
        <v>67</v>
      </c>
      <c r="U43">
        <v>65</v>
      </c>
      <c r="V43">
        <v>156</v>
      </c>
      <c r="W43">
        <v>106</v>
      </c>
      <c r="X43">
        <v>88</v>
      </c>
      <c r="Y43">
        <v>80</v>
      </c>
      <c r="Z43">
        <v>55</v>
      </c>
      <c r="AA43">
        <v>74</v>
      </c>
      <c r="AB43">
        <v>67</v>
      </c>
      <c r="AC43">
        <v>58</v>
      </c>
      <c r="AD43">
        <v>56</v>
      </c>
      <c r="AE43">
        <v>40</v>
      </c>
    </row>
    <row r="44" spans="1:31" x14ac:dyDescent="0.3">
      <c r="A44" t="s">
        <v>120</v>
      </c>
      <c r="B44" t="s">
        <v>206</v>
      </c>
      <c r="C44" t="s">
        <v>0</v>
      </c>
      <c r="D44" t="s">
        <v>207</v>
      </c>
      <c r="E44" t="s">
        <v>123</v>
      </c>
      <c r="F44">
        <v>720</v>
      </c>
      <c r="G44">
        <v>495</v>
      </c>
      <c r="H44">
        <v>448</v>
      </c>
      <c r="I44">
        <v>561</v>
      </c>
      <c r="J44">
        <v>520</v>
      </c>
      <c r="K44">
        <v>440</v>
      </c>
      <c r="L44">
        <v>218</v>
      </c>
      <c r="M44">
        <v>240</v>
      </c>
      <c r="N44">
        <v>268</v>
      </c>
      <c r="O44">
        <v>292</v>
      </c>
      <c r="P44">
        <v>349</v>
      </c>
      <c r="Q44">
        <v>354</v>
      </c>
      <c r="R44">
        <v>506</v>
      </c>
      <c r="S44">
        <v>565</v>
      </c>
      <c r="T44">
        <v>390</v>
      </c>
      <c r="U44">
        <v>420</v>
      </c>
      <c r="V44">
        <v>518</v>
      </c>
      <c r="W44">
        <v>497</v>
      </c>
      <c r="X44">
        <v>448</v>
      </c>
      <c r="Y44">
        <v>523</v>
      </c>
      <c r="Z44">
        <v>651</v>
      </c>
      <c r="AA44">
        <v>662</v>
      </c>
      <c r="AB44">
        <v>750</v>
      </c>
      <c r="AC44">
        <v>1020</v>
      </c>
      <c r="AD44">
        <v>590</v>
      </c>
      <c r="AE44">
        <v>481</v>
      </c>
    </row>
    <row r="45" spans="1:31" x14ac:dyDescent="0.3">
      <c r="A45" t="s">
        <v>120</v>
      </c>
      <c r="B45" t="s">
        <v>208</v>
      </c>
      <c r="C45" t="s">
        <v>0</v>
      </c>
      <c r="D45" t="s">
        <v>209</v>
      </c>
      <c r="E45" t="s">
        <v>123</v>
      </c>
      <c r="F45">
        <v>674</v>
      </c>
      <c r="G45">
        <v>473</v>
      </c>
      <c r="H45">
        <v>425</v>
      </c>
      <c r="I45">
        <v>532</v>
      </c>
      <c r="J45">
        <v>492</v>
      </c>
      <c r="K45">
        <v>421</v>
      </c>
      <c r="L45">
        <v>210</v>
      </c>
      <c r="M45">
        <v>230</v>
      </c>
      <c r="N45">
        <v>256</v>
      </c>
      <c r="O45">
        <v>277</v>
      </c>
      <c r="P45">
        <v>335</v>
      </c>
      <c r="Q45">
        <v>341</v>
      </c>
      <c r="R45">
        <v>493</v>
      </c>
      <c r="S45">
        <v>552</v>
      </c>
      <c r="T45">
        <v>377</v>
      </c>
      <c r="U45">
        <v>404</v>
      </c>
      <c r="V45">
        <v>504</v>
      </c>
      <c r="W45">
        <v>483</v>
      </c>
      <c r="X45">
        <v>434</v>
      </c>
      <c r="Y45">
        <v>509</v>
      </c>
      <c r="Z45">
        <v>637</v>
      </c>
      <c r="AA45">
        <v>648</v>
      </c>
      <c r="AB45">
        <v>736</v>
      </c>
      <c r="AC45">
        <v>1009</v>
      </c>
      <c r="AD45">
        <v>580</v>
      </c>
      <c r="AE45">
        <v>473</v>
      </c>
    </row>
    <row r="46" spans="1:31" x14ac:dyDescent="0.3">
      <c r="A46" t="s">
        <v>120</v>
      </c>
      <c r="B46" t="s">
        <v>210</v>
      </c>
      <c r="C46" t="s">
        <v>0</v>
      </c>
      <c r="D46" t="s">
        <v>211</v>
      </c>
      <c r="E46" t="s">
        <v>123</v>
      </c>
      <c r="F46">
        <v>6</v>
      </c>
      <c r="G46">
        <v>2</v>
      </c>
      <c r="H46">
        <v>1</v>
      </c>
      <c r="I46">
        <v>3</v>
      </c>
      <c r="J46">
        <v>2</v>
      </c>
      <c r="K46">
        <v>2</v>
      </c>
      <c r="L46">
        <v>0</v>
      </c>
      <c r="M46">
        <v>0</v>
      </c>
      <c r="N46">
        <v>0</v>
      </c>
      <c r="O46">
        <v>0</v>
      </c>
      <c r="P46">
        <v>1</v>
      </c>
      <c r="Q46">
        <v>4</v>
      </c>
      <c r="R46">
        <v>75</v>
      </c>
      <c r="S46">
        <v>110</v>
      </c>
      <c r="T46">
        <v>56</v>
      </c>
      <c r="U46">
        <v>48</v>
      </c>
      <c r="V46">
        <v>63</v>
      </c>
      <c r="W46">
        <v>65</v>
      </c>
      <c r="X46">
        <v>55</v>
      </c>
      <c r="Y46">
        <v>47</v>
      </c>
      <c r="Z46">
        <v>25</v>
      </c>
      <c r="AA46">
        <v>33</v>
      </c>
      <c r="AB46">
        <v>25</v>
      </c>
      <c r="AC46">
        <v>28</v>
      </c>
      <c r="AD46">
        <v>26</v>
      </c>
      <c r="AE46">
        <v>20</v>
      </c>
    </row>
    <row r="47" spans="1:31" x14ac:dyDescent="0.3">
      <c r="A47" t="s">
        <v>120</v>
      </c>
      <c r="B47" t="s">
        <v>212</v>
      </c>
      <c r="C47" t="s">
        <v>0</v>
      </c>
      <c r="D47" t="s">
        <v>213</v>
      </c>
      <c r="E47" t="s">
        <v>123</v>
      </c>
      <c r="F47">
        <v>80</v>
      </c>
      <c r="G47">
        <v>60</v>
      </c>
      <c r="H47">
        <v>46</v>
      </c>
      <c r="I47">
        <v>63</v>
      </c>
      <c r="J47">
        <v>78</v>
      </c>
      <c r="K47">
        <v>57</v>
      </c>
      <c r="L47">
        <v>28</v>
      </c>
      <c r="M47">
        <v>30</v>
      </c>
      <c r="N47">
        <v>35</v>
      </c>
      <c r="O47">
        <v>43</v>
      </c>
      <c r="P47">
        <v>38</v>
      </c>
      <c r="Q47">
        <v>16</v>
      </c>
      <c r="R47">
        <v>19</v>
      </c>
      <c r="S47">
        <v>23</v>
      </c>
      <c r="T47">
        <v>27</v>
      </c>
      <c r="U47">
        <v>37</v>
      </c>
      <c r="V47">
        <v>28</v>
      </c>
      <c r="W47">
        <v>31</v>
      </c>
      <c r="X47">
        <v>24</v>
      </c>
      <c r="Y47">
        <v>27</v>
      </c>
      <c r="Z47">
        <v>32</v>
      </c>
      <c r="AA47">
        <v>36</v>
      </c>
      <c r="AB47">
        <v>36</v>
      </c>
      <c r="AC47">
        <v>43</v>
      </c>
      <c r="AD47">
        <v>55</v>
      </c>
      <c r="AE47">
        <v>86</v>
      </c>
    </row>
    <row r="48" spans="1:31" x14ac:dyDescent="0.3">
      <c r="A48" t="s">
        <v>120</v>
      </c>
      <c r="B48" t="s">
        <v>214</v>
      </c>
      <c r="C48" t="s">
        <v>0</v>
      </c>
      <c r="D48" t="s">
        <v>215</v>
      </c>
      <c r="E48" t="s">
        <v>123</v>
      </c>
      <c r="F48">
        <v>116</v>
      </c>
      <c r="G48">
        <v>84</v>
      </c>
      <c r="H48">
        <v>68</v>
      </c>
      <c r="I48">
        <v>90</v>
      </c>
      <c r="J48">
        <v>107</v>
      </c>
      <c r="K48">
        <v>80</v>
      </c>
      <c r="L48">
        <v>40</v>
      </c>
      <c r="M48">
        <v>45</v>
      </c>
      <c r="N48">
        <v>51</v>
      </c>
      <c r="O48">
        <v>62</v>
      </c>
      <c r="P48">
        <v>57</v>
      </c>
      <c r="Q48">
        <v>48</v>
      </c>
      <c r="R48">
        <v>61</v>
      </c>
      <c r="S48">
        <v>66</v>
      </c>
      <c r="T48">
        <v>77</v>
      </c>
      <c r="U48">
        <v>68</v>
      </c>
      <c r="V48">
        <v>62</v>
      </c>
      <c r="W48">
        <v>69</v>
      </c>
      <c r="X48">
        <v>69</v>
      </c>
      <c r="Y48">
        <v>63</v>
      </c>
      <c r="Z48">
        <v>69</v>
      </c>
      <c r="AA48">
        <v>73</v>
      </c>
      <c r="AB48">
        <v>74</v>
      </c>
      <c r="AC48">
        <v>86</v>
      </c>
      <c r="AD48">
        <v>92</v>
      </c>
      <c r="AE48">
        <v>122</v>
      </c>
    </row>
    <row r="49" spans="1:31" x14ac:dyDescent="0.3">
      <c r="A49" t="s">
        <v>120</v>
      </c>
      <c r="B49" t="s">
        <v>216</v>
      </c>
      <c r="C49" t="s">
        <v>0</v>
      </c>
      <c r="D49" t="s">
        <v>217</v>
      </c>
      <c r="E49" t="s">
        <v>123</v>
      </c>
      <c r="F49">
        <v>19</v>
      </c>
      <c r="G49">
        <v>11</v>
      </c>
      <c r="H49">
        <v>9</v>
      </c>
      <c r="I49">
        <v>11</v>
      </c>
      <c r="J49">
        <v>12</v>
      </c>
      <c r="K49">
        <v>9</v>
      </c>
      <c r="L49">
        <v>5</v>
      </c>
      <c r="M49">
        <v>6</v>
      </c>
      <c r="N49">
        <v>6</v>
      </c>
      <c r="O49">
        <v>7</v>
      </c>
      <c r="P49">
        <v>6</v>
      </c>
      <c r="Q49">
        <v>23</v>
      </c>
      <c r="R49">
        <v>27</v>
      </c>
      <c r="S49">
        <v>28</v>
      </c>
      <c r="T49">
        <v>34</v>
      </c>
      <c r="U49">
        <v>17</v>
      </c>
      <c r="V49">
        <v>20</v>
      </c>
      <c r="W49">
        <v>24</v>
      </c>
      <c r="X49">
        <v>28</v>
      </c>
      <c r="Y49">
        <v>24</v>
      </c>
      <c r="Z49">
        <v>22</v>
      </c>
      <c r="AA49">
        <v>22</v>
      </c>
      <c r="AB49">
        <v>22</v>
      </c>
      <c r="AC49">
        <v>22</v>
      </c>
      <c r="AD49">
        <v>19</v>
      </c>
      <c r="AE49">
        <v>19</v>
      </c>
    </row>
    <row r="50" spans="1:31" x14ac:dyDescent="0.3">
      <c r="A50" t="s">
        <v>120</v>
      </c>
      <c r="B50" t="s">
        <v>218</v>
      </c>
      <c r="C50" t="s">
        <v>0</v>
      </c>
      <c r="D50" t="s">
        <v>219</v>
      </c>
      <c r="E50" t="s">
        <v>123</v>
      </c>
      <c r="F50">
        <v>17</v>
      </c>
      <c r="G50">
        <v>13</v>
      </c>
      <c r="H50">
        <v>13</v>
      </c>
      <c r="I50">
        <v>16</v>
      </c>
      <c r="J50">
        <v>17</v>
      </c>
      <c r="K50">
        <v>14</v>
      </c>
      <c r="L50">
        <v>7</v>
      </c>
      <c r="M50">
        <v>9</v>
      </c>
      <c r="N50">
        <v>10</v>
      </c>
      <c r="O50">
        <v>12</v>
      </c>
      <c r="P50">
        <v>13</v>
      </c>
      <c r="Q50">
        <v>9</v>
      </c>
      <c r="R50">
        <v>15</v>
      </c>
      <c r="S50">
        <v>15</v>
      </c>
      <c r="T50">
        <v>16</v>
      </c>
      <c r="U50">
        <v>14</v>
      </c>
      <c r="V50">
        <v>14</v>
      </c>
      <c r="W50">
        <v>14</v>
      </c>
      <c r="X50">
        <v>17</v>
      </c>
      <c r="Y50">
        <v>12</v>
      </c>
      <c r="Z50">
        <v>15</v>
      </c>
      <c r="AA50">
        <v>15</v>
      </c>
      <c r="AB50">
        <v>16</v>
      </c>
      <c r="AC50">
        <v>21</v>
      </c>
      <c r="AD50">
        <v>18</v>
      </c>
      <c r="AE50">
        <v>17</v>
      </c>
    </row>
    <row r="51" spans="1:31" x14ac:dyDescent="0.3">
      <c r="A51" t="s">
        <v>120</v>
      </c>
      <c r="B51" t="s">
        <v>220</v>
      </c>
      <c r="C51" t="s">
        <v>0</v>
      </c>
      <c r="D51" t="s">
        <v>221</v>
      </c>
      <c r="E51" t="s">
        <v>123</v>
      </c>
      <c r="F51">
        <v>16</v>
      </c>
      <c r="G51">
        <v>12</v>
      </c>
      <c r="H51">
        <v>12</v>
      </c>
      <c r="I51">
        <v>15</v>
      </c>
      <c r="J51">
        <v>16</v>
      </c>
      <c r="K51">
        <v>13</v>
      </c>
      <c r="L51">
        <v>7</v>
      </c>
      <c r="M51">
        <v>9</v>
      </c>
      <c r="N51">
        <v>10</v>
      </c>
      <c r="O51">
        <v>11</v>
      </c>
      <c r="P51">
        <v>12</v>
      </c>
      <c r="Q51">
        <v>8</v>
      </c>
      <c r="R51">
        <v>12</v>
      </c>
      <c r="S51">
        <v>12</v>
      </c>
      <c r="T51">
        <v>13</v>
      </c>
      <c r="U51">
        <v>10</v>
      </c>
      <c r="V51">
        <v>11</v>
      </c>
      <c r="W51">
        <v>11</v>
      </c>
      <c r="X51">
        <v>14</v>
      </c>
      <c r="Y51">
        <v>11</v>
      </c>
      <c r="Z51">
        <v>13</v>
      </c>
      <c r="AA51">
        <v>12</v>
      </c>
      <c r="AB51">
        <v>13</v>
      </c>
      <c r="AC51">
        <v>14</v>
      </c>
      <c r="AD51">
        <v>13</v>
      </c>
      <c r="AE51">
        <v>10</v>
      </c>
    </row>
    <row r="52" spans="1:31" x14ac:dyDescent="0.3">
      <c r="A52" t="s">
        <v>120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1</v>
      </c>
      <c r="R52">
        <v>3</v>
      </c>
      <c r="S52">
        <v>3</v>
      </c>
      <c r="T52">
        <v>3</v>
      </c>
      <c r="U52">
        <v>4</v>
      </c>
      <c r="V52">
        <v>3</v>
      </c>
      <c r="W52">
        <v>3</v>
      </c>
      <c r="X52">
        <v>3</v>
      </c>
      <c r="Y52">
        <v>1</v>
      </c>
      <c r="Z52">
        <v>2</v>
      </c>
      <c r="AA52">
        <v>3</v>
      </c>
      <c r="AB52">
        <v>3</v>
      </c>
      <c r="AC52">
        <v>7</v>
      </c>
      <c r="AD52">
        <v>5</v>
      </c>
      <c r="AE52">
        <v>7</v>
      </c>
    </row>
    <row r="53" spans="1:31" x14ac:dyDescent="0.3">
      <c r="A53" t="s">
        <v>120</v>
      </c>
      <c r="B53" t="s">
        <v>224</v>
      </c>
      <c r="C53" t="s">
        <v>0</v>
      </c>
      <c r="D53" t="s">
        <v>225</v>
      </c>
      <c r="E53" t="s">
        <v>123</v>
      </c>
      <c r="F53">
        <v>9</v>
      </c>
      <c r="G53">
        <v>9</v>
      </c>
      <c r="H53">
        <v>11</v>
      </c>
      <c r="I53">
        <v>11</v>
      </c>
      <c r="J53">
        <v>2</v>
      </c>
      <c r="K53">
        <v>7</v>
      </c>
      <c r="L53">
        <v>4</v>
      </c>
      <c r="M53">
        <v>4</v>
      </c>
      <c r="N53">
        <v>6</v>
      </c>
      <c r="O53">
        <v>7</v>
      </c>
      <c r="P53">
        <v>4</v>
      </c>
      <c r="Q53">
        <v>6</v>
      </c>
      <c r="R53">
        <v>6</v>
      </c>
      <c r="S53">
        <v>5</v>
      </c>
      <c r="T53">
        <v>5</v>
      </c>
      <c r="U53">
        <v>3</v>
      </c>
      <c r="V53">
        <v>6</v>
      </c>
      <c r="W53">
        <v>6</v>
      </c>
      <c r="X53">
        <v>8</v>
      </c>
      <c r="Y53">
        <v>6</v>
      </c>
      <c r="Z53">
        <v>6</v>
      </c>
      <c r="AA53">
        <v>8</v>
      </c>
      <c r="AB53">
        <v>7</v>
      </c>
      <c r="AC53">
        <v>6</v>
      </c>
      <c r="AD53">
        <v>5</v>
      </c>
      <c r="AE53">
        <v>4</v>
      </c>
    </row>
    <row r="54" spans="1:31" x14ac:dyDescent="0.3">
      <c r="A54" t="s">
        <v>120</v>
      </c>
      <c r="B54" t="s">
        <v>226</v>
      </c>
      <c r="C54" t="s">
        <v>0</v>
      </c>
      <c r="D54" t="s">
        <v>227</v>
      </c>
      <c r="E54" t="s">
        <v>123</v>
      </c>
      <c r="F54">
        <v>16</v>
      </c>
      <c r="G54">
        <v>12</v>
      </c>
      <c r="H54">
        <v>14</v>
      </c>
      <c r="I54">
        <v>17</v>
      </c>
      <c r="J54">
        <v>7</v>
      </c>
      <c r="K54">
        <v>11</v>
      </c>
      <c r="L54">
        <v>7</v>
      </c>
      <c r="M54">
        <v>6</v>
      </c>
      <c r="N54">
        <v>10</v>
      </c>
      <c r="O54">
        <v>10</v>
      </c>
      <c r="P54">
        <v>7</v>
      </c>
      <c r="Q54">
        <v>12</v>
      </c>
      <c r="R54">
        <v>11</v>
      </c>
      <c r="S54">
        <v>10</v>
      </c>
      <c r="T54">
        <v>9</v>
      </c>
      <c r="U54">
        <v>9</v>
      </c>
      <c r="V54">
        <v>9</v>
      </c>
      <c r="W54">
        <v>12</v>
      </c>
      <c r="X54">
        <v>13</v>
      </c>
      <c r="Y54">
        <v>10</v>
      </c>
      <c r="Z54">
        <v>11</v>
      </c>
      <c r="AA54">
        <v>13</v>
      </c>
      <c r="AB54">
        <v>11</v>
      </c>
      <c r="AC54">
        <v>8</v>
      </c>
      <c r="AD54">
        <v>7</v>
      </c>
      <c r="AE54">
        <v>4</v>
      </c>
    </row>
    <row r="55" spans="1:31" x14ac:dyDescent="0.3">
      <c r="A55" t="s">
        <v>120</v>
      </c>
      <c r="B55" t="s">
        <v>228</v>
      </c>
      <c r="C55" t="s">
        <v>0</v>
      </c>
      <c r="D55" t="s">
        <v>229</v>
      </c>
      <c r="E55" t="s">
        <v>123</v>
      </c>
      <c r="F55">
        <v>7</v>
      </c>
      <c r="G55">
        <v>3</v>
      </c>
      <c r="H55">
        <v>3</v>
      </c>
      <c r="I55">
        <v>6</v>
      </c>
      <c r="J55">
        <v>5</v>
      </c>
      <c r="K55">
        <v>4</v>
      </c>
      <c r="L55">
        <v>3</v>
      </c>
      <c r="M55">
        <v>2</v>
      </c>
      <c r="N55">
        <v>4</v>
      </c>
      <c r="O55">
        <v>3</v>
      </c>
      <c r="P55">
        <v>3</v>
      </c>
      <c r="Q55">
        <v>6</v>
      </c>
      <c r="R55">
        <v>5</v>
      </c>
      <c r="S55">
        <v>5</v>
      </c>
      <c r="T55">
        <v>4</v>
      </c>
      <c r="U55">
        <v>6</v>
      </c>
      <c r="V55">
        <v>3</v>
      </c>
      <c r="W55">
        <v>6</v>
      </c>
      <c r="X55">
        <v>5</v>
      </c>
      <c r="Y55">
        <v>4</v>
      </c>
      <c r="Z55">
        <v>5</v>
      </c>
      <c r="AA55">
        <v>5</v>
      </c>
      <c r="AB55">
        <v>4</v>
      </c>
      <c r="AC55">
        <v>2</v>
      </c>
      <c r="AD55">
        <v>2</v>
      </c>
      <c r="AE55">
        <v>0</v>
      </c>
    </row>
    <row r="56" spans="1:31" x14ac:dyDescent="0.3">
      <c r="A56" t="s">
        <v>120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120</v>
      </c>
      <c r="B57" t="s">
        <v>232</v>
      </c>
      <c r="C57" t="s">
        <v>0</v>
      </c>
      <c r="D57" t="s">
        <v>233</v>
      </c>
      <c r="E57" t="s">
        <v>123</v>
      </c>
      <c r="F57">
        <v>838</v>
      </c>
      <c r="G57">
        <v>580</v>
      </c>
      <c r="H57">
        <v>518</v>
      </c>
      <c r="I57">
        <v>652</v>
      </c>
      <c r="J57">
        <v>628</v>
      </c>
      <c r="K57">
        <v>521</v>
      </c>
      <c r="L57">
        <v>258</v>
      </c>
      <c r="M57">
        <v>285</v>
      </c>
      <c r="N57">
        <v>320</v>
      </c>
      <c r="O57">
        <v>355</v>
      </c>
      <c r="P57">
        <v>408</v>
      </c>
      <c r="Q57">
        <v>404</v>
      </c>
      <c r="R57">
        <v>569</v>
      </c>
      <c r="S57">
        <v>642</v>
      </c>
      <c r="T57">
        <v>472</v>
      </c>
      <c r="U57">
        <v>491</v>
      </c>
      <c r="V57">
        <v>583</v>
      </c>
      <c r="W57">
        <v>570</v>
      </c>
      <c r="X57">
        <v>523</v>
      </c>
      <c r="Y57">
        <v>591</v>
      </c>
      <c r="Z57">
        <v>725</v>
      </c>
      <c r="AA57">
        <v>741</v>
      </c>
      <c r="AB57">
        <v>830</v>
      </c>
      <c r="AC57">
        <v>1112</v>
      </c>
      <c r="AD57">
        <v>687</v>
      </c>
      <c r="AE57">
        <v>608</v>
      </c>
    </row>
    <row r="58" spans="1:31" x14ac:dyDescent="0.3">
      <c r="A58" t="s">
        <v>120</v>
      </c>
      <c r="B58" t="s">
        <v>234</v>
      </c>
      <c r="C58" t="s">
        <v>0</v>
      </c>
      <c r="D58" t="s">
        <v>235</v>
      </c>
      <c r="E58" t="s">
        <v>123</v>
      </c>
      <c r="F58">
        <v>838</v>
      </c>
      <c r="G58">
        <v>580</v>
      </c>
      <c r="H58">
        <v>518</v>
      </c>
      <c r="I58">
        <v>652</v>
      </c>
      <c r="J58">
        <v>628</v>
      </c>
      <c r="K58">
        <v>521</v>
      </c>
      <c r="L58">
        <v>258</v>
      </c>
      <c r="M58">
        <v>285</v>
      </c>
      <c r="N58">
        <v>320</v>
      </c>
      <c r="O58">
        <v>355</v>
      </c>
      <c r="P58">
        <v>408</v>
      </c>
      <c r="Q58">
        <v>404</v>
      </c>
      <c r="R58">
        <v>569</v>
      </c>
      <c r="S58">
        <v>642</v>
      </c>
      <c r="T58">
        <v>472</v>
      </c>
      <c r="U58">
        <v>491</v>
      </c>
      <c r="V58">
        <v>583</v>
      </c>
      <c r="W58">
        <v>570</v>
      </c>
      <c r="X58">
        <v>523</v>
      </c>
      <c r="Y58">
        <v>591</v>
      </c>
      <c r="Z58">
        <v>725</v>
      </c>
      <c r="AA58">
        <v>741</v>
      </c>
      <c r="AB58">
        <v>830</v>
      </c>
      <c r="AC58">
        <v>1112</v>
      </c>
      <c r="AD58">
        <v>687</v>
      </c>
      <c r="AE58">
        <v>608</v>
      </c>
    </row>
    <row r="59" spans="1:31" x14ac:dyDescent="0.3">
      <c r="A59" t="s">
        <v>120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9"/>
  <sheetViews>
    <sheetView topLeftCell="J1" workbookViewId="0">
      <selection activeCell="AE1" sqref="AE1"/>
    </sheetView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238</v>
      </c>
      <c r="B2" t="s">
        <v>121</v>
      </c>
      <c r="C2" t="s">
        <v>0</v>
      </c>
      <c r="D2" t="s">
        <v>122</v>
      </c>
      <c r="E2" t="s">
        <v>123</v>
      </c>
      <c r="F2">
        <v>11</v>
      </c>
      <c r="G2">
        <v>8</v>
      </c>
      <c r="H2">
        <v>12</v>
      </c>
      <c r="I2">
        <v>14</v>
      </c>
      <c r="J2">
        <v>16</v>
      </c>
      <c r="K2">
        <v>11</v>
      </c>
      <c r="L2">
        <v>11</v>
      </c>
      <c r="M2">
        <v>7</v>
      </c>
      <c r="N2">
        <v>14</v>
      </c>
      <c r="O2">
        <v>18</v>
      </c>
      <c r="P2">
        <v>15</v>
      </c>
      <c r="Q2">
        <v>10</v>
      </c>
      <c r="R2">
        <v>10</v>
      </c>
      <c r="S2">
        <v>7</v>
      </c>
      <c r="T2">
        <v>10</v>
      </c>
      <c r="U2">
        <v>7</v>
      </c>
      <c r="V2">
        <v>7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</row>
    <row r="3" spans="1:31" x14ac:dyDescent="0.3">
      <c r="A3" t="s">
        <v>238</v>
      </c>
      <c r="B3" t="s">
        <v>124</v>
      </c>
      <c r="C3" t="s">
        <v>0</v>
      </c>
      <c r="D3" t="s">
        <v>125</v>
      </c>
      <c r="E3" t="s">
        <v>123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2</v>
      </c>
      <c r="P3">
        <v>2</v>
      </c>
      <c r="Q3">
        <v>9</v>
      </c>
      <c r="R3">
        <v>11</v>
      </c>
      <c r="S3">
        <v>11</v>
      </c>
      <c r="T3">
        <v>8</v>
      </c>
      <c r="U3">
        <v>6</v>
      </c>
      <c r="V3">
        <v>9</v>
      </c>
      <c r="W3">
        <v>12</v>
      </c>
      <c r="X3">
        <v>11</v>
      </c>
      <c r="Y3">
        <v>11</v>
      </c>
      <c r="Z3">
        <v>7</v>
      </c>
      <c r="AA3">
        <v>5</v>
      </c>
      <c r="AB3">
        <v>5</v>
      </c>
      <c r="AC3">
        <v>4</v>
      </c>
      <c r="AD3">
        <v>3</v>
      </c>
      <c r="AE3">
        <v>7</v>
      </c>
    </row>
    <row r="4" spans="1:31" x14ac:dyDescent="0.3">
      <c r="A4" t="s">
        <v>238</v>
      </c>
      <c r="B4" t="s">
        <v>126</v>
      </c>
      <c r="C4" t="s">
        <v>0</v>
      </c>
      <c r="D4" t="s">
        <v>127</v>
      </c>
      <c r="E4" t="s">
        <v>123</v>
      </c>
      <c r="F4">
        <v>100</v>
      </c>
      <c r="G4">
        <v>99</v>
      </c>
      <c r="H4">
        <v>115</v>
      </c>
      <c r="I4">
        <v>141</v>
      </c>
      <c r="J4">
        <v>144</v>
      </c>
      <c r="K4">
        <v>114</v>
      </c>
      <c r="L4">
        <v>150</v>
      </c>
      <c r="M4">
        <v>71</v>
      </c>
      <c r="N4">
        <v>126</v>
      </c>
      <c r="O4">
        <v>144</v>
      </c>
      <c r="P4">
        <v>126</v>
      </c>
      <c r="Q4">
        <v>237</v>
      </c>
      <c r="R4">
        <v>313</v>
      </c>
      <c r="S4">
        <v>264</v>
      </c>
      <c r="T4">
        <v>202</v>
      </c>
      <c r="U4">
        <v>164</v>
      </c>
      <c r="V4">
        <v>158</v>
      </c>
      <c r="W4">
        <v>180</v>
      </c>
      <c r="X4">
        <v>135</v>
      </c>
      <c r="Y4">
        <v>136</v>
      </c>
      <c r="Z4">
        <v>191</v>
      </c>
      <c r="AA4">
        <v>184</v>
      </c>
      <c r="AB4">
        <v>231</v>
      </c>
      <c r="AC4">
        <v>177</v>
      </c>
      <c r="AD4">
        <v>168</v>
      </c>
      <c r="AE4">
        <v>150</v>
      </c>
    </row>
    <row r="5" spans="1:31" x14ac:dyDescent="0.3">
      <c r="A5" t="s">
        <v>238</v>
      </c>
      <c r="B5" t="s">
        <v>128</v>
      </c>
      <c r="C5" t="s">
        <v>0</v>
      </c>
      <c r="D5" t="s">
        <v>129</v>
      </c>
      <c r="E5" t="s">
        <v>123</v>
      </c>
      <c r="F5">
        <v>8</v>
      </c>
      <c r="G5">
        <v>7</v>
      </c>
      <c r="H5">
        <v>8</v>
      </c>
      <c r="I5">
        <v>10</v>
      </c>
      <c r="J5">
        <v>10</v>
      </c>
      <c r="K5">
        <v>7</v>
      </c>
      <c r="L5">
        <v>9</v>
      </c>
      <c r="M5">
        <v>6</v>
      </c>
      <c r="N5">
        <v>12</v>
      </c>
      <c r="O5">
        <v>12</v>
      </c>
      <c r="P5">
        <v>9</v>
      </c>
      <c r="Q5">
        <v>19</v>
      </c>
      <c r="R5">
        <v>22</v>
      </c>
      <c r="S5">
        <v>22</v>
      </c>
      <c r="T5">
        <v>22</v>
      </c>
      <c r="U5">
        <v>16</v>
      </c>
      <c r="V5">
        <v>15</v>
      </c>
      <c r="W5">
        <v>15</v>
      </c>
      <c r="X5">
        <v>12</v>
      </c>
      <c r="Y5">
        <v>14</v>
      </c>
      <c r="Z5">
        <v>14</v>
      </c>
      <c r="AA5">
        <v>13</v>
      </c>
      <c r="AB5">
        <v>27</v>
      </c>
      <c r="AC5">
        <v>14</v>
      </c>
      <c r="AD5">
        <v>11</v>
      </c>
      <c r="AE5">
        <v>11</v>
      </c>
    </row>
    <row r="6" spans="1:31" x14ac:dyDescent="0.3">
      <c r="A6" t="s">
        <v>238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0</v>
      </c>
      <c r="H6">
        <v>2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238</v>
      </c>
      <c r="B7" t="s">
        <v>132</v>
      </c>
      <c r="C7" t="s">
        <v>0</v>
      </c>
      <c r="D7" t="s">
        <v>133</v>
      </c>
      <c r="E7" t="s">
        <v>123</v>
      </c>
      <c r="F7">
        <v>26</v>
      </c>
      <c r="G7">
        <v>43</v>
      </c>
      <c r="H7">
        <v>35</v>
      </c>
      <c r="I7">
        <v>49</v>
      </c>
      <c r="J7">
        <v>40</v>
      </c>
      <c r="K7">
        <v>30</v>
      </c>
      <c r="L7">
        <v>52</v>
      </c>
      <c r="M7">
        <v>19</v>
      </c>
      <c r="N7">
        <v>44</v>
      </c>
      <c r="O7">
        <v>39</v>
      </c>
      <c r="P7">
        <v>32</v>
      </c>
      <c r="Q7">
        <v>66</v>
      </c>
      <c r="R7">
        <v>79</v>
      </c>
      <c r="S7">
        <v>70</v>
      </c>
      <c r="T7">
        <v>31</v>
      </c>
      <c r="U7">
        <v>32</v>
      </c>
      <c r="V7">
        <v>39</v>
      </c>
      <c r="W7">
        <v>30</v>
      </c>
      <c r="X7">
        <v>29</v>
      </c>
      <c r="Y7">
        <v>25</v>
      </c>
      <c r="Z7">
        <v>33</v>
      </c>
      <c r="AA7">
        <v>41</v>
      </c>
      <c r="AB7">
        <v>84</v>
      </c>
      <c r="AC7">
        <v>28</v>
      </c>
      <c r="AD7">
        <v>30</v>
      </c>
      <c r="AE7">
        <v>23</v>
      </c>
    </row>
    <row r="8" spans="1:31" x14ac:dyDescent="0.3">
      <c r="A8" t="s">
        <v>238</v>
      </c>
      <c r="B8" t="s">
        <v>134</v>
      </c>
      <c r="C8" t="s">
        <v>0</v>
      </c>
      <c r="D8" t="s">
        <v>135</v>
      </c>
      <c r="E8" t="s">
        <v>123</v>
      </c>
      <c r="F8">
        <v>1</v>
      </c>
      <c r="G8">
        <v>1</v>
      </c>
      <c r="H8">
        <v>6</v>
      </c>
      <c r="I8">
        <v>1</v>
      </c>
      <c r="J8">
        <v>3</v>
      </c>
      <c r="K8">
        <v>1</v>
      </c>
      <c r="L8">
        <v>5</v>
      </c>
      <c r="M8">
        <v>0</v>
      </c>
      <c r="N8">
        <v>3</v>
      </c>
      <c r="O8">
        <v>2</v>
      </c>
      <c r="P8">
        <v>9</v>
      </c>
      <c r="Q8">
        <v>12</v>
      </c>
      <c r="R8">
        <v>40</v>
      </c>
      <c r="S8">
        <v>14</v>
      </c>
      <c r="T8">
        <v>7</v>
      </c>
      <c r="U8">
        <v>10</v>
      </c>
      <c r="V8">
        <v>3</v>
      </c>
      <c r="W8">
        <v>7</v>
      </c>
      <c r="X8">
        <v>6</v>
      </c>
      <c r="Y8">
        <v>7</v>
      </c>
      <c r="Z8">
        <v>17</v>
      </c>
      <c r="AA8">
        <v>-5</v>
      </c>
      <c r="AB8">
        <v>-35</v>
      </c>
      <c r="AC8">
        <v>2</v>
      </c>
      <c r="AD8">
        <v>1</v>
      </c>
      <c r="AE8">
        <v>1</v>
      </c>
    </row>
    <row r="9" spans="1:31" x14ac:dyDescent="0.3">
      <c r="A9" t="s">
        <v>238</v>
      </c>
      <c r="B9" t="s">
        <v>136</v>
      </c>
      <c r="C9" t="s">
        <v>0</v>
      </c>
      <c r="D9" t="s">
        <v>137</v>
      </c>
      <c r="E9" t="s">
        <v>123</v>
      </c>
      <c r="F9">
        <v>16</v>
      </c>
      <c r="G9">
        <v>9</v>
      </c>
      <c r="H9">
        <v>16</v>
      </c>
      <c r="I9">
        <v>14</v>
      </c>
      <c r="J9">
        <v>16</v>
      </c>
      <c r="K9">
        <v>9</v>
      </c>
      <c r="L9">
        <v>11</v>
      </c>
      <c r="M9">
        <v>11</v>
      </c>
      <c r="N9">
        <v>13</v>
      </c>
      <c r="O9">
        <v>18</v>
      </c>
      <c r="P9">
        <v>12</v>
      </c>
      <c r="Q9">
        <v>26</v>
      </c>
      <c r="R9">
        <v>52</v>
      </c>
      <c r="S9">
        <v>33</v>
      </c>
      <c r="T9">
        <v>25</v>
      </c>
      <c r="U9">
        <v>15</v>
      </c>
      <c r="V9">
        <v>21</v>
      </c>
      <c r="W9">
        <v>27</v>
      </c>
      <c r="X9">
        <v>32</v>
      </c>
      <c r="Y9">
        <v>22</v>
      </c>
      <c r="Z9">
        <v>46</v>
      </c>
      <c r="AA9">
        <v>66</v>
      </c>
      <c r="AB9">
        <v>85</v>
      </c>
      <c r="AC9">
        <v>62</v>
      </c>
      <c r="AD9">
        <v>49</v>
      </c>
      <c r="AE9">
        <v>48</v>
      </c>
    </row>
    <row r="10" spans="1:31" x14ac:dyDescent="0.3">
      <c r="A10" t="s">
        <v>238</v>
      </c>
      <c r="B10" t="s">
        <v>138</v>
      </c>
      <c r="C10" t="s">
        <v>0</v>
      </c>
      <c r="D10" t="s">
        <v>139</v>
      </c>
      <c r="E10" t="s">
        <v>123</v>
      </c>
      <c r="F10">
        <v>18</v>
      </c>
      <c r="G10">
        <v>10</v>
      </c>
      <c r="H10">
        <v>17</v>
      </c>
      <c r="I10">
        <v>16</v>
      </c>
      <c r="J10">
        <v>17</v>
      </c>
      <c r="K10">
        <v>10</v>
      </c>
      <c r="L10">
        <v>12</v>
      </c>
      <c r="M10">
        <v>13</v>
      </c>
      <c r="N10">
        <v>14</v>
      </c>
      <c r="O10">
        <v>20</v>
      </c>
      <c r="P10">
        <v>13</v>
      </c>
      <c r="Q10">
        <v>29</v>
      </c>
      <c r="R10">
        <v>56</v>
      </c>
      <c r="S10">
        <v>37</v>
      </c>
      <c r="T10">
        <v>30</v>
      </c>
      <c r="U10">
        <v>20</v>
      </c>
      <c r="V10">
        <v>25</v>
      </c>
      <c r="W10">
        <v>33</v>
      </c>
      <c r="X10">
        <v>40</v>
      </c>
      <c r="Y10">
        <v>28</v>
      </c>
      <c r="Z10">
        <v>52</v>
      </c>
      <c r="AA10">
        <v>71</v>
      </c>
      <c r="AB10">
        <v>89</v>
      </c>
      <c r="AC10">
        <v>68</v>
      </c>
      <c r="AD10">
        <v>55</v>
      </c>
      <c r="AE10">
        <v>52</v>
      </c>
    </row>
    <row r="11" spans="1:31" x14ac:dyDescent="0.3">
      <c r="A11" t="s">
        <v>238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2</v>
      </c>
      <c r="N11">
        <v>1</v>
      </c>
      <c r="O11">
        <v>2</v>
      </c>
      <c r="P11">
        <v>1</v>
      </c>
      <c r="Q11">
        <v>3</v>
      </c>
      <c r="R11">
        <v>4</v>
      </c>
      <c r="S11">
        <v>4</v>
      </c>
      <c r="T11">
        <v>5</v>
      </c>
      <c r="U11">
        <v>5</v>
      </c>
      <c r="V11">
        <v>4</v>
      </c>
      <c r="W11">
        <v>6</v>
      </c>
      <c r="X11">
        <v>8</v>
      </c>
      <c r="Y11">
        <v>6</v>
      </c>
      <c r="Z11">
        <v>6</v>
      </c>
      <c r="AA11">
        <v>5</v>
      </c>
      <c r="AB11">
        <v>4</v>
      </c>
      <c r="AC11">
        <v>6</v>
      </c>
      <c r="AD11">
        <v>6</v>
      </c>
      <c r="AE11">
        <v>4</v>
      </c>
    </row>
    <row r="12" spans="1:31" x14ac:dyDescent="0.3">
      <c r="A12" t="s">
        <v>238</v>
      </c>
      <c r="B12" t="s">
        <v>142</v>
      </c>
      <c r="C12" t="s">
        <v>0</v>
      </c>
      <c r="D12" t="s">
        <v>143</v>
      </c>
      <c r="E12" t="s">
        <v>123</v>
      </c>
      <c r="F12">
        <v>7</v>
      </c>
      <c r="G12">
        <v>6</v>
      </c>
      <c r="H12">
        <v>7</v>
      </c>
      <c r="I12">
        <v>9</v>
      </c>
      <c r="J12">
        <v>11</v>
      </c>
      <c r="K12">
        <v>9</v>
      </c>
      <c r="L12">
        <v>8</v>
      </c>
      <c r="M12">
        <v>6</v>
      </c>
      <c r="N12">
        <v>10</v>
      </c>
      <c r="O12">
        <v>13</v>
      </c>
      <c r="P12">
        <v>11</v>
      </c>
      <c r="Q12">
        <v>19</v>
      </c>
      <c r="R12">
        <v>19</v>
      </c>
      <c r="S12">
        <v>17</v>
      </c>
      <c r="T12">
        <v>17</v>
      </c>
      <c r="U12">
        <v>10</v>
      </c>
      <c r="V12">
        <v>10</v>
      </c>
      <c r="W12">
        <v>11</v>
      </c>
      <c r="X12">
        <v>8</v>
      </c>
      <c r="Y12">
        <v>9</v>
      </c>
      <c r="Z12">
        <v>11</v>
      </c>
      <c r="AA12">
        <v>9</v>
      </c>
      <c r="AB12">
        <v>6</v>
      </c>
      <c r="AC12">
        <v>5</v>
      </c>
      <c r="AD12">
        <v>6</v>
      </c>
      <c r="AE12">
        <v>5</v>
      </c>
    </row>
    <row r="13" spans="1:31" x14ac:dyDescent="0.3">
      <c r="A13" t="s">
        <v>238</v>
      </c>
      <c r="B13" t="s">
        <v>144</v>
      </c>
      <c r="C13" t="s">
        <v>0</v>
      </c>
      <c r="D13" t="s">
        <v>145</v>
      </c>
      <c r="E13" t="s">
        <v>123</v>
      </c>
      <c r="F13">
        <v>5</v>
      </c>
      <c r="G13">
        <v>4</v>
      </c>
      <c r="H13">
        <v>6</v>
      </c>
      <c r="I13">
        <v>8</v>
      </c>
      <c r="J13">
        <v>6</v>
      </c>
      <c r="K13">
        <v>7</v>
      </c>
      <c r="L13">
        <v>7</v>
      </c>
      <c r="M13">
        <v>6</v>
      </c>
      <c r="N13">
        <v>7</v>
      </c>
      <c r="O13">
        <v>11</v>
      </c>
      <c r="P13">
        <v>7</v>
      </c>
      <c r="Q13">
        <v>24</v>
      </c>
      <c r="R13">
        <v>36</v>
      </c>
      <c r="S13">
        <v>26</v>
      </c>
      <c r="T13">
        <v>42</v>
      </c>
      <c r="U13">
        <v>37</v>
      </c>
      <c r="V13">
        <v>23</v>
      </c>
      <c r="W13">
        <v>45</v>
      </c>
      <c r="X13">
        <v>15</v>
      </c>
      <c r="Y13">
        <v>20</v>
      </c>
      <c r="Z13">
        <v>22</v>
      </c>
      <c r="AA13">
        <v>19</v>
      </c>
      <c r="AB13">
        <v>21</v>
      </c>
      <c r="AC13">
        <v>26</v>
      </c>
      <c r="AD13">
        <v>30</v>
      </c>
      <c r="AE13">
        <v>21</v>
      </c>
    </row>
    <row r="14" spans="1:31" x14ac:dyDescent="0.3">
      <c r="A14" t="s">
        <v>238</v>
      </c>
      <c r="B14" t="s">
        <v>146</v>
      </c>
      <c r="C14" t="s">
        <v>0</v>
      </c>
      <c r="D14" t="s">
        <v>147</v>
      </c>
      <c r="E14" t="s">
        <v>123</v>
      </c>
      <c r="F14">
        <v>24</v>
      </c>
      <c r="G14">
        <v>14</v>
      </c>
      <c r="H14">
        <v>21</v>
      </c>
      <c r="I14">
        <v>30</v>
      </c>
      <c r="J14">
        <v>43</v>
      </c>
      <c r="K14">
        <v>38</v>
      </c>
      <c r="L14">
        <v>43</v>
      </c>
      <c r="M14">
        <v>14</v>
      </c>
      <c r="N14">
        <v>22</v>
      </c>
      <c r="O14">
        <v>34</v>
      </c>
      <c r="P14">
        <v>32</v>
      </c>
      <c r="Q14">
        <v>43</v>
      </c>
      <c r="R14">
        <v>32</v>
      </c>
      <c r="S14">
        <v>45</v>
      </c>
      <c r="T14">
        <v>19</v>
      </c>
      <c r="U14">
        <v>24</v>
      </c>
      <c r="V14">
        <v>25</v>
      </c>
      <c r="W14">
        <v>20</v>
      </c>
      <c r="X14">
        <v>10</v>
      </c>
      <c r="Y14">
        <v>17</v>
      </c>
      <c r="Z14">
        <v>22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238</v>
      </c>
      <c r="B15" t="s">
        <v>148</v>
      </c>
      <c r="C15" t="s">
        <v>0</v>
      </c>
      <c r="D15" t="s">
        <v>149</v>
      </c>
      <c r="E15" t="s">
        <v>123</v>
      </c>
      <c r="F15">
        <v>27</v>
      </c>
      <c r="G15">
        <v>18</v>
      </c>
      <c r="H15">
        <v>25</v>
      </c>
      <c r="I15">
        <v>36</v>
      </c>
      <c r="J15">
        <v>47</v>
      </c>
      <c r="K15">
        <v>42</v>
      </c>
      <c r="L15">
        <v>47</v>
      </c>
      <c r="M15">
        <v>16</v>
      </c>
      <c r="N15">
        <v>26</v>
      </c>
      <c r="O15">
        <v>38</v>
      </c>
      <c r="P15">
        <v>36</v>
      </c>
      <c r="Q15">
        <v>47</v>
      </c>
      <c r="R15">
        <v>38</v>
      </c>
      <c r="S15">
        <v>53</v>
      </c>
      <c r="T15">
        <v>25</v>
      </c>
      <c r="U15">
        <v>28</v>
      </c>
      <c r="V15">
        <v>30</v>
      </c>
      <c r="W15">
        <v>24</v>
      </c>
      <c r="X15">
        <v>15</v>
      </c>
      <c r="Y15">
        <v>19</v>
      </c>
      <c r="Z15">
        <v>26</v>
      </c>
      <c r="AA15">
        <v>23</v>
      </c>
      <c r="AB15">
        <v>27</v>
      </c>
      <c r="AC15">
        <v>21</v>
      </c>
      <c r="AD15">
        <v>22</v>
      </c>
      <c r="AE15">
        <v>27</v>
      </c>
    </row>
    <row r="16" spans="1:31" x14ac:dyDescent="0.3">
      <c r="A16" t="s">
        <v>238</v>
      </c>
      <c r="B16" t="s">
        <v>150</v>
      </c>
      <c r="C16" t="s">
        <v>0</v>
      </c>
      <c r="D16" t="s">
        <v>151</v>
      </c>
      <c r="E16" t="s">
        <v>123</v>
      </c>
      <c r="F16">
        <v>3</v>
      </c>
      <c r="G16">
        <v>4</v>
      </c>
      <c r="H16">
        <v>4</v>
      </c>
      <c r="I16">
        <v>6</v>
      </c>
      <c r="J16">
        <v>4</v>
      </c>
      <c r="K16">
        <v>4</v>
      </c>
      <c r="L16">
        <v>4</v>
      </c>
      <c r="M16">
        <v>2</v>
      </c>
      <c r="N16">
        <v>4</v>
      </c>
      <c r="O16">
        <v>4</v>
      </c>
      <c r="P16">
        <v>4</v>
      </c>
      <c r="Q16">
        <v>4</v>
      </c>
      <c r="R16">
        <v>6</v>
      </c>
      <c r="S16">
        <v>8</v>
      </c>
      <c r="T16">
        <v>6</v>
      </c>
      <c r="U16">
        <v>4</v>
      </c>
      <c r="V16">
        <v>5</v>
      </c>
      <c r="W16">
        <v>4</v>
      </c>
      <c r="X16">
        <v>5</v>
      </c>
      <c r="Y16">
        <v>2</v>
      </c>
      <c r="Z16">
        <v>4</v>
      </c>
      <c r="AA16">
        <v>5</v>
      </c>
      <c r="AB16">
        <v>5</v>
      </c>
      <c r="AC16">
        <v>3</v>
      </c>
      <c r="AD16">
        <v>4</v>
      </c>
      <c r="AE16">
        <v>3</v>
      </c>
    </row>
    <row r="17" spans="1:31" x14ac:dyDescent="0.3">
      <c r="A17" t="s">
        <v>238</v>
      </c>
      <c r="B17" t="s">
        <v>152</v>
      </c>
      <c r="C17" t="s">
        <v>0</v>
      </c>
      <c r="D17" t="s">
        <v>153</v>
      </c>
      <c r="E17" t="s">
        <v>123</v>
      </c>
      <c r="F17">
        <v>7</v>
      </c>
      <c r="G17">
        <v>8</v>
      </c>
      <c r="H17">
        <v>7</v>
      </c>
      <c r="I17">
        <v>8</v>
      </c>
      <c r="J17">
        <v>7</v>
      </c>
      <c r="K17">
        <v>7</v>
      </c>
      <c r="L17">
        <v>7</v>
      </c>
      <c r="M17">
        <v>4</v>
      </c>
      <c r="N17">
        <v>8</v>
      </c>
      <c r="O17">
        <v>7</v>
      </c>
      <c r="P17">
        <v>6</v>
      </c>
      <c r="Q17">
        <v>13</v>
      </c>
      <c r="R17">
        <v>14</v>
      </c>
      <c r="S17">
        <v>16</v>
      </c>
      <c r="T17">
        <v>20</v>
      </c>
      <c r="U17">
        <v>6</v>
      </c>
      <c r="V17">
        <v>8</v>
      </c>
      <c r="W17">
        <v>10</v>
      </c>
      <c r="X17">
        <v>7</v>
      </c>
      <c r="Y17">
        <v>10</v>
      </c>
      <c r="Z17">
        <v>12</v>
      </c>
      <c r="AA17">
        <v>9</v>
      </c>
      <c r="AB17">
        <v>9</v>
      </c>
      <c r="AC17">
        <v>10</v>
      </c>
      <c r="AD17">
        <v>11</v>
      </c>
      <c r="AE17">
        <v>8</v>
      </c>
    </row>
    <row r="18" spans="1:31" x14ac:dyDescent="0.3">
      <c r="A18" t="s">
        <v>238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1</v>
      </c>
      <c r="P18">
        <v>1</v>
      </c>
      <c r="Q18">
        <v>3</v>
      </c>
      <c r="R18">
        <v>4</v>
      </c>
      <c r="S18">
        <v>4</v>
      </c>
      <c r="T18">
        <v>6</v>
      </c>
      <c r="U18">
        <v>3</v>
      </c>
      <c r="V18">
        <v>3</v>
      </c>
      <c r="W18">
        <v>3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238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1</v>
      </c>
      <c r="H19">
        <v>1</v>
      </c>
      <c r="I19">
        <v>2</v>
      </c>
      <c r="J19">
        <v>2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4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238</v>
      </c>
      <c r="B20" t="s">
        <v>158</v>
      </c>
      <c r="C20" t="s">
        <v>0</v>
      </c>
      <c r="D20" t="s">
        <v>159</v>
      </c>
      <c r="E20" t="s">
        <v>123</v>
      </c>
      <c r="F20">
        <v>16</v>
      </c>
      <c r="G20">
        <v>12</v>
      </c>
      <c r="H20">
        <v>20</v>
      </c>
      <c r="I20">
        <v>15</v>
      </c>
      <c r="J20">
        <v>17</v>
      </c>
      <c r="K20">
        <v>18</v>
      </c>
      <c r="L20">
        <v>16</v>
      </c>
      <c r="M20">
        <v>14</v>
      </c>
      <c r="N20">
        <v>20</v>
      </c>
      <c r="O20">
        <v>31</v>
      </c>
      <c r="P20">
        <v>30</v>
      </c>
      <c r="Q20">
        <v>45</v>
      </c>
      <c r="R20">
        <v>42</v>
      </c>
      <c r="S20">
        <v>49</v>
      </c>
      <c r="T20">
        <v>49</v>
      </c>
      <c r="U20">
        <v>27</v>
      </c>
      <c r="V20">
        <v>16</v>
      </c>
      <c r="W20">
        <v>12</v>
      </c>
      <c r="X20">
        <v>21</v>
      </c>
      <c r="Y20">
        <v>27</v>
      </c>
      <c r="Z20">
        <v>34</v>
      </c>
      <c r="AA20">
        <v>45</v>
      </c>
      <c r="AB20">
        <v>35</v>
      </c>
      <c r="AC20">
        <v>32</v>
      </c>
      <c r="AD20">
        <v>25</v>
      </c>
      <c r="AE20">
        <v>41</v>
      </c>
    </row>
    <row r="21" spans="1:31" x14ac:dyDescent="0.3">
      <c r="A21" t="s">
        <v>238</v>
      </c>
      <c r="B21" t="s">
        <v>160</v>
      </c>
      <c r="C21" t="s">
        <v>0</v>
      </c>
      <c r="D21" t="s">
        <v>161</v>
      </c>
      <c r="E21" t="s">
        <v>123</v>
      </c>
      <c r="F21">
        <v>17</v>
      </c>
      <c r="G21">
        <v>13</v>
      </c>
      <c r="H21">
        <v>21</v>
      </c>
      <c r="I21">
        <v>17</v>
      </c>
      <c r="J21">
        <v>19</v>
      </c>
      <c r="K21">
        <v>19</v>
      </c>
      <c r="L21">
        <v>18</v>
      </c>
      <c r="M21">
        <v>15</v>
      </c>
      <c r="N21">
        <v>22</v>
      </c>
      <c r="O21">
        <v>33</v>
      </c>
      <c r="P21">
        <v>32</v>
      </c>
      <c r="Q21">
        <v>49</v>
      </c>
      <c r="R21">
        <v>48</v>
      </c>
      <c r="S21">
        <v>54</v>
      </c>
      <c r="T21">
        <v>55</v>
      </c>
      <c r="U21">
        <v>31</v>
      </c>
      <c r="V21">
        <v>20</v>
      </c>
      <c r="W21">
        <v>19</v>
      </c>
      <c r="X21">
        <v>26</v>
      </c>
      <c r="Y21">
        <v>30</v>
      </c>
      <c r="Z21">
        <v>38</v>
      </c>
      <c r="AA21">
        <v>50</v>
      </c>
      <c r="AB21">
        <v>39</v>
      </c>
      <c r="AC21">
        <v>35</v>
      </c>
      <c r="AD21">
        <v>28</v>
      </c>
      <c r="AE21">
        <v>43</v>
      </c>
    </row>
    <row r="22" spans="1:31" x14ac:dyDescent="0.3">
      <c r="A22" t="s">
        <v>238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1</v>
      </c>
      <c r="H22">
        <v>1</v>
      </c>
      <c r="I22">
        <v>2</v>
      </c>
      <c r="J22">
        <v>2</v>
      </c>
      <c r="K22">
        <v>1</v>
      </c>
      <c r="L22">
        <v>2</v>
      </c>
      <c r="M22">
        <v>1</v>
      </c>
      <c r="N22">
        <v>2</v>
      </c>
      <c r="O22">
        <v>2</v>
      </c>
      <c r="P22">
        <v>2</v>
      </c>
      <c r="Q22">
        <v>4</v>
      </c>
      <c r="R22">
        <v>6</v>
      </c>
      <c r="S22">
        <v>5</v>
      </c>
      <c r="T22">
        <v>6</v>
      </c>
      <c r="U22">
        <v>4</v>
      </c>
      <c r="V22">
        <v>4</v>
      </c>
      <c r="W22">
        <v>7</v>
      </c>
      <c r="X22">
        <v>5</v>
      </c>
      <c r="Y22">
        <v>3</v>
      </c>
      <c r="Z22">
        <v>4</v>
      </c>
      <c r="AA22">
        <v>5</v>
      </c>
      <c r="AB22">
        <v>4</v>
      </c>
      <c r="AC22">
        <v>3</v>
      </c>
      <c r="AD22">
        <v>3</v>
      </c>
      <c r="AE22">
        <v>2</v>
      </c>
    </row>
    <row r="23" spans="1:31" x14ac:dyDescent="0.3">
      <c r="A23" t="s">
        <v>238</v>
      </c>
      <c r="B23" t="s">
        <v>164</v>
      </c>
      <c r="C23" t="s">
        <v>0</v>
      </c>
      <c r="D23" t="s">
        <v>165</v>
      </c>
      <c r="E23" t="s">
        <v>123</v>
      </c>
      <c r="F23">
        <v>2</v>
      </c>
      <c r="G23">
        <v>2</v>
      </c>
      <c r="H23">
        <v>2</v>
      </c>
      <c r="I23">
        <v>2</v>
      </c>
      <c r="J23">
        <v>4</v>
      </c>
      <c r="K23">
        <v>3</v>
      </c>
      <c r="L23">
        <v>3</v>
      </c>
      <c r="M23">
        <v>2</v>
      </c>
      <c r="N23">
        <v>5</v>
      </c>
      <c r="O23">
        <v>6</v>
      </c>
      <c r="P23">
        <v>6</v>
      </c>
      <c r="Q23">
        <v>16</v>
      </c>
      <c r="R23">
        <v>9</v>
      </c>
      <c r="S23">
        <v>11</v>
      </c>
      <c r="T23">
        <v>8</v>
      </c>
      <c r="U23">
        <v>8</v>
      </c>
      <c r="V23">
        <v>9</v>
      </c>
      <c r="W23">
        <v>9</v>
      </c>
      <c r="X23">
        <v>6</v>
      </c>
      <c r="Y23">
        <v>6</v>
      </c>
      <c r="Z23">
        <v>6</v>
      </c>
      <c r="AA23">
        <v>8</v>
      </c>
      <c r="AB23">
        <v>6</v>
      </c>
      <c r="AC23">
        <v>6</v>
      </c>
      <c r="AD23">
        <v>4</v>
      </c>
      <c r="AE23">
        <v>3</v>
      </c>
    </row>
    <row r="24" spans="1:31" x14ac:dyDescent="0.3">
      <c r="A24" t="s">
        <v>238</v>
      </c>
      <c r="B24" t="s">
        <v>166</v>
      </c>
      <c r="C24" t="s">
        <v>0</v>
      </c>
      <c r="D24" t="s">
        <v>167</v>
      </c>
      <c r="E24" t="s">
        <v>123</v>
      </c>
      <c r="F24">
        <v>25</v>
      </c>
      <c r="G24">
        <v>24</v>
      </c>
      <c r="H24">
        <v>42</v>
      </c>
      <c r="I24">
        <v>49</v>
      </c>
      <c r="J24">
        <v>58</v>
      </c>
      <c r="K24">
        <v>42</v>
      </c>
      <c r="L24">
        <v>42</v>
      </c>
      <c r="M24">
        <v>25</v>
      </c>
      <c r="N24">
        <v>50</v>
      </c>
      <c r="O24">
        <v>50</v>
      </c>
      <c r="P24">
        <v>46</v>
      </c>
      <c r="Q24">
        <v>40</v>
      </c>
      <c r="R24">
        <v>57</v>
      </c>
      <c r="S24">
        <v>71</v>
      </c>
      <c r="T24">
        <v>48</v>
      </c>
      <c r="U24">
        <v>46</v>
      </c>
      <c r="V24">
        <v>33</v>
      </c>
      <c r="W24">
        <v>43</v>
      </c>
      <c r="X24">
        <v>30</v>
      </c>
      <c r="Y24">
        <v>33</v>
      </c>
      <c r="Z24">
        <v>31</v>
      </c>
      <c r="AA24">
        <v>35</v>
      </c>
      <c r="AB24">
        <v>23</v>
      </c>
      <c r="AC24">
        <v>26</v>
      </c>
      <c r="AD24">
        <v>19</v>
      </c>
      <c r="AE24">
        <v>15</v>
      </c>
    </row>
    <row r="25" spans="1:31" x14ac:dyDescent="0.3">
      <c r="A25" t="s">
        <v>238</v>
      </c>
      <c r="B25" t="s">
        <v>168</v>
      </c>
      <c r="C25" t="s">
        <v>0</v>
      </c>
      <c r="D25" t="s">
        <v>169</v>
      </c>
      <c r="E25" t="s">
        <v>123</v>
      </c>
      <c r="F25">
        <v>2</v>
      </c>
      <c r="G25">
        <v>1</v>
      </c>
      <c r="H25">
        <v>2</v>
      </c>
      <c r="I25">
        <v>2</v>
      </c>
      <c r="J25">
        <v>3</v>
      </c>
      <c r="K25">
        <v>2</v>
      </c>
      <c r="L25">
        <v>2</v>
      </c>
      <c r="M25">
        <v>1</v>
      </c>
      <c r="N25">
        <v>2</v>
      </c>
      <c r="O25">
        <v>2</v>
      </c>
      <c r="P25">
        <v>2</v>
      </c>
      <c r="Q25">
        <v>5</v>
      </c>
      <c r="R25">
        <v>3</v>
      </c>
      <c r="S25">
        <v>12</v>
      </c>
      <c r="T25">
        <v>4</v>
      </c>
      <c r="U25">
        <v>6</v>
      </c>
      <c r="V25">
        <v>7</v>
      </c>
      <c r="W25">
        <v>4</v>
      </c>
      <c r="X25">
        <v>2</v>
      </c>
      <c r="Y25">
        <v>4</v>
      </c>
      <c r="Z25">
        <v>3</v>
      </c>
      <c r="AA25">
        <v>4</v>
      </c>
      <c r="AB25">
        <v>2</v>
      </c>
      <c r="AC25">
        <v>2</v>
      </c>
      <c r="AD25">
        <v>2</v>
      </c>
      <c r="AE25">
        <v>2</v>
      </c>
    </row>
    <row r="26" spans="1:31" x14ac:dyDescent="0.3">
      <c r="A26" t="s">
        <v>238</v>
      </c>
      <c r="B26" t="s">
        <v>170</v>
      </c>
      <c r="C26" t="s">
        <v>0</v>
      </c>
      <c r="D26" t="s">
        <v>171</v>
      </c>
      <c r="E26" t="s">
        <v>123</v>
      </c>
      <c r="F26">
        <v>13</v>
      </c>
      <c r="G26">
        <v>15</v>
      </c>
      <c r="H26">
        <v>26</v>
      </c>
      <c r="I26">
        <v>29</v>
      </c>
      <c r="J26">
        <v>31</v>
      </c>
      <c r="K26">
        <v>23</v>
      </c>
      <c r="L26">
        <v>23</v>
      </c>
      <c r="M26">
        <v>14</v>
      </c>
      <c r="N26">
        <v>26</v>
      </c>
      <c r="O26">
        <v>26</v>
      </c>
      <c r="P26">
        <v>24</v>
      </c>
      <c r="Q26">
        <v>18</v>
      </c>
      <c r="R26">
        <v>26</v>
      </c>
      <c r="S26">
        <v>27</v>
      </c>
      <c r="T26">
        <v>20</v>
      </c>
      <c r="U26">
        <v>19</v>
      </c>
      <c r="V26">
        <v>7</v>
      </c>
      <c r="W26">
        <v>15</v>
      </c>
      <c r="X26">
        <v>11</v>
      </c>
      <c r="Y26">
        <v>12</v>
      </c>
      <c r="Z26">
        <v>11</v>
      </c>
      <c r="AA26">
        <v>13</v>
      </c>
      <c r="AB26">
        <v>9</v>
      </c>
      <c r="AC26">
        <v>11</v>
      </c>
      <c r="AD26">
        <v>7</v>
      </c>
      <c r="AE26">
        <v>5</v>
      </c>
    </row>
    <row r="27" spans="1:31" x14ac:dyDescent="0.3">
      <c r="A27" t="s">
        <v>238</v>
      </c>
      <c r="B27" t="s">
        <v>172</v>
      </c>
      <c r="C27" t="s">
        <v>0</v>
      </c>
      <c r="D27" t="s">
        <v>173</v>
      </c>
      <c r="E27" t="s">
        <v>123</v>
      </c>
      <c r="F27">
        <v>10</v>
      </c>
      <c r="G27">
        <v>8</v>
      </c>
      <c r="H27">
        <v>14</v>
      </c>
      <c r="I27">
        <v>18</v>
      </c>
      <c r="J27">
        <v>24</v>
      </c>
      <c r="K27">
        <v>17</v>
      </c>
      <c r="L27">
        <v>17</v>
      </c>
      <c r="M27">
        <v>10</v>
      </c>
      <c r="N27">
        <v>22</v>
      </c>
      <c r="O27">
        <v>22</v>
      </c>
      <c r="P27">
        <v>20</v>
      </c>
      <c r="Q27">
        <v>17</v>
      </c>
      <c r="R27">
        <v>28</v>
      </c>
      <c r="S27">
        <v>32</v>
      </c>
      <c r="T27">
        <v>24</v>
      </c>
      <c r="U27">
        <v>21</v>
      </c>
      <c r="V27">
        <v>19</v>
      </c>
      <c r="W27">
        <v>24</v>
      </c>
      <c r="X27">
        <v>17</v>
      </c>
      <c r="Y27">
        <v>17</v>
      </c>
      <c r="Z27">
        <v>17</v>
      </c>
      <c r="AA27">
        <v>18</v>
      </c>
      <c r="AB27">
        <v>12</v>
      </c>
      <c r="AC27">
        <v>13</v>
      </c>
      <c r="AD27">
        <v>10</v>
      </c>
      <c r="AE27">
        <v>8</v>
      </c>
    </row>
    <row r="28" spans="1:31" x14ac:dyDescent="0.3">
      <c r="A28" t="s">
        <v>238</v>
      </c>
      <c r="B28" t="s">
        <v>174</v>
      </c>
      <c r="C28" t="s">
        <v>0</v>
      </c>
      <c r="D28" t="s">
        <v>175</v>
      </c>
      <c r="E28" t="s">
        <v>123</v>
      </c>
      <c r="F28">
        <v>33</v>
      </c>
      <c r="G28">
        <v>27</v>
      </c>
      <c r="H28">
        <v>33</v>
      </c>
      <c r="I28">
        <v>48</v>
      </c>
      <c r="J28">
        <v>51</v>
      </c>
      <c r="K28">
        <v>39</v>
      </c>
      <c r="L28">
        <v>38</v>
      </c>
      <c r="M28">
        <v>26</v>
      </c>
      <c r="N28">
        <v>59</v>
      </c>
      <c r="O28">
        <v>58</v>
      </c>
      <c r="P28">
        <v>37</v>
      </c>
      <c r="Q28">
        <v>27</v>
      </c>
      <c r="R28">
        <v>29</v>
      </c>
      <c r="S28">
        <v>33</v>
      </c>
      <c r="T28">
        <v>28</v>
      </c>
      <c r="U28">
        <v>23</v>
      </c>
      <c r="V28">
        <v>27</v>
      </c>
      <c r="W28">
        <v>22</v>
      </c>
      <c r="X28">
        <v>22</v>
      </c>
      <c r="Y28">
        <v>25</v>
      </c>
      <c r="Z28">
        <v>20</v>
      </c>
      <c r="AA28">
        <v>27</v>
      </c>
      <c r="AB28">
        <v>21</v>
      </c>
      <c r="AC28">
        <v>18</v>
      </c>
      <c r="AD28">
        <v>18</v>
      </c>
      <c r="AE28">
        <v>15</v>
      </c>
    </row>
    <row r="29" spans="1:31" x14ac:dyDescent="0.3">
      <c r="A29" t="s">
        <v>238</v>
      </c>
      <c r="B29" t="s">
        <v>176</v>
      </c>
      <c r="C29" t="s">
        <v>0</v>
      </c>
      <c r="D29" t="s">
        <v>177</v>
      </c>
      <c r="E29" t="s">
        <v>123</v>
      </c>
      <c r="F29">
        <v>15</v>
      </c>
      <c r="G29">
        <v>13</v>
      </c>
      <c r="H29">
        <v>16</v>
      </c>
      <c r="I29">
        <v>24</v>
      </c>
      <c r="J29">
        <v>19</v>
      </c>
      <c r="K29">
        <v>15</v>
      </c>
      <c r="L29">
        <v>17</v>
      </c>
      <c r="M29">
        <v>12</v>
      </c>
      <c r="N29">
        <v>27</v>
      </c>
      <c r="O29">
        <v>32</v>
      </c>
      <c r="P29">
        <v>13</v>
      </c>
      <c r="Q29">
        <v>12</v>
      </c>
      <c r="R29">
        <v>13</v>
      </c>
      <c r="S29">
        <v>13</v>
      </c>
      <c r="T29">
        <v>10</v>
      </c>
      <c r="U29">
        <v>8</v>
      </c>
      <c r="V29">
        <v>11</v>
      </c>
      <c r="W29">
        <v>9</v>
      </c>
      <c r="X29">
        <v>7</v>
      </c>
      <c r="Y29">
        <v>8</v>
      </c>
      <c r="Z29">
        <v>8</v>
      </c>
      <c r="AA29">
        <v>13</v>
      </c>
      <c r="AB29">
        <v>12</v>
      </c>
      <c r="AC29">
        <v>12</v>
      </c>
      <c r="AD29">
        <v>10</v>
      </c>
      <c r="AE29">
        <v>8</v>
      </c>
    </row>
    <row r="30" spans="1:31" x14ac:dyDescent="0.3">
      <c r="A30" t="s">
        <v>238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>
        <v>2</v>
      </c>
      <c r="P30">
        <v>3</v>
      </c>
      <c r="Q30">
        <v>3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238</v>
      </c>
      <c r="B31" t="s">
        <v>180</v>
      </c>
      <c r="C31" t="s">
        <v>0</v>
      </c>
      <c r="D31" t="s">
        <v>181</v>
      </c>
      <c r="E31" t="s">
        <v>123</v>
      </c>
      <c r="F31">
        <v>2</v>
      </c>
      <c r="G31">
        <v>2</v>
      </c>
      <c r="H31">
        <v>3</v>
      </c>
      <c r="I31">
        <v>5</v>
      </c>
      <c r="J31">
        <v>5</v>
      </c>
      <c r="K31">
        <v>2</v>
      </c>
      <c r="L31">
        <v>4</v>
      </c>
      <c r="M31">
        <v>1</v>
      </c>
      <c r="N31">
        <v>1</v>
      </c>
      <c r="O31">
        <v>2</v>
      </c>
      <c r="P31">
        <v>2</v>
      </c>
      <c r="Q31">
        <v>1</v>
      </c>
      <c r="R31">
        <v>1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238</v>
      </c>
      <c r="B32" t="s">
        <v>182</v>
      </c>
      <c r="C32" t="s">
        <v>0</v>
      </c>
      <c r="D32" t="s">
        <v>183</v>
      </c>
      <c r="E32" t="s">
        <v>123</v>
      </c>
      <c r="F32">
        <v>12</v>
      </c>
      <c r="G32">
        <v>10</v>
      </c>
      <c r="H32">
        <v>10</v>
      </c>
      <c r="I32">
        <v>13</v>
      </c>
      <c r="J32">
        <v>18</v>
      </c>
      <c r="K32">
        <v>16</v>
      </c>
      <c r="L32">
        <v>11</v>
      </c>
      <c r="M32">
        <v>8</v>
      </c>
      <c r="N32">
        <v>24</v>
      </c>
      <c r="O32">
        <v>21</v>
      </c>
      <c r="P32">
        <v>19</v>
      </c>
      <c r="Q32">
        <v>11</v>
      </c>
      <c r="R32">
        <v>13</v>
      </c>
      <c r="S32">
        <v>13</v>
      </c>
      <c r="T32">
        <v>14</v>
      </c>
      <c r="U32">
        <v>11</v>
      </c>
      <c r="V32">
        <v>10</v>
      </c>
      <c r="W32">
        <v>9</v>
      </c>
      <c r="X32">
        <v>11</v>
      </c>
      <c r="Y32">
        <v>13</v>
      </c>
      <c r="Z32">
        <v>9</v>
      </c>
      <c r="AA32">
        <v>10</v>
      </c>
      <c r="AB32">
        <v>5</v>
      </c>
      <c r="AC32">
        <v>3</v>
      </c>
      <c r="AD32">
        <v>6</v>
      </c>
      <c r="AE32">
        <v>4</v>
      </c>
    </row>
    <row r="33" spans="1:31" x14ac:dyDescent="0.3">
      <c r="A33" t="s">
        <v>238</v>
      </c>
      <c r="B33" t="s">
        <v>184</v>
      </c>
      <c r="C33" t="s">
        <v>0</v>
      </c>
      <c r="D33" t="s">
        <v>185</v>
      </c>
      <c r="E33" t="s">
        <v>123</v>
      </c>
      <c r="F33">
        <v>4</v>
      </c>
      <c r="G33">
        <v>2</v>
      </c>
      <c r="H33">
        <v>4</v>
      </c>
      <c r="I33">
        <v>6</v>
      </c>
      <c r="J33">
        <v>9</v>
      </c>
      <c r="K33">
        <v>6</v>
      </c>
      <c r="L33">
        <v>5</v>
      </c>
      <c r="M33">
        <v>4</v>
      </c>
      <c r="N33">
        <v>5</v>
      </c>
      <c r="O33">
        <v>1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238</v>
      </c>
      <c r="B34" t="s">
        <v>186</v>
      </c>
      <c r="C34" t="s">
        <v>0</v>
      </c>
      <c r="D34" t="s">
        <v>187</v>
      </c>
      <c r="E34" t="s">
        <v>123</v>
      </c>
      <c r="F34">
        <v>5</v>
      </c>
      <c r="G34">
        <v>6</v>
      </c>
      <c r="H34">
        <v>9</v>
      </c>
      <c r="I34">
        <v>14</v>
      </c>
      <c r="J34">
        <v>13</v>
      </c>
      <c r="K34">
        <v>10</v>
      </c>
      <c r="L34">
        <v>10</v>
      </c>
      <c r="M34">
        <v>6</v>
      </c>
      <c r="N34">
        <v>13</v>
      </c>
      <c r="O34">
        <v>14</v>
      </c>
      <c r="P34">
        <v>13</v>
      </c>
      <c r="Q34">
        <v>10</v>
      </c>
      <c r="R34">
        <v>11</v>
      </c>
      <c r="S34">
        <v>10</v>
      </c>
      <c r="T34">
        <v>8</v>
      </c>
      <c r="U34">
        <v>8</v>
      </c>
      <c r="V34">
        <v>10</v>
      </c>
      <c r="W34">
        <v>10</v>
      </c>
      <c r="X34">
        <v>5</v>
      </c>
      <c r="Y34">
        <v>5</v>
      </c>
      <c r="Z34">
        <v>5</v>
      </c>
      <c r="AA34">
        <v>6</v>
      </c>
      <c r="AB34">
        <v>3</v>
      </c>
      <c r="AC34">
        <v>6</v>
      </c>
      <c r="AD34">
        <v>4</v>
      </c>
      <c r="AE34">
        <v>3</v>
      </c>
    </row>
    <row r="35" spans="1:31" x14ac:dyDescent="0.3">
      <c r="A35" t="s">
        <v>238</v>
      </c>
      <c r="B35" t="s">
        <v>188</v>
      </c>
      <c r="C35" t="s">
        <v>0</v>
      </c>
      <c r="D35" t="s">
        <v>189</v>
      </c>
      <c r="E35" t="s">
        <v>123</v>
      </c>
      <c r="F35">
        <v>32</v>
      </c>
      <c r="G35">
        <v>29</v>
      </c>
      <c r="H35">
        <v>39</v>
      </c>
      <c r="I35">
        <v>46</v>
      </c>
      <c r="J35">
        <v>53</v>
      </c>
      <c r="K35">
        <v>46</v>
      </c>
      <c r="L35">
        <v>48</v>
      </c>
      <c r="M35">
        <v>30</v>
      </c>
      <c r="N35">
        <v>28</v>
      </c>
      <c r="O35">
        <v>83</v>
      </c>
      <c r="P35">
        <v>61</v>
      </c>
      <c r="Q35">
        <v>66</v>
      </c>
      <c r="R35">
        <v>62</v>
      </c>
      <c r="S35">
        <v>68</v>
      </c>
      <c r="T35">
        <v>37</v>
      </c>
      <c r="U35">
        <v>56</v>
      </c>
      <c r="V35">
        <v>108</v>
      </c>
      <c r="W35">
        <v>112</v>
      </c>
      <c r="X35">
        <v>94</v>
      </c>
      <c r="Y35">
        <v>98</v>
      </c>
      <c r="Z35">
        <v>109</v>
      </c>
      <c r="AA35">
        <v>117</v>
      </c>
      <c r="AB35">
        <v>107</v>
      </c>
      <c r="AC35">
        <v>148</v>
      </c>
      <c r="AD35">
        <v>99</v>
      </c>
      <c r="AE35">
        <v>113</v>
      </c>
    </row>
    <row r="36" spans="1:31" x14ac:dyDescent="0.3">
      <c r="A36" t="s">
        <v>238</v>
      </c>
      <c r="B36" t="s">
        <v>190</v>
      </c>
      <c r="C36" t="s">
        <v>0</v>
      </c>
      <c r="D36" t="s">
        <v>191</v>
      </c>
      <c r="E36" t="s">
        <v>123</v>
      </c>
      <c r="F36">
        <v>5</v>
      </c>
      <c r="G36">
        <v>4</v>
      </c>
      <c r="H36">
        <v>9</v>
      </c>
      <c r="I36">
        <v>8</v>
      </c>
      <c r="J36">
        <v>3</v>
      </c>
      <c r="K36">
        <v>4</v>
      </c>
      <c r="L36">
        <v>5</v>
      </c>
      <c r="M36">
        <v>4</v>
      </c>
      <c r="N36">
        <v>5</v>
      </c>
      <c r="O36">
        <v>4</v>
      </c>
      <c r="P36">
        <v>5</v>
      </c>
      <c r="Q36">
        <v>7</v>
      </c>
      <c r="R36">
        <v>8</v>
      </c>
      <c r="S36">
        <v>7</v>
      </c>
      <c r="T36">
        <v>8</v>
      </c>
      <c r="U36">
        <v>9</v>
      </c>
      <c r="V36">
        <v>9</v>
      </c>
      <c r="W36">
        <v>9</v>
      </c>
      <c r="X36">
        <v>4</v>
      </c>
      <c r="Y36">
        <v>3</v>
      </c>
      <c r="Z36">
        <v>3</v>
      </c>
      <c r="AA36">
        <v>4</v>
      </c>
      <c r="AB36">
        <v>5</v>
      </c>
      <c r="AC36">
        <v>4</v>
      </c>
      <c r="AD36">
        <v>3</v>
      </c>
      <c r="AE36">
        <v>2</v>
      </c>
    </row>
    <row r="37" spans="1:31" x14ac:dyDescent="0.3">
      <c r="A37" t="s">
        <v>238</v>
      </c>
      <c r="B37" t="s">
        <v>192</v>
      </c>
      <c r="C37" t="s">
        <v>0</v>
      </c>
      <c r="D37" t="s">
        <v>193</v>
      </c>
      <c r="E37" t="s">
        <v>123</v>
      </c>
      <c r="F37">
        <v>22</v>
      </c>
      <c r="G37">
        <v>21</v>
      </c>
      <c r="H37">
        <v>27</v>
      </c>
      <c r="I37">
        <v>34</v>
      </c>
      <c r="J37">
        <v>43</v>
      </c>
      <c r="K37">
        <v>36</v>
      </c>
      <c r="L37">
        <v>36</v>
      </c>
      <c r="M37">
        <v>22</v>
      </c>
      <c r="N37">
        <v>17</v>
      </c>
      <c r="O37">
        <v>64</v>
      </c>
      <c r="P37">
        <v>48</v>
      </c>
      <c r="Q37">
        <v>38</v>
      </c>
      <c r="R37">
        <v>30</v>
      </c>
      <c r="S37">
        <v>42</v>
      </c>
      <c r="T37">
        <v>20</v>
      </c>
      <c r="U37">
        <v>34</v>
      </c>
      <c r="V37">
        <v>86</v>
      </c>
      <c r="W37">
        <v>89</v>
      </c>
      <c r="X37">
        <v>74</v>
      </c>
      <c r="Y37">
        <v>75</v>
      </c>
      <c r="Z37">
        <v>75</v>
      </c>
      <c r="AA37">
        <v>87</v>
      </c>
      <c r="AB37">
        <v>68</v>
      </c>
      <c r="AC37">
        <v>107</v>
      </c>
      <c r="AD37">
        <v>84</v>
      </c>
      <c r="AE37">
        <v>102</v>
      </c>
    </row>
    <row r="38" spans="1:31" x14ac:dyDescent="0.3">
      <c r="A38" t="s">
        <v>238</v>
      </c>
      <c r="B38" t="s">
        <v>194</v>
      </c>
      <c r="C38" t="s">
        <v>0</v>
      </c>
      <c r="D38" t="s">
        <v>195</v>
      </c>
      <c r="E38" t="s">
        <v>123</v>
      </c>
      <c r="F38">
        <v>5</v>
      </c>
      <c r="G38">
        <v>4</v>
      </c>
      <c r="H38">
        <v>3</v>
      </c>
      <c r="I38">
        <v>4</v>
      </c>
      <c r="J38">
        <v>7</v>
      </c>
      <c r="K38">
        <v>6</v>
      </c>
      <c r="L38">
        <v>7</v>
      </c>
      <c r="M38">
        <v>4</v>
      </c>
      <c r="N38">
        <v>6</v>
      </c>
      <c r="O38">
        <v>15</v>
      </c>
      <c r="P38">
        <v>8</v>
      </c>
      <c r="Q38">
        <v>21</v>
      </c>
      <c r="R38">
        <v>24</v>
      </c>
      <c r="S38">
        <v>19</v>
      </c>
      <c r="T38">
        <v>9</v>
      </c>
      <c r="U38">
        <v>13</v>
      </c>
      <c r="V38">
        <v>13</v>
      </c>
      <c r="W38">
        <v>14</v>
      </c>
      <c r="X38">
        <v>16</v>
      </c>
      <c r="Y38">
        <v>20</v>
      </c>
      <c r="Z38">
        <v>31</v>
      </c>
      <c r="AA38">
        <v>26</v>
      </c>
      <c r="AB38">
        <v>34</v>
      </c>
      <c r="AC38">
        <v>37</v>
      </c>
      <c r="AD38">
        <v>12</v>
      </c>
      <c r="AE38">
        <v>9</v>
      </c>
    </row>
    <row r="39" spans="1:31" x14ac:dyDescent="0.3">
      <c r="A39" t="s">
        <v>238</v>
      </c>
      <c r="B39" t="s">
        <v>196</v>
      </c>
      <c r="C39" t="s">
        <v>0</v>
      </c>
      <c r="D39" t="s">
        <v>197</v>
      </c>
      <c r="E39" t="s">
        <v>123</v>
      </c>
      <c r="F39">
        <v>2</v>
      </c>
      <c r="G39">
        <v>5</v>
      </c>
      <c r="H39">
        <v>3</v>
      </c>
      <c r="I39">
        <v>4</v>
      </c>
      <c r="J39">
        <v>4</v>
      </c>
      <c r="K39">
        <v>6</v>
      </c>
      <c r="L39">
        <v>4</v>
      </c>
      <c r="M39">
        <v>6</v>
      </c>
      <c r="N39">
        <v>6</v>
      </c>
      <c r="O39">
        <v>3</v>
      </c>
      <c r="P39">
        <v>6</v>
      </c>
      <c r="Q39">
        <v>10</v>
      </c>
      <c r="R39">
        <v>15</v>
      </c>
      <c r="S39">
        <v>18</v>
      </c>
      <c r="T39">
        <v>11</v>
      </c>
      <c r="U39">
        <v>8</v>
      </c>
      <c r="V39">
        <v>8</v>
      </c>
      <c r="W39">
        <v>4</v>
      </c>
      <c r="X39">
        <v>7</v>
      </c>
      <c r="Y39">
        <v>2</v>
      </c>
      <c r="Z39">
        <v>3</v>
      </c>
      <c r="AA39">
        <v>3</v>
      </c>
      <c r="AB39">
        <v>52</v>
      </c>
      <c r="AC39">
        <v>28</v>
      </c>
      <c r="AD39">
        <v>46</v>
      </c>
      <c r="AE39">
        <v>36</v>
      </c>
    </row>
    <row r="40" spans="1:31" x14ac:dyDescent="0.3">
      <c r="A40" t="s">
        <v>238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1</v>
      </c>
      <c r="J40">
        <v>1</v>
      </c>
      <c r="K40">
        <v>3</v>
      </c>
      <c r="L40">
        <v>2</v>
      </c>
      <c r="M40">
        <v>2</v>
      </c>
      <c r="N40">
        <v>4</v>
      </c>
      <c r="O40">
        <v>5</v>
      </c>
      <c r="P40">
        <v>6</v>
      </c>
      <c r="Q40">
        <v>6</v>
      </c>
      <c r="R40">
        <v>6</v>
      </c>
      <c r="S40">
        <v>15</v>
      </c>
      <c r="T40">
        <v>7</v>
      </c>
      <c r="U40">
        <v>3</v>
      </c>
      <c r="V40">
        <v>2</v>
      </c>
      <c r="W40">
        <v>1</v>
      </c>
      <c r="X40">
        <v>4</v>
      </c>
      <c r="Y40">
        <v>4</v>
      </c>
      <c r="Z40">
        <v>4</v>
      </c>
      <c r="AA40">
        <v>5</v>
      </c>
      <c r="AB40">
        <v>5</v>
      </c>
      <c r="AC40">
        <v>5</v>
      </c>
      <c r="AD40">
        <v>4</v>
      </c>
      <c r="AE40">
        <v>4</v>
      </c>
    </row>
    <row r="41" spans="1:31" x14ac:dyDescent="0.3">
      <c r="A41" t="s">
        <v>238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238</v>
      </c>
      <c r="B42" t="s">
        <v>202</v>
      </c>
      <c r="C42" t="s">
        <v>0</v>
      </c>
      <c r="D42" t="s">
        <v>203</v>
      </c>
      <c r="E42" t="s">
        <v>123</v>
      </c>
      <c r="F42">
        <v>9</v>
      </c>
      <c r="G42">
        <v>10</v>
      </c>
      <c r="H42">
        <v>13</v>
      </c>
      <c r="I42">
        <v>16</v>
      </c>
      <c r="J42">
        <v>20</v>
      </c>
      <c r="K42">
        <v>17</v>
      </c>
      <c r="L42">
        <v>17</v>
      </c>
      <c r="M42">
        <v>11</v>
      </c>
      <c r="N42">
        <v>21</v>
      </c>
      <c r="O42">
        <v>19</v>
      </c>
      <c r="P42">
        <v>21</v>
      </c>
      <c r="Q42">
        <v>25</v>
      </c>
      <c r="R42">
        <v>25</v>
      </c>
      <c r="S42">
        <v>34</v>
      </c>
      <c r="T42">
        <v>10</v>
      </c>
      <c r="U42">
        <v>16</v>
      </c>
      <c r="V42">
        <v>20</v>
      </c>
      <c r="W42">
        <v>12</v>
      </c>
      <c r="X42">
        <v>14</v>
      </c>
      <c r="Y42">
        <v>10</v>
      </c>
      <c r="Z42">
        <v>9</v>
      </c>
      <c r="AA42">
        <v>12</v>
      </c>
      <c r="AB42">
        <v>12</v>
      </c>
      <c r="AC42">
        <v>10</v>
      </c>
      <c r="AD42">
        <v>9</v>
      </c>
      <c r="AE42">
        <v>9</v>
      </c>
    </row>
    <row r="43" spans="1:31" x14ac:dyDescent="0.3">
      <c r="A43" t="s">
        <v>238</v>
      </c>
      <c r="B43" t="s">
        <v>204</v>
      </c>
      <c r="C43" t="s">
        <v>0</v>
      </c>
      <c r="D43" t="s">
        <v>205</v>
      </c>
      <c r="E43" t="s">
        <v>123</v>
      </c>
      <c r="F43">
        <v>14</v>
      </c>
      <c r="G43">
        <v>16</v>
      </c>
      <c r="H43">
        <v>20</v>
      </c>
      <c r="I43">
        <v>26</v>
      </c>
      <c r="J43">
        <v>31</v>
      </c>
      <c r="K43">
        <v>29</v>
      </c>
      <c r="L43">
        <v>26</v>
      </c>
      <c r="M43">
        <v>17</v>
      </c>
      <c r="N43">
        <v>39</v>
      </c>
      <c r="O43">
        <v>36</v>
      </c>
      <c r="P43">
        <v>40</v>
      </c>
      <c r="Q43">
        <v>47</v>
      </c>
      <c r="R43">
        <v>49</v>
      </c>
      <c r="S43">
        <v>67</v>
      </c>
      <c r="T43">
        <v>35</v>
      </c>
      <c r="U43">
        <v>38</v>
      </c>
      <c r="V43">
        <v>46</v>
      </c>
      <c r="W43">
        <v>37</v>
      </c>
      <c r="X43">
        <v>34</v>
      </c>
      <c r="Y43">
        <v>26</v>
      </c>
      <c r="Z43">
        <v>22</v>
      </c>
      <c r="AA43">
        <v>31</v>
      </c>
      <c r="AB43">
        <v>26</v>
      </c>
      <c r="AC43">
        <v>25</v>
      </c>
      <c r="AD43">
        <v>24</v>
      </c>
      <c r="AE43">
        <v>21</v>
      </c>
    </row>
    <row r="44" spans="1:31" x14ac:dyDescent="0.3">
      <c r="A44" t="s">
        <v>238</v>
      </c>
      <c r="B44" t="s">
        <v>206</v>
      </c>
      <c r="C44" t="s">
        <v>0</v>
      </c>
      <c r="D44" t="s">
        <v>207</v>
      </c>
      <c r="E44" t="s">
        <v>123</v>
      </c>
      <c r="F44">
        <v>247</v>
      </c>
      <c r="G44">
        <v>238</v>
      </c>
      <c r="H44">
        <v>307</v>
      </c>
      <c r="I44">
        <v>374</v>
      </c>
      <c r="J44">
        <v>398</v>
      </c>
      <c r="K44">
        <v>333</v>
      </c>
      <c r="L44">
        <v>363</v>
      </c>
      <c r="M44">
        <v>213</v>
      </c>
      <c r="N44">
        <v>381</v>
      </c>
      <c r="O44">
        <v>468</v>
      </c>
      <c r="P44">
        <v>401</v>
      </c>
      <c r="Q44">
        <v>540</v>
      </c>
      <c r="R44">
        <v>639</v>
      </c>
      <c r="S44">
        <v>635</v>
      </c>
      <c r="T44">
        <v>473</v>
      </c>
      <c r="U44">
        <v>411</v>
      </c>
      <c r="V44">
        <v>459</v>
      </c>
      <c r="W44">
        <v>484</v>
      </c>
      <c r="X44">
        <v>405</v>
      </c>
      <c r="Y44">
        <v>402</v>
      </c>
      <c r="Z44">
        <v>462</v>
      </c>
      <c r="AA44">
        <v>498</v>
      </c>
      <c r="AB44">
        <v>545</v>
      </c>
      <c r="AC44">
        <v>499</v>
      </c>
      <c r="AD44">
        <v>437</v>
      </c>
      <c r="AE44">
        <v>425</v>
      </c>
    </row>
    <row r="45" spans="1:31" x14ac:dyDescent="0.3">
      <c r="A45" t="s">
        <v>238</v>
      </c>
      <c r="B45" t="s">
        <v>208</v>
      </c>
      <c r="C45" t="s">
        <v>0</v>
      </c>
      <c r="D45" t="s">
        <v>209</v>
      </c>
      <c r="E45" t="s">
        <v>123</v>
      </c>
      <c r="F45">
        <v>236</v>
      </c>
      <c r="G45">
        <v>230</v>
      </c>
      <c r="H45">
        <v>295</v>
      </c>
      <c r="I45">
        <v>360</v>
      </c>
      <c r="J45">
        <v>382</v>
      </c>
      <c r="K45">
        <v>322</v>
      </c>
      <c r="L45">
        <v>352</v>
      </c>
      <c r="M45">
        <v>206</v>
      </c>
      <c r="N45">
        <v>367</v>
      </c>
      <c r="O45">
        <v>450</v>
      </c>
      <c r="P45">
        <v>386</v>
      </c>
      <c r="Q45">
        <v>530</v>
      </c>
      <c r="R45">
        <v>629</v>
      </c>
      <c r="S45">
        <v>628</v>
      </c>
      <c r="T45">
        <v>463</v>
      </c>
      <c r="U45">
        <v>404</v>
      </c>
      <c r="V45">
        <v>452</v>
      </c>
      <c r="W45">
        <v>476</v>
      </c>
      <c r="X45">
        <v>397</v>
      </c>
      <c r="Y45">
        <v>394</v>
      </c>
      <c r="Z45">
        <v>454</v>
      </c>
      <c r="AA45">
        <v>490</v>
      </c>
      <c r="AB45">
        <v>537</v>
      </c>
      <c r="AC45">
        <v>491</v>
      </c>
      <c r="AD45">
        <v>429</v>
      </c>
      <c r="AE45">
        <v>417</v>
      </c>
    </row>
    <row r="46" spans="1:31" x14ac:dyDescent="0.3">
      <c r="A46" t="s">
        <v>238</v>
      </c>
      <c r="B46" t="s">
        <v>210</v>
      </c>
      <c r="C46" t="s">
        <v>0</v>
      </c>
      <c r="D46" t="s">
        <v>211</v>
      </c>
      <c r="E46" t="s">
        <v>123</v>
      </c>
      <c r="F46">
        <v>5</v>
      </c>
      <c r="G46">
        <v>6</v>
      </c>
      <c r="H46">
        <v>7</v>
      </c>
      <c r="I46">
        <v>10</v>
      </c>
      <c r="J46">
        <v>11</v>
      </c>
      <c r="K46">
        <v>12</v>
      </c>
      <c r="L46">
        <v>9</v>
      </c>
      <c r="M46">
        <v>6</v>
      </c>
      <c r="N46">
        <v>18</v>
      </c>
      <c r="O46">
        <v>17</v>
      </c>
      <c r="P46">
        <v>19</v>
      </c>
      <c r="Q46">
        <v>22</v>
      </c>
      <c r="R46">
        <v>24</v>
      </c>
      <c r="S46">
        <v>33</v>
      </c>
      <c r="T46">
        <v>25</v>
      </c>
      <c r="U46">
        <v>22</v>
      </c>
      <c r="V46">
        <v>26</v>
      </c>
      <c r="W46">
        <v>25</v>
      </c>
      <c r="X46">
        <v>20</v>
      </c>
      <c r="Y46">
        <v>16</v>
      </c>
      <c r="Z46">
        <v>13</v>
      </c>
      <c r="AA46">
        <v>19</v>
      </c>
      <c r="AB46">
        <v>14</v>
      </c>
      <c r="AC46">
        <v>15</v>
      </c>
      <c r="AD46">
        <v>15</v>
      </c>
      <c r="AE46">
        <v>12</v>
      </c>
    </row>
    <row r="47" spans="1:31" x14ac:dyDescent="0.3">
      <c r="A47" t="s">
        <v>238</v>
      </c>
      <c r="B47" t="s">
        <v>212</v>
      </c>
      <c r="C47" t="s">
        <v>0</v>
      </c>
      <c r="D47" t="s">
        <v>213</v>
      </c>
      <c r="E47" t="s">
        <v>123</v>
      </c>
      <c r="F47">
        <v>12</v>
      </c>
      <c r="G47">
        <v>13</v>
      </c>
      <c r="H47">
        <v>14</v>
      </c>
      <c r="I47">
        <v>19</v>
      </c>
      <c r="J47">
        <v>27</v>
      </c>
      <c r="K47">
        <v>21</v>
      </c>
      <c r="L47">
        <v>25</v>
      </c>
      <c r="M47">
        <v>14</v>
      </c>
      <c r="N47">
        <v>26</v>
      </c>
      <c r="O47">
        <v>31</v>
      </c>
      <c r="P47">
        <v>26</v>
      </c>
      <c r="Q47">
        <v>9</v>
      </c>
      <c r="R47">
        <v>13</v>
      </c>
      <c r="S47">
        <v>13</v>
      </c>
      <c r="T47">
        <v>8</v>
      </c>
      <c r="U47">
        <v>7</v>
      </c>
      <c r="V47">
        <v>4</v>
      </c>
      <c r="W47">
        <v>7</v>
      </c>
      <c r="X47">
        <v>6</v>
      </c>
      <c r="Y47">
        <v>4</v>
      </c>
      <c r="Z47">
        <v>7</v>
      </c>
      <c r="AA47">
        <v>7</v>
      </c>
      <c r="AB47">
        <v>8</v>
      </c>
      <c r="AC47">
        <v>6</v>
      </c>
      <c r="AD47">
        <v>8</v>
      </c>
      <c r="AE47">
        <v>6</v>
      </c>
    </row>
    <row r="48" spans="1:31" x14ac:dyDescent="0.3">
      <c r="A48" t="s">
        <v>238</v>
      </c>
      <c r="B48" t="s">
        <v>214</v>
      </c>
      <c r="C48" t="s">
        <v>0</v>
      </c>
      <c r="D48" t="s">
        <v>215</v>
      </c>
      <c r="E48" t="s">
        <v>123</v>
      </c>
      <c r="F48">
        <v>35</v>
      </c>
      <c r="G48">
        <v>34</v>
      </c>
      <c r="H48">
        <v>43</v>
      </c>
      <c r="I48">
        <v>53</v>
      </c>
      <c r="J48">
        <v>69</v>
      </c>
      <c r="K48">
        <v>58</v>
      </c>
      <c r="L48">
        <v>66</v>
      </c>
      <c r="M48">
        <v>42</v>
      </c>
      <c r="N48">
        <v>76</v>
      </c>
      <c r="O48">
        <v>91</v>
      </c>
      <c r="P48">
        <v>82</v>
      </c>
      <c r="Q48">
        <v>40</v>
      </c>
      <c r="R48">
        <v>42</v>
      </c>
      <c r="S48">
        <v>42</v>
      </c>
      <c r="T48">
        <v>42</v>
      </c>
      <c r="U48">
        <v>29</v>
      </c>
      <c r="V48">
        <v>26</v>
      </c>
      <c r="W48">
        <v>30</v>
      </c>
      <c r="X48">
        <v>30</v>
      </c>
      <c r="Y48">
        <v>27</v>
      </c>
      <c r="Z48">
        <v>27</v>
      </c>
      <c r="AA48">
        <v>27</v>
      </c>
      <c r="AB48">
        <v>25</v>
      </c>
      <c r="AC48">
        <v>24</v>
      </c>
      <c r="AD48">
        <v>25</v>
      </c>
      <c r="AE48">
        <v>22</v>
      </c>
    </row>
    <row r="49" spans="1:31" x14ac:dyDescent="0.3">
      <c r="A49" t="s">
        <v>238</v>
      </c>
      <c r="B49" t="s">
        <v>216</v>
      </c>
      <c r="C49" t="s">
        <v>0</v>
      </c>
      <c r="D49" t="s">
        <v>217</v>
      </c>
      <c r="E49" t="s">
        <v>123</v>
      </c>
      <c r="F49">
        <v>11</v>
      </c>
      <c r="G49">
        <v>8</v>
      </c>
      <c r="H49">
        <v>11</v>
      </c>
      <c r="I49">
        <v>13</v>
      </c>
      <c r="J49">
        <v>16</v>
      </c>
      <c r="K49">
        <v>13</v>
      </c>
      <c r="L49">
        <v>15</v>
      </c>
      <c r="M49">
        <v>10</v>
      </c>
      <c r="N49">
        <v>17</v>
      </c>
      <c r="O49">
        <v>19</v>
      </c>
      <c r="P49">
        <v>15</v>
      </c>
      <c r="Q49">
        <v>14</v>
      </c>
      <c r="R49">
        <v>13</v>
      </c>
      <c r="S49">
        <v>13</v>
      </c>
      <c r="T49">
        <v>6</v>
      </c>
      <c r="U49">
        <v>5</v>
      </c>
      <c r="V49">
        <v>5</v>
      </c>
      <c r="W49">
        <v>7</v>
      </c>
      <c r="X49">
        <v>7</v>
      </c>
      <c r="Y49">
        <v>5</v>
      </c>
      <c r="Z49">
        <v>7</v>
      </c>
      <c r="AA49">
        <v>8</v>
      </c>
      <c r="AB49">
        <v>9</v>
      </c>
      <c r="AC49">
        <v>10</v>
      </c>
      <c r="AD49">
        <v>9</v>
      </c>
      <c r="AE49">
        <v>8</v>
      </c>
    </row>
    <row r="50" spans="1:31" x14ac:dyDescent="0.3">
      <c r="A50" t="s">
        <v>238</v>
      </c>
      <c r="B50" t="s">
        <v>218</v>
      </c>
      <c r="C50" t="s">
        <v>0</v>
      </c>
      <c r="D50" t="s">
        <v>219</v>
      </c>
      <c r="E50" t="s">
        <v>123</v>
      </c>
      <c r="F50">
        <v>12</v>
      </c>
      <c r="G50">
        <v>13</v>
      </c>
      <c r="H50">
        <v>18</v>
      </c>
      <c r="I50">
        <v>21</v>
      </c>
      <c r="J50">
        <v>26</v>
      </c>
      <c r="K50">
        <v>24</v>
      </c>
      <c r="L50">
        <v>26</v>
      </c>
      <c r="M50">
        <v>18</v>
      </c>
      <c r="N50">
        <v>33</v>
      </c>
      <c r="O50">
        <v>41</v>
      </c>
      <c r="P50">
        <v>41</v>
      </c>
      <c r="Q50">
        <v>17</v>
      </c>
      <c r="R50">
        <v>16</v>
      </c>
      <c r="S50">
        <v>16</v>
      </c>
      <c r="T50">
        <v>28</v>
      </c>
      <c r="U50">
        <v>17</v>
      </c>
      <c r="V50">
        <v>17</v>
      </c>
      <c r="W50">
        <v>16</v>
      </c>
      <c r="X50">
        <v>17</v>
      </c>
      <c r="Y50">
        <v>18</v>
      </c>
      <c r="Z50">
        <v>13</v>
      </c>
      <c r="AA50">
        <v>12</v>
      </c>
      <c r="AB50">
        <v>8</v>
      </c>
      <c r="AC50">
        <v>8</v>
      </c>
      <c r="AD50">
        <v>8</v>
      </c>
      <c r="AE50">
        <v>8</v>
      </c>
    </row>
    <row r="51" spans="1:31" x14ac:dyDescent="0.3">
      <c r="A51" t="s">
        <v>238</v>
      </c>
      <c r="B51" t="s">
        <v>220</v>
      </c>
      <c r="C51" t="s">
        <v>0</v>
      </c>
      <c r="D51" t="s">
        <v>221</v>
      </c>
      <c r="E51" t="s">
        <v>123</v>
      </c>
      <c r="F51">
        <v>12</v>
      </c>
      <c r="G51">
        <v>13</v>
      </c>
      <c r="H51">
        <v>17</v>
      </c>
      <c r="I51">
        <v>20</v>
      </c>
      <c r="J51">
        <v>25</v>
      </c>
      <c r="K51">
        <v>24</v>
      </c>
      <c r="L51">
        <v>25</v>
      </c>
      <c r="M51">
        <v>18</v>
      </c>
      <c r="N51">
        <v>31</v>
      </c>
      <c r="O51">
        <v>38</v>
      </c>
      <c r="P51">
        <v>38</v>
      </c>
      <c r="Q51">
        <v>17</v>
      </c>
      <c r="R51">
        <v>16</v>
      </c>
      <c r="S51">
        <v>16</v>
      </c>
      <c r="T51">
        <v>27</v>
      </c>
      <c r="U51">
        <v>16</v>
      </c>
      <c r="V51">
        <v>17</v>
      </c>
      <c r="W51">
        <v>15</v>
      </c>
      <c r="X51">
        <v>15</v>
      </c>
      <c r="Y51">
        <v>16</v>
      </c>
      <c r="Z51">
        <v>11</v>
      </c>
      <c r="AA51">
        <v>9</v>
      </c>
      <c r="AB51">
        <v>7</v>
      </c>
      <c r="AC51">
        <v>7</v>
      </c>
      <c r="AD51">
        <v>6</v>
      </c>
      <c r="AE51">
        <v>6</v>
      </c>
    </row>
    <row r="52" spans="1:31" x14ac:dyDescent="0.3">
      <c r="A52" t="s">
        <v>238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1</v>
      </c>
      <c r="M52">
        <v>0</v>
      </c>
      <c r="N52">
        <v>2</v>
      </c>
      <c r="O52">
        <v>3</v>
      </c>
      <c r="P52">
        <v>3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2</v>
      </c>
      <c r="Y52">
        <v>2</v>
      </c>
      <c r="Z52">
        <v>2</v>
      </c>
      <c r="AA52">
        <v>3</v>
      </c>
      <c r="AB52">
        <v>1</v>
      </c>
      <c r="AC52">
        <v>1</v>
      </c>
      <c r="AD52">
        <v>2</v>
      </c>
      <c r="AE52">
        <v>2</v>
      </c>
    </row>
    <row r="53" spans="1:31" x14ac:dyDescent="0.3">
      <c r="A53" t="s">
        <v>238</v>
      </c>
      <c r="B53" t="s">
        <v>224</v>
      </c>
      <c r="C53" t="s">
        <v>0</v>
      </c>
      <c r="D53" t="s">
        <v>225</v>
      </c>
      <c r="E53" t="s">
        <v>123</v>
      </c>
      <c r="F53">
        <v>4</v>
      </c>
      <c r="G53">
        <v>7</v>
      </c>
      <c r="H53">
        <v>10</v>
      </c>
      <c r="I53">
        <v>11</v>
      </c>
      <c r="J53">
        <v>1</v>
      </c>
      <c r="K53">
        <v>11</v>
      </c>
      <c r="L53">
        <v>10</v>
      </c>
      <c r="M53">
        <v>6</v>
      </c>
      <c r="N53">
        <v>12</v>
      </c>
      <c r="O53">
        <v>16</v>
      </c>
      <c r="P53">
        <v>13</v>
      </c>
      <c r="Q53">
        <v>13</v>
      </c>
      <c r="R53">
        <v>19</v>
      </c>
      <c r="S53">
        <v>15</v>
      </c>
      <c r="T53">
        <v>17</v>
      </c>
      <c r="U53">
        <v>10</v>
      </c>
      <c r="V53">
        <v>16</v>
      </c>
      <c r="W53">
        <v>17</v>
      </c>
      <c r="X53">
        <v>17</v>
      </c>
      <c r="Y53">
        <v>14</v>
      </c>
      <c r="Z53">
        <v>14</v>
      </c>
      <c r="AA53">
        <v>16</v>
      </c>
      <c r="AB53">
        <v>15</v>
      </c>
      <c r="AC53">
        <v>10</v>
      </c>
      <c r="AD53">
        <v>8</v>
      </c>
      <c r="AE53">
        <v>7</v>
      </c>
    </row>
    <row r="54" spans="1:31" x14ac:dyDescent="0.3">
      <c r="A54" t="s">
        <v>238</v>
      </c>
      <c r="B54" t="s">
        <v>226</v>
      </c>
      <c r="C54" t="s">
        <v>0</v>
      </c>
      <c r="D54" t="s">
        <v>227</v>
      </c>
      <c r="E54" t="s">
        <v>123</v>
      </c>
      <c r="F54">
        <v>5</v>
      </c>
      <c r="G54">
        <v>8</v>
      </c>
      <c r="H54">
        <v>11</v>
      </c>
      <c r="I54">
        <v>12</v>
      </c>
      <c r="J54">
        <v>4</v>
      </c>
      <c r="K54">
        <v>13</v>
      </c>
      <c r="L54">
        <v>12</v>
      </c>
      <c r="M54">
        <v>7</v>
      </c>
      <c r="N54">
        <v>17</v>
      </c>
      <c r="O54">
        <v>21</v>
      </c>
      <c r="P54">
        <v>17</v>
      </c>
      <c r="Q54">
        <v>19</v>
      </c>
      <c r="R54">
        <v>25</v>
      </c>
      <c r="S54">
        <v>21</v>
      </c>
      <c r="T54">
        <v>23</v>
      </c>
      <c r="U54">
        <v>16</v>
      </c>
      <c r="V54">
        <v>24</v>
      </c>
      <c r="W54">
        <v>28</v>
      </c>
      <c r="X54">
        <v>27</v>
      </c>
      <c r="Y54">
        <v>22</v>
      </c>
      <c r="Z54">
        <v>22</v>
      </c>
      <c r="AA54">
        <v>24</v>
      </c>
      <c r="AB54">
        <v>24</v>
      </c>
      <c r="AC54">
        <v>18</v>
      </c>
      <c r="AD54">
        <v>16</v>
      </c>
      <c r="AE54">
        <v>11</v>
      </c>
    </row>
    <row r="55" spans="1:31" x14ac:dyDescent="0.3">
      <c r="A55" t="s">
        <v>238</v>
      </c>
      <c r="B55" t="s">
        <v>228</v>
      </c>
      <c r="C55" t="s">
        <v>0</v>
      </c>
      <c r="D55" t="s">
        <v>229</v>
      </c>
      <c r="E55" t="s">
        <v>123</v>
      </c>
      <c r="F55">
        <v>1</v>
      </c>
      <c r="G55">
        <v>1</v>
      </c>
      <c r="H55">
        <v>1</v>
      </c>
      <c r="I55">
        <v>1</v>
      </c>
      <c r="J55">
        <v>3</v>
      </c>
      <c r="K55">
        <v>2</v>
      </c>
      <c r="L55">
        <v>2</v>
      </c>
      <c r="M55">
        <v>1</v>
      </c>
      <c r="N55">
        <v>5</v>
      </c>
      <c r="O55">
        <v>5</v>
      </c>
      <c r="P55">
        <v>4</v>
      </c>
      <c r="Q55">
        <v>6</v>
      </c>
      <c r="R55">
        <v>6</v>
      </c>
      <c r="S55">
        <v>6</v>
      </c>
      <c r="T55">
        <v>6</v>
      </c>
      <c r="U55">
        <v>6</v>
      </c>
      <c r="V55">
        <v>8</v>
      </c>
      <c r="W55">
        <v>11</v>
      </c>
      <c r="X55">
        <v>10</v>
      </c>
      <c r="Y55">
        <v>8</v>
      </c>
      <c r="Z55">
        <v>8</v>
      </c>
      <c r="AA55">
        <v>8</v>
      </c>
      <c r="AB55">
        <v>9</v>
      </c>
      <c r="AC55">
        <v>8</v>
      </c>
      <c r="AD55">
        <v>8</v>
      </c>
      <c r="AE55">
        <v>4</v>
      </c>
    </row>
    <row r="56" spans="1:31" x14ac:dyDescent="0.3">
      <c r="A56" t="s">
        <v>238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238</v>
      </c>
      <c r="B57" t="s">
        <v>232</v>
      </c>
      <c r="C57" t="s">
        <v>0</v>
      </c>
      <c r="D57" t="s">
        <v>233</v>
      </c>
      <c r="E57" t="s">
        <v>123</v>
      </c>
      <c r="F57">
        <v>282</v>
      </c>
      <c r="G57">
        <v>272</v>
      </c>
      <c r="H57">
        <v>350</v>
      </c>
      <c r="I57">
        <v>428</v>
      </c>
      <c r="J57">
        <v>468</v>
      </c>
      <c r="K57">
        <v>394</v>
      </c>
      <c r="L57">
        <v>431</v>
      </c>
      <c r="M57">
        <v>257</v>
      </c>
      <c r="N57">
        <v>461</v>
      </c>
      <c r="O57">
        <v>564</v>
      </c>
      <c r="P57">
        <v>489</v>
      </c>
      <c r="Q57">
        <v>586</v>
      </c>
      <c r="R57">
        <v>687</v>
      </c>
      <c r="S57">
        <v>692</v>
      </c>
      <c r="T57">
        <v>522</v>
      </c>
      <c r="U57">
        <v>443</v>
      </c>
      <c r="V57">
        <v>487</v>
      </c>
      <c r="W57">
        <v>515</v>
      </c>
      <c r="X57">
        <v>439</v>
      </c>
      <c r="Y57">
        <v>433</v>
      </c>
      <c r="Z57">
        <v>493</v>
      </c>
      <c r="AA57">
        <v>530</v>
      </c>
      <c r="AB57">
        <v>575</v>
      </c>
      <c r="AC57">
        <v>528</v>
      </c>
      <c r="AD57">
        <v>466</v>
      </c>
      <c r="AE57">
        <v>451</v>
      </c>
    </row>
    <row r="58" spans="1:31" x14ac:dyDescent="0.3">
      <c r="A58" t="s">
        <v>238</v>
      </c>
      <c r="B58" t="s">
        <v>234</v>
      </c>
      <c r="C58" t="s">
        <v>0</v>
      </c>
      <c r="D58" t="s">
        <v>235</v>
      </c>
      <c r="E58" t="s">
        <v>123</v>
      </c>
      <c r="F58">
        <v>282</v>
      </c>
      <c r="G58">
        <v>272</v>
      </c>
      <c r="H58">
        <v>350</v>
      </c>
      <c r="I58">
        <v>428</v>
      </c>
      <c r="J58">
        <v>468</v>
      </c>
      <c r="K58">
        <v>394</v>
      </c>
      <c r="L58">
        <v>431</v>
      </c>
      <c r="M58">
        <v>257</v>
      </c>
      <c r="N58">
        <v>461</v>
      </c>
      <c r="O58">
        <v>564</v>
      </c>
      <c r="P58">
        <v>489</v>
      </c>
      <c r="Q58">
        <v>586</v>
      </c>
      <c r="R58">
        <v>687</v>
      </c>
      <c r="S58">
        <v>692</v>
      </c>
      <c r="T58">
        <v>522</v>
      </c>
      <c r="U58">
        <v>443</v>
      </c>
      <c r="V58">
        <v>487</v>
      </c>
      <c r="W58">
        <v>515</v>
      </c>
      <c r="X58">
        <v>439</v>
      </c>
      <c r="Y58">
        <v>433</v>
      </c>
      <c r="Z58">
        <v>493</v>
      </c>
      <c r="AA58">
        <v>530</v>
      </c>
      <c r="AB58">
        <v>575</v>
      </c>
      <c r="AC58">
        <v>528</v>
      </c>
      <c r="AD58">
        <v>466</v>
      </c>
      <c r="AE58">
        <v>451</v>
      </c>
    </row>
    <row r="59" spans="1:31" x14ac:dyDescent="0.3">
      <c r="A59" t="s">
        <v>238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239</v>
      </c>
      <c r="B2" t="s">
        <v>121</v>
      </c>
      <c r="C2" t="s">
        <v>0</v>
      </c>
      <c r="D2" t="s">
        <v>122</v>
      </c>
      <c r="E2" t="s">
        <v>123</v>
      </c>
      <c r="F2">
        <v>2</v>
      </c>
      <c r="G2">
        <v>1</v>
      </c>
      <c r="H2">
        <v>2</v>
      </c>
      <c r="I2">
        <v>2</v>
      </c>
      <c r="J2">
        <v>2</v>
      </c>
      <c r="K2">
        <v>3</v>
      </c>
      <c r="L2">
        <v>3</v>
      </c>
      <c r="M2">
        <v>3</v>
      </c>
      <c r="N2">
        <v>3</v>
      </c>
      <c r="O2">
        <v>3</v>
      </c>
      <c r="P2">
        <v>4</v>
      </c>
      <c r="Q2">
        <v>6</v>
      </c>
      <c r="R2">
        <v>5</v>
      </c>
      <c r="S2">
        <v>5</v>
      </c>
      <c r="T2">
        <v>5</v>
      </c>
      <c r="U2">
        <v>6</v>
      </c>
      <c r="V2">
        <v>5</v>
      </c>
      <c r="W2">
        <v>5</v>
      </c>
      <c r="X2">
        <v>6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</row>
    <row r="3" spans="1:31" x14ac:dyDescent="0.3">
      <c r="A3" t="s">
        <v>239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</v>
      </c>
      <c r="R3">
        <v>2</v>
      </c>
      <c r="S3">
        <v>2</v>
      </c>
      <c r="T3">
        <v>6</v>
      </c>
      <c r="U3">
        <v>8</v>
      </c>
      <c r="V3">
        <v>5</v>
      </c>
      <c r="W3">
        <v>3</v>
      </c>
      <c r="X3">
        <v>1</v>
      </c>
      <c r="Y3">
        <v>1</v>
      </c>
      <c r="Z3">
        <v>2</v>
      </c>
      <c r="AA3">
        <v>2</v>
      </c>
      <c r="AB3">
        <v>4</v>
      </c>
      <c r="AC3">
        <v>4</v>
      </c>
      <c r="AD3">
        <v>5</v>
      </c>
      <c r="AE3">
        <v>7</v>
      </c>
    </row>
    <row r="4" spans="1:31" x14ac:dyDescent="0.3">
      <c r="A4" t="s">
        <v>239</v>
      </c>
      <c r="B4" t="s">
        <v>126</v>
      </c>
      <c r="C4" t="s">
        <v>0</v>
      </c>
      <c r="D4" t="s">
        <v>127</v>
      </c>
      <c r="E4" t="s">
        <v>123</v>
      </c>
      <c r="F4">
        <v>199</v>
      </c>
      <c r="G4">
        <v>189</v>
      </c>
      <c r="H4">
        <v>236</v>
      </c>
      <c r="I4">
        <v>310</v>
      </c>
      <c r="J4">
        <v>343</v>
      </c>
      <c r="K4">
        <v>398</v>
      </c>
      <c r="L4">
        <v>479</v>
      </c>
      <c r="M4">
        <v>399</v>
      </c>
      <c r="N4">
        <v>520</v>
      </c>
      <c r="O4">
        <v>497</v>
      </c>
      <c r="P4">
        <v>603</v>
      </c>
      <c r="Q4">
        <v>698</v>
      </c>
      <c r="R4">
        <v>691</v>
      </c>
      <c r="S4">
        <v>700</v>
      </c>
      <c r="T4">
        <v>768</v>
      </c>
      <c r="U4">
        <v>794</v>
      </c>
      <c r="V4">
        <v>817</v>
      </c>
      <c r="W4">
        <v>830</v>
      </c>
      <c r="X4">
        <v>726</v>
      </c>
      <c r="Y4">
        <v>748</v>
      </c>
      <c r="Z4">
        <v>724</v>
      </c>
      <c r="AA4">
        <v>682</v>
      </c>
      <c r="AB4">
        <v>762</v>
      </c>
      <c r="AC4">
        <v>841</v>
      </c>
      <c r="AD4">
        <v>871</v>
      </c>
      <c r="AE4">
        <v>911</v>
      </c>
    </row>
    <row r="5" spans="1:31" x14ac:dyDescent="0.3">
      <c r="A5" t="s">
        <v>239</v>
      </c>
      <c r="B5" t="s">
        <v>128</v>
      </c>
      <c r="C5" t="s">
        <v>0</v>
      </c>
      <c r="D5" t="s">
        <v>129</v>
      </c>
      <c r="E5" t="s">
        <v>123</v>
      </c>
      <c r="F5">
        <v>13</v>
      </c>
      <c r="G5">
        <v>14</v>
      </c>
      <c r="H5">
        <v>14</v>
      </c>
      <c r="I5">
        <v>18</v>
      </c>
      <c r="J5">
        <v>25</v>
      </c>
      <c r="K5">
        <v>32</v>
      </c>
      <c r="L5">
        <v>26</v>
      </c>
      <c r="M5">
        <v>19</v>
      </c>
      <c r="N5">
        <v>40</v>
      </c>
      <c r="O5">
        <v>34</v>
      </c>
      <c r="P5">
        <v>44</v>
      </c>
      <c r="Q5">
        <v>37</v>
      </c>
      <c r="R5">
        <v>33</v>
      </c>
      <c r="S5">
        <v>36</v>
      </c>
      <c r="T5">
        <v>36</v>
      </c>
      <c r="U5">
        <v>44</v>
      </c>
      <c r="V5">
        <v>51</v>
      </c>
      <c r="W5">
        <v>52</v>
      </c>
      <c r="X5">
        <v>55</v>
      </c>
      <c r="Y5">
        <v>52</v>
      </c>
      <c r="Z5">
        <v>48</v>
      </c>
      <c r="AA5">
        <v>55</v>
      </c>
      <c r="AB5">
        <v>52</v>
      </c>
      <c r="AC5">
        <v>50</v>
      </c>
      <c r="AD5">
        <v>42</v>
      </c>
      <c r="AE5">
        <v>67</v>
      </c>
    </row>
    <row r="6" spans="1:31" x14ac:dyDescent="0.3">
      <c r="A6" t="s">
        <v>239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2</v>
      </c>
      <c r="H6">
        <v>2</v>
      </c>
      <c r="I6">
        <v>2</v>
      </c>
      <c r="J6">
        <v>1</v>
      </c>
      <c r="K6">
        <v>1</v>
      </c>
      <c r="L6">
        <v>2</v>
      </c>
      <c r="M6">
        <v>1</v>
      </c>
      <c r="N6">
        <v>3</v>
      </c>
      <c r="O6">
        <v>3</v>
      </c>
      <c r="P6">
        <v>3</v>
      </c>
      <c r="Q6">
        <v>3</v>
      </c>
      <c r="R6">
        <v>4</v>
      </c>
      <c r="S6">
        <v>3</v>
      </c>
      <c r="T6">
        <v>2</v>
      </c>
      <c r="U6">
        <v>2</v>
      </c>
      <c r="V6">
        <v>2</v>
      </c>
      <c r="W6">
        <v>4</v>
      </c>
      <c r="X6">
        <v>3</v>
      </c>
      <c r="Y6">
        <v>3</v>
      </c>
      <c r="Z6">
        <v>4</v>
      </c>
      <c r="AA6">
        <v>5</v>
      </c>
      <c r="AB6">
        <v>7</v>
      </c>
      <c r="AC6">
        <v>18</v>
      </c>
      <c r="AD6">
        <v>4</v>
      </c>
      <c r="AE6">
        <v>6</v>
      </c>
    </row>
    <row r="7" spans="1:31" x14ac:dyDescent="0.3">
      <c r="A7" t="s">
        <v>239</v>
      </c>
      <c r="B7" t="s">
        <v>132</v>
      </c>
      <c r="C7" t="s">
        <v>0</v>
      </c>
      <c r="D7" t="s">
        <v>133</v>
      </c>
      <c r="E7" t="s">
        <v>123</v>
      </c>
      <c r="F7">
        <v>43</v>
      </c>
      <c r="G7">
        <v>51</v>
      </c>
      <c r="H7">
        <v>60</v>
      </c>
      <c r="I7">
        <v>80</v>
      </c>
      <c r="J7">
        <v>79</v>
      </c>
      <c r="K7">
        <v>114</v>
      </c>
      <c r="L7">
        <v>148</v>
      </c>
      <c r="M7">
        <v>117</v>
      </c>
      <c r="N7">
        <v>117</v>
      </c>
      <c r="O7">
        <v>106</v>
      </c>
      <c r="P7">
        <v>162</v>
      </c>
      <c r="Q7">
        <v>211</v>
      </c>
      <c r="R7">
        <v>159</v>
      </c>
      <c r="S7">
        <v>121</v>
      </c>
      <c r="T7">
        <v>132</v>
      </c>
      <c r="U7">
        <v>123</v>
      </c>
      <c r="V7">
        <v>101</v>
      </c>
      <c r="W7">
        <v>114</v>
      </c>
      <c r="X7">
        <v>55</v>
      </c>
      <c r="Y7">
        <v>62</v>
      </c>
      <c r="Z7">
        <v>55</v>
      </c>
      <c r="AA7">
        <v>79</v>
      </c>
      <c r="AB7">
        <v>74</v>
      </c>
      <c r="AC7">
        <v>70</v>
      </c>
      <c r="AD7">
        <v>90</v>
      </c>
      <c r="AE7">
        <v>114</v>
      </c>
    </row>
    <row r="8" spans="1:31" x14ac:dyDescent="0.3">
      <c r="A8" t="s">
        <v>239</v>
      </c>
      <c r="B8" t="s">
        <v>134</v>
      </c>
      <c r="C8" t="s">
        <v>0</v>
      </c>
      <c r="D8" t="s">
        <v>135</v>
      </c>
      <c r="E8" t="s">
        <v>123</v>
      </c>
      <c r="F8">
        <v>8</v>
      </c>
      <c r="G8">
        <v>6</v>
      </c>
      <c r="H8">
        <v>8</v>
      </c>
      <c r="I8">
        <v>8</v>
      </c>
      <c r="J8">
        <v>9</v>
      </c>
      <c r="K8">
        <v>9</v>
      </c>
      <c r="L8">
        <v>18</v>
      </c>
      <c r="M8">
        <v>5</v>
      </c>
      <c r="N8">
        <v>17</v>
      </c>
      <c r="O8">
        <v>23</v>
      </c>
      <c r="P8">
        <v>22</v>
      </c>
      <c r="Q8">
        <v>7</v>
      </c>
      <c r="R8">
        <v>11</v>
      </c>
      <c r="S8">
        <v>14</v>
      </c>
      <c r="T8">
        <v>10</v>
      </c>
      <c r="U8">
        <v>10</v>
      </c>
      <c r="V8">
        <v>9</v>
      </c>
      <c r="W8">
        <v>7</v>
      </c>
      <c r="X8">
        <v>16</v>
      </c>
      <c r="Y8">
        <v>28</v>
      </c>
      <c r="Z8">
        <v>19</v>
      </c>
      <c r="AA8">
        <v>18</v>
      </c>
      <c r="AB8">
        <v>25</v>
      </c>
      <c r="AC8">
        <v>47</v>
      </c>
      <c r="AD8">
        <v>54</v>
      </c>
      <c r="AE8">
        <v>39</v>
      </c>
    </row>
    <row r="9" spans="1:31" x14ac:dyDescent="0.3">
      <c r="A9" t="s">
        <v>239</v>
      </c>
      <c r="B9" t="s">
        <v>136</v>
      </c>
      <c r="C9" t="s">
        <v>0</v>
      </c>
      <c r="D9" t="s">
        <v>137</v>
      </c>
      <c r="E9" t="s">
        <v>123</v>
      </c>
      <c r="F9">
        <v>6</v>
      </c>
      <c r="G9">
        <v>10</v>
      </c>
      <c r="H9">
        <v>8</v>
      </c>
      <c r="I9">
        <v>15</v>
      </c>
      <c r="J9">
        <v>11</v>
      </c>
      <c r="K9">
        <v>8</v>
      </c>
      <c r="L9">
        <v>13</v>
      </c>
      <c r="M9">
        <v>17</v>
      </c>
      <c r="N9">
        <v>16</v>
      </c>
      <c r="O9">
        <v>14</v>
      </c>
      <c r="P9">
        <v>16</v>
      </c>
      <c r="Q9">
        <v>14</v>
      </c>
      <c r="R9">
        <v>15</v>
      </c>
      <c r="S9">
        <v>20</v>
      </c>
      <c r="T9">
        <v>29</v>
      </c>
      <c r="U9">
        <v>19</v>
      </c>
      <c r="V9">
        <v>17</v>
      </c>
      <c r="W9">
        <v>24</v>
      </c>
      <c r="X9">
        <v>21</v>
      </c>
      <c r="Y9">
        <v>18</v>
      </c>
      <c r="Z9">
        <v>23</v>
      </c>
      <c r="AA9">
        <v>17</v>
      </c>
      <c r="AB9">
        <v>36</v>
      </c>
      <c r="AC9">
        <v>38</v>
      </c>
      <c r="AD9">
        <v>35</v>
      </c>
      <c r="AE9">
        <v>45</v>
      </c>
    </row>
    <row r="10" spans="1:31" x14ac:dyDescent="0.3">
      <c r="A10" t="s">
        <v>239</v>
      </c>
      <c r="B10" t="s">
        <v>138</v>
      </c>
      <c r="C10" t="s">
        <v>0</v>
      </c>
      <c r="D10" t="s">
        <v>139</v>
      </c>
      <c r="E10" t="s">
        <v>123</v>
      </c>
      <c r="F10">
        <v>8</v>
      </c>
      <c r="G10">
        <v>11</v>
      </c>
      <c r="H10">
        <v>12</v>
      </c>
      <c r="I10">
        <v>22</v>
      </c>
      <c r="J10">
        <v>15</v>
      </c>
      <c r="K10">
        <v>11</v>
      </c>
      <c r="L10">
        <v>18</v>
      </c>
      <c r="M10">
        <v>27</v>
      </c>
      <c r="N10">
        <v>22</v>
      </c>
      <c r="O10">
        <v>20</v>
      </c>
      <c r="P10">
        <v>22</v>
      </c>
      <c r="Q10">
        <v>18</v>
      </c>
      <c r="R10">
        <v>19</v>
      </c>
      <c r="S10">
        <v>25</v>
      </c>
      <c r="T10">
        <v>34</v>
      </c>
      <c r="U10">
        <v>26</v>
      </c>
      <c r="V10">
        <v>24</v>
      </c>
      <c r="W10">
        <v>32</v>
      </c>
      <c r="X10">
        <v>29</v>
      </c>
      <c r="Y10">
        <v>26</v>
      </c>
      <c r="Z10">
        <v>31</v>
      </c>
      <c r="AA10">
        <v>26</v>
      </c>
      <c r="AB10">
        <v>44</v>
      </c>
      <c r="AC10">
        <v>45</v>
      </c>
      <c r="AD10">
        <v>52</v>
      </c>
      <c r="AE10">
        <v>54</v>
      </c>
    </row>
    <row r="11" spans="1:31" x14ac:dyDescent="0.3">
      <c r="A11" t="s">
        <v>239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4</v>
      </c>
      <c r="I11">
        <v>7</v>
      </c>
      <c r="J11">
        <v>4</v>
      </c>
      <c r="K11">
        <v>3</v>
      </c>
      <c r="L11">
        <v>5</v>
      </c>
      <c r="M11">
        <v>10</v>
      </c>
      <c r="N11">
        <v>6</v>
      </c>
      <c r="O11">
        <v>6</v>
      </c>
      <c r="P11">
        <v>6</v>
      </c>
      <c r="Q11">
        <v>4</v>
      </c>
      <c r="R11">
        <v>4</v>
      </c>
      <c r="S11">
        <v>5</v>
      </c>
      <c r="T11">
        <v>5</v>
      </c>
      <c r="U11">
        <v>7</v>
      </c>
      <c r="V11">
        <v>7</v>
      </c>
      <c r="W11">
        <v>8</v>
      </c>
      <c r="X11">
        <v>8</v>
      </c>
      <c r="Y11">
        <v>8</v>
      </c>
      <c r="Z11">
        <v>8</v>
      </c>
      <c r="AA11">
        <v>9</v>
      </c>
      <c r="AB11">
        <v>8</v>
      </c>
      <c r="AC11">
        <v>7</v>
      </c>
      <c r="AD11">
        <v>17</v>
      </c>
      <c r="AE11">
        <v>9</v>
      </c>
    </row>
    <row r="12" spans="1:31" x14ac:dyDescent="0.3">
      <c r="A12" t="s">
        <v>239</v>
      </c>
      <c r="B12" t="s">
        <v>142</v>
      </c>
      <c r="C12" t="s">
        <v>0</v>
      </c>
      <c r="D12" t="s">
        <v>143</v>
      </c>
      <c r="E12" t="s">
        <v>123</v>
      </c>
      <c r="F12">
        <v>18</v>
      </c>
      <c r="G12">
        <v>18</v>
      </c>
      <c r="H12">
        <v>25</v>
      </c>
      <c r="I12">
        <v>26</v>
      </c>
      <c r="J12">
        <v>30</v>
      </c>
      <c r="K12">
        <v>32</v>
      </c>
      <c r="L12">
        <v>29</v>
      </c>
      <c r="M12">
        <v>16</v>
      </c>
      <c r="N12">
        <v>19</v>
      </c>
      <c r="O12">
        <v>24</v>
      </c>
      <c r="P12">
        <v>23</v>
      </c>
      <c r="Q12">
        <v>48</v>
      </c>
      <c r="R12">
        <v>35</v>
      </c>
      <c r="S12">
        <v>37</v>
      </c>
      <c r="T12">
        <v>28</v>
      </c>
      <c r="U12">
        <v>26</v>
      </c>
      <c r="V12">
        <v>33</v>
      </c>
      <c r="W12">
        <v>26</v>
      </c>
      <c r="X12">
        <v>25</v>
      </c>
      <c r="Y12">
        <v>27</v>
      </c>
      <c r="Z12">
        <v>28</v>
      </c>
      <c r="AA12">
        <v>22</v>
      </c>
      <c r="AB12">
        <v>27</v>
      </c>
      <c r="AC12">
        <v>39</v>
      </c>
      <c r="AD12">
        <v>51</v>
      </c>
      <c r="AE12">
        <v>53</v>
      </c>
    </row>
    <row r="13" spans="1:31" x14ac:dyDescent="0.3">
      <c r="A13" t="s">
        <v>239</v>
      </c>
      <c r="B13" t="s">
        <v>144</v>
      </c>
      <c r="C13" t="s">
        <v>0</v>
      </c>
      <c r="D13" t="s">
        <v>145</v>
      </c>
      <c r="E13" t="s">
        <v>123</v>
      </c>
      <c r="F13">
        <v>19</v>
      </c>
      <c r="G13">
        <v>13</v>
      </c>
      <c r="H13">
        <v>18</v>
      </c>
      <c r="I13">
        <v>24</v>
      </c>
      <c r="J13">
        <v>21</v>
      </c>
      <c r="K13">
        <v>20</v>
      </c>
      <c r="L13">
        <v>43</v>
      </c>
      <c r="M13">
        <v>27</v>
      </c>
      <c r="N13">
        <v>50</v>
      </c>
      <c r="O13">
        <v>44</v>
      </c>
      <c r="P13">
        <v>59</v>
      </c>
      <c r="Q13">
        <v>52</v>
      </c>
      <c r="R13">
        <v>65</v>
      </c>
      <c r="S13">
        <v>56</v>
      </c>
      <c r="T13">
        <v>51</v>
      </c>
      <c r="U13">
        <v>47</v>
      </c>
      <c r="V13">
        <v>47</v>
      </c>
      <c r="W13">
        <v>58</v>
      </c>
      <c r="X13">
        <v>40</v>
      </c>
      <c r="Y13">
        <v>68</v>
      </c>
      <c r="Z13">
        <v>64</v>
      </c>
      <c r="AA13">
        <v>65</v>
      </c>
      <c r="AB13">
        <v>74</v>
      </c>
      <c r="AC13">
        <v>64</v>
      </c>
      <c r="AD13">
        <v>86</v>
      </c>
      <c r="AE13">
        <v>90</v>
      </c>
    </row>
    <row r="14" spans="1:31" x14ac:dyDescent="0.3">
      <c r="A14" t="s">
        <v>239</v>
      </c>
      <c r="B14" t="s">
        <v>146</v>
      </c>
      <c r="C14" t="s">
        <v>0</v>
      </c>
      <c r="D14" t="s">
        <v>147</v>
      </c>
      <c r="E14" t="s">
        <v>123</v>
      </c>
      <c r="F14">
        <v>18</v>
      </c>
      <c r="G14">
        <v>11</v>
      </c>
      <c r="H14">
        <v>14</v>
      </c>
      <c r="I14">
        <v>38</v>
      </c>
      <c r="J14">
        <v>80</v>
      </c>
      <c r="K14">
        <v>90</v>
      </c>
      <c r="L14">
        <v>103</v>
      </c>
      <c r="M14">
        <v>141</v>
      </c>
      <c r="N14">
        <v>147</v>
      </c>
      <c r="O14">
        <v>138</v>
      </c>
      <c r="P14">
        <v>158</v>
      </c>
      <c r="Q14">
        <v>224</v>
      </c>
      <c r="R14">
        <v>235</v>
      </c>
      <c r="S14">
        <v>271</v>
      </c>
      <c r="T14">
        <v>286</v>
      </c>
      <c r="U14">
        <v>325</v>
      </c>
      <c r="V14">
        <v>373</v>
      </c>
      <c r="W14">
        <v>346</v>
      </c>
      <c r="X14">
        <v>303</v>
      </c>
      <c r="Y14">
        <v>258</v>
      </c>
      <c r="Z14">
        <v>225</v>
      </c>
      <c r="AA14">
        <v>198</v>
      </c>
      <c r="AB14">
        <v>219</v>
      </c>
      <c r="AC14">
        <v>209</v>
      </c>
      <c r="AD14">
        <v>209</v>
      </c>
      <c r="AE14">
        <v>171</v>
      </c>
    </row>
    <row r="15" spans="1:31" x14ac:dyDescent="0.3">
      <c r="A15" t="s">
        <v>239</v>
      </c>
      <c r="B15" t="s">
        <v>148</v>
      </c>
      <c r="C15" t="s">
        <v>0</v>
      </c>
      <c r="D15" t="s">
        <v>149</v>
      </c>
      <c r="E15" t="s">
        <v>123</v>
      </c>
      <c r="F15">
        <v>36</v>
      </c>
      <c r="G15">
        <v>29</v>
      </c>
      <c r="H15">
        <v>30</v>
      </c>
      <c r="I15">
        <v>56</v>
      </c>
      <c r="J15">
        <v>99</v>
      </c>
      <c r="K15">
        <v>106</v>
      </c>
      <c r="L15">
        <v>117</v>
      </c>
      <c r="M15">
        <v>147</v>
      </c>
      <c r="N15">
        <v>167</v>
      </c>
      <c r="O15">
        <v>152</v>
      </c>
      <c r="P15">
        <v>175</v>
      </c>
      <c r="Q15">
        <v>246</v>
      </c>
      <c r="R15">
        <v>257</v>
      </c>
      <c r="S15">
        <v>306</v>
      </c>
      <c r="T15">
        <v>328</v>
      </c>
      <c r="U15">
        <v>360</v>
      </c>
      <c r="V15">
        <v>407</v>
      </c>
      <c r="W15">
        <v>377</v>
      </c>
      <c r="X15">
        <v>321</v>
      </c>
      <c r="Y15">
        <v>286</v>
      </c>
      <c r="Z15">
        <v>244</v>
      </c>
      <c r="AA15">
        <v>217</v>
      </c>
      <c r="AB15">
        <v>249</v>
      </c>
      <c r="AC15">
        <v>242</v>
      </c>
      <c r="AD15">
        <v>247</v>
      </c>
      <c r="AE15">
        <v>203</v>
      </c>
    </row>
    <row r="16" spans="1:31" x14ac:dyDescent="0.3">
      <c r="A16" t="s">
        <v>239</v>
      </c>
      <c r="B16" t="s">
        <v>150</v>
      </c>
      <c r="C16" t="s">
        <v>0</v>
      </c>
      <c r="D16" t="s">
        <v>151</v>
      </c>
      <c r="E16" t="s">
        <v>123</v>
      </c>
      <c r="F16">
        <v>18</v>
      </c>
      <c r="G16">
        <v>18</v>
      </c>
      <c r="H16">
        <v>16</v>
      </c>
      <c r="I16">
        <v>18</v>
      </c>
      <c r="J16">
        <v>19</v>
      </c>
      <c r="K16">
        <v>16</v>
      </c>
      <c r="L16">
        <v>14</v>
      </c>
      <c r="M16">
        <v>6</v>
      </c>
      <c r="N16">
        <v>20</v>
      </c>
      <c r="O16">
        <v>14</v>
      </c>
      <c r="P16">
        <v>17</v>
      </c>
      <c r="Q16">
        <v>22</v>
      </c>
      <c r="R16">
        <v>22</v>
      </c>
      <c r="S16">
        <v>35</v>
      </c>
      <c r="T16">
        <v>42</v>
      </c>
      <c r="U16">
        <v>35</v>
      </c>
      <c r="V16">
        <v>34</v>
      </c>
      <c r="W16">
        <v>31</v>
      </c>
      <c r="X16">
        <v>18</v>
      </c>
      <c r="Y16">
        <v>28</v>
      </c>
      <c r="Z16">
        <v>19</v>
      </c>
      <c r="AA16">
        <v>19</v>
      </c>
      <c r="AB16">
        <v>30</v>
      </c>
      <c r="AC16">
        <v>33</v>
      </c>
      <c r="AD16">
        <v>38</v>
      </c>
      <c r="AE16">
        <v>32</v>
      </c>
    </row>
    <row r="17" spans="1:31" x14ac:dyDescent="0.3">
      <c r="A17" t="s">
        <v>239</v>
      </c>
      <c r="B17" t="s">
        <v>152</v>
      </c>
      <c r="C17" t="s">
        <v>0</v>
      </c>
      <c r="D17" t="s">
        <v>153</v>
      </c>
      <c r="E17" t="s">
        <v>123</v>
      </c>
      <c r="F17">
        <v>31</v>
      </c>
      <c r="G17">
        <v>27</v>
      </c>
      <c r="H17">
        <v>44</v>
      </c>
      <c r="I17">
        <v>35</v>
      </c>
      <c r="J17">
        <v>34</v>
      </c>
      <c r="K17">
        <v>44</v>
      </c>
      <c r="L17">
        <v>44</v>
      </c>
      <c r="M17">
        <v>23</v>
      </c>
      <c r="N17">
        <v>56</v>
      </c>
      <c r="O17">
        <v>63</v>
      </c>
      <c r="P17">
        <v>65</v>
      </c>
      <c r="Q17">
        <v>56</v>
      </c>
      <c r="R17">
        <v>79</v>
      </c>
      <c r="S17">
        <v>81</v>
      </c>
      <c r="T17">
        <v>121</v>
      </c>
      <c r="U17">
        <v>123</v>
      </c>
      <c r="V17">
        <v>112</v>
      </c>
      <c r="W17">
        <v>117</v>
      </c>
      <c r="X17">
        <v>139</v>
      </c>
      <c r="Y17">
        <v>160</v>
      </c>
      <c r="Z17">
        <v>192</v>
      </c>
      <c r="AA17">
        <v>152</v>
      </c>
      <c r="AB17">
        <v>170</v>
      </c>
      <c r="AC17">
        <v>215</v>
      </c>
      <c r="AD17">
        <v>179</v>
      </c>
      <c r="AE17">
        <v>214</v>
      </c>
    </row>
    <row r="18" spans="1:31" x14ac:dyDescent="0.3">
      <c r="A18" t="s">
        <v>239</v>
      </c>
      <c r="B18" t="s">
        <v>154</v>
      </c>
      <c r="C18" t="s">
        <v>0</v>
      </c>
      <c r="D18" t="s">
        <v>155</v>
      </c>
      <c r="E18" t="s">
        <v>123</v>
      </c>
      <c r="F18">
        <v>8</v>
      </c>
      <c r="G18">
        <v>6</v>
      </c>
      <c r="H18">
        <v>7</v>
      </c>
      <c r="I18">
        <v>24</v>
      </c>
      <c r="J18">
        <v>11</v>
      </c>
      <c r="K18">
        <v>10</v>
      </c>
      <c r="L18">
        <v>12</v>
      </c>
      <c r="M18">
        <v>4</v>
      </c>
      <c r="N18">
        <v>10</v>
      </c>
      <c r="O18">
        <v>9</v>
      </c>
      <c r="P18">
        <v>8</v>
      </c>
      <c r="Q18">
        <v>6</v>
      </c>
      <c r="R18">
        <v>8</v>
      </c>
      <c r="S18">
        <v>8</v>
      </c>
      <c r="T18">
        <v>10</v>
      </c>
      <c r="U18">
        <v>9</v>
      </c>
      <c r="V18">
        <v>13</v>
      </c>
      <c r="W18">
        <v>19</v>
      </c>
      <c r="X18">
        <v>15</v>
      </c>
      <c r="Y18">
        <v>13</v>
      </c>
      <c r="Z18">
        <v>12</v>
      </c>
      <c r="AA18">
        <v>17</v>
      </c>
      <c r="AB18">
        <v>18</v>
      </c>
      <c r="AC18">
        <v>17</v>
      </c>
      <c r="AD18">
        <v>17</v>
      </c>
      <c r="AE18">
        <v>15</v>
      </c>
    </row>
    <row r="19" spans="1:31" x14ac:dyDescent="0.3">
      <c r="A19" t="s">
        <v>239</v>
      </c>
      <c r="B19" t="s">
        <v>156</v>
      </c>
      <c r="C19" t="s">
        <v>0</v>
      </c>
      <c r="D19" t="s">
        <v>157</v>
      </c>
      <c r="E19" t="s">
        <v>123</v>
      </c>
      <c r="F19">
        <v>14</v>
      </c>
      <c r="G19">
        <v>12</v>
      </c>
      <c r="H19">
        <v>16</v>
      </c>
      <c r="I19">
        <v>15</v>
      </c>
      <c r="J19">
        <v>19</v>
      </c>
      <c r="K19">
        <v>19</v>
      </c>
      <c r="L19">
        <v>22</v>
      </c>
      <c r="M19">
        <v>13</v>
      </c>
      <c r="N19">
        <v>19</v>
      </c>
      <c r="O19">
        <v>19</v>
      </c>
      <c r="P19">
        <v>20</v>
      </c>
      <c r="Q19">
        <v>14</v>
      </c>
      <c r="R19">
        <v>21</v>
      </c>
      <c r="S19">
        <v>13</v>
      </c>
      <c r="T19">
        <v>16</v>
      </c>
      <c r="U19">
        <v>24</v>
      </c>
      <c r="V19">
        <v>18</v>
      </c>
      <c r="W19">
        <v>24</v>
      </c>
      <c r="X19">
        <v>28</v>
      </c>
      <c r="Y19">
        <v>23</v>
      </c>
      <c r="Z19">
        <v>27</v>
      </c>
      <c r="AA19">
        <v>26</v>
      </c>
      <c r="AB19">
        <v>22</v>
      </c>
      <c r="AC19">
        <v>34</v>
      </c>
      <c r="AD19">
        <v>49</v>
      </c>
      <c r="AE19">
        <v>56</v>
      </c>
    </row>
    <row r="20" spans="1:31" x14ac:dyDescent="0.3">
      <c r="A20" t="s">
        <v>239</v>
      </c>
      <c r="B20" t="s">
        <v>158</v>
      </c>
      <c r="C20" t="s">
        <v>0</v>
      </c>
      <c r="D20" t="s">
        <v>159</v>
      </c>
      <c r="E20" t="s">
        <v>123</v>
      </c>
      <c r="F20">
        <v>14</v>
      </c>
      <c r="G20">
        <v>13</v>
      </c>
      <c r="H20">
        <v>15</v>
      </c>
      <c r="I20">
        <v>23</v>
      </c>
      <c r="J20">
        <v>26</v>
      </c>
      <c r="K20">
        <v>27</v>
      </c>
      <c r="L20">
        <v>30</v>
      </c>
      <c r="M20">
        <v>30</v>
      </c>
      <c r="N20">
        <v>24</v>
      </c>
      <c r="O20">
        <v>28</v>
      </c>
      <c r="P20">
        <v>49</v>
      </c>
      <c r="Q20">
        <v>43</v>
      </c>
      <c r="R20">
        <v>45</v>
      </c>
      <c r="S20">
        <v>49</v>
      </c>
      <c r="T20">
        <v>59</v>
      </c>
      <c r="U20">
        <v>56</v>
      </c>
      <c r="V20">
        <v>70</v>
      </c>
      <c r="W20">
        <v>75</v>
      </c>
      <c r="X20">
        <v>94</v>
      </c>
      <c r="Y20">
        <v>89</v>
      </c>
      <c r="Z20">
        <v>90</v>
      </c>
      <c r="AA20">
        <v>99</v>
      </c>
      <c r="AB20">
        <v>95</v>
      </c>
      <c r="AC20">
        <v>118</v>
      </c>
      <c r="AD20">
        <v>119</v>
      </c>
      <c r="AE20">
        <v>121</v>
      </c>
    </row>
    <row r="21" spans="1:31" x14ac:dyDescent="0.3">
      <c r="A21" t="s">
        <v>239</v>
      </c>
      <c r="B21" t="s">
        <v>160</v>
      </c>
      <c r="C21" t="s">
        <v>0</v>
      </c>
      <c r="D21" t="s">
        <v>161</v>
      </c>
      <c r="E21" t="s">
        <v>123</v>
      </c>
      <c r="F21">
        <v>14</v>
      </c>
      <c r="G21">
        <v>13</v>
      </c>
      <c r="H21">
        <v>15</v>
      </c>
      <c r="I21">
        <v>23</v>
      </c>
      <c r="J21">
        <v>27</v>
      </c>
      <c r="K21">
        <v>28</v>
      </c>
      <c r="L21">
        <v>32</v>
      </c>
      <c r="M21">
        <v>31</v>
      </c>
      <c r="N21">
        <v>27</v>
      </c>
      <c r="O21">
        <v>30</v>
      </c>
      <c r="P21">
        <v>52</v>
      </c>
      <c r="Q21">
        <v>45</v>
      </c>
      <c r="R21">
        <v>49</v>
      </c>
      <c r="S21">
        <v>52</v>
      </c>
      <c r="T21">
        <v>62</v>
      </c>
      <c r="U21">
        <v>63</v>
      </c>
      <c r="V21">
        <v>73</v>
      </c>
      <c r="W21">
        <v>78</v>
      </c>
      <c r="X21">
        <v>100</v>
      </c>
      <c r="Y21">
        <v>100</v>
      </c>
      <c r="Z21">
        <v>100</v>
      </c>
      <c r="AA21">
        <v>108</v>
      </c>
      <c r="AB21">
        <v>106</v>
      </c>
      <c r="AC21">
        <v>128</v>
      </c>
      <c r="AD21">
        <v>131</v>
      </c>
      <c r="AE21">
        <v>130</v>
      </c>
    </row>
    <row r="22" spans="1:31" x14ac:dyDescent="0.3">
      <c r="A22" t="s">
        <v>239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>
        <v>2</v>
      </c>
      <c r="P22">
        <v>3</v>
      </c>
      <c r="Q22">
        <v>2</v>
      </c>
      <c r="R22">
        <v>4</v>
      </c>
      <c r="S22">
        <v>3</v>
      </c>
      <c r="T22">
        <v>3</v>
      </c>
      <c r="U22">
        <v>7</v>
      </c>
      <c r="V22">
        <v>3</v>
      </c>
      <c r="W22">
        <v>3</v>
      </c>
      <c r="X22">
        <v>6</v>
      </c>
      <c r="Y22">
        <v>11</v>
      </c>
      <c r="Z22">
        <v>10</v>
      </c>
      <c r="AA22">
        <v>9</v>
      </c>
      <c r="AB22">
        <v>11</v>
      </c>
      <c r="AC22">
        <v>10</v>
      </c>
      <c r="AD22">
        <v>12</v>
      </c>
      <c r="AE22">
        <v>9</v>
      </c>
    </row>
    <row r="23" spans="1:31" x14ac:dyDescent="0.3">
      <c r="A23" t="s">
        <v>239</v>
      </c>
      <c r="B23" t="s">
        <v>164</v>
      </c>
      <c r="C23" t="s">
        <v>0</v>
      </c>
      <c r="D23" t="s">
        <v>165</v>
      </c>
      <c r="E23" t="s">
        <v>123</v>
      </c>
      <c r="F23">
        <v>18</v>
      </c>
      <c r="G23">
        <v>17</v>
      </c>
      <c r="H23">
        <v>19</v>
      </c>
      <c r="I23">
        <v>25</v>
      </c>
      <c r="J23">
        <v>27</v>
      </c>
      <c r="K23">
        <v>30</v>
      </c>
      <c r="L23">
        <v>31</v>
      </c>
      <c r="M23">
        <v>33</v>
      </c>
      <c r="N23">
        <v>37</v>
      </c>
      <c r="O23">
        <v>36</v>
      </c>
      <c r="P23">
        <v>42</v>
      </c>
      <c r="Q23">
        <v>44</v>
      </c>
      <c r="R23">
        <v>26</v>
      </c>
      <c r="S23">
        <v>60</v>
      </c>
      <c r="T23">
        <v>37</v>
      </c>
      <c r="U23">
        <v>43</v>
      </c>
      <c r="V23">
        <v>33</v>
      </c>
      <c r="W23">
        <v>56</v>
      </c>
      <c r="X23">
        <v>49</v>
      </c>
      <c r="Y23">
        <v>78</v>
      </c>
      <c r="Z23">
        <v>87</v>
      </c>
      <c r="AA23">
        <v>92</v>
      </c>
      <c r="AB23">
        <v>133</v>
      </c>
      <c r="AC23">
        <v>95</v>
      </c>
      <c r="AD23">
        <v>116</v>
      </c>
      <c r="AE23">
        <v>106</v>
      </c>
    </row>
    <row r="24" spans="1:31" x14ac:dyDescent="0.3">
      <c r="A24" t="s">
        <v>239</v>
      </c>
      <c r="B24" t="s">
        <v>166</v>
      </c>
      <c r="C24" t="s">
        <v>0</v>
      </c>
      <c r="D24" t="s">
        <v>167</v>
      </c>
      <c r="E24" t="s">
        <v>123</v>
      </c>
      <c r="F24">
        <v>35</v>
      </c>
      <c r="G24">
        <v>38</v>
      </c>
      <c r="H24">
        <v>48</v>
      </c>
      <c r="I24">
        <v>72</v>
      </c>
      <c r="J24">
        <v>91</v>
      </c>
      <c r="K24">
        <v>119</v>
      </c>
      <c r="L24">
        <v>147</v>
      </c>
      <c r="M24">
        <v>171</v>
      </c>
      <c r="N24">
        <v>252</v>
      </c>
      <c r="O24">
        <v>234</v>
      </c>
      <c r="P24">
        <v>233</v>
      </c>
      <c r="Q24">
        <v>206</v>
      </c>
      <c r="R24">
        <v>208</v>
      </c>
      <c r="S24">
        <v>250</v>
      </c>
      <c r="T24">
        <v>239</v>
      </c>
      <c r="U24">
        <v>224</v>
      </c>
      <c r="V24">
        <v>250</v>
      </c>
      <c r="W24">
        <v>336</v>
      </c>
      <c r="X24">
        <v>384</v>
      </c>
      <c r="Y24">
        <v>432</v>
      </c>
      <c r="Z24">
        <v>382</v>
      </c>
      <c r="AA24">
        <v>363</v>
      </c>
      <c r="AB24">
        <v>379</v>
      </c>
      <c r="AC24">
        <v>422</v>
      </c>
      <c r="AD24">
        <v>414</v>
      </c>
      <c r="AE24">
        <v>475</v>
      </c>
    </row>
    <row r="25" spans="1:31" x14ac:dyDescent="0.3">
      <c r="A25" t="s">
        <v>239</v>
      </c>
      <c r="B25" t="s">
        <v>168</v>
      </c>
      <c r="C25" t="s">
        <v>0</v>
      </c>
      <c r="D25" t="s">
        <v>169</v>
      </c>
      <c r="E25" t="s">
        <v>123</v>
      </c>
      <c r="F25">
        <v>5</v>
      </c>
      <c r="G25">
        <v>5</v>
      </c>
      <c r="H25">
        <v>6</v>
      </c>
      <c r="I25">
        <v>10</v>
      </c>
      <c r="J25">
        <v>12</v>
      </c>
      <c r="K25">
        <v>10</v>
      </c>
      <c r="L25">
        <v>13</v>
      </c>
      <c r="M25">
        <v>13</v>
      </c>
      <c r="N25">
        <v>16</v>
      </c>
      <c r="O25">
        <v>15</v>
      </c>
      <c r="P25">
        <v>14</v>
      </c>
      <c r="Q25">
        <v>14</v>
      </c>
      <c r="R25">
        <v>18</v>
      </c>
      <c r="S25">
        <v>22</v>
      </c>
      <c r="T25">
        <v>21</v>
      </c>
      <c r="U25">
        <v>22</v>
      </c>
      <c r="V25">
        <v>16</v>
      </c>
      <c r="W25">
        <v>25</v>
      </c>
      <c r="X25">
        <v>23</v>
      </c>
      <c r="Y25">
        <v>27</v>
      </c>
      <c r="Z25">
        <v>23</v>
      </c>
      <c r="AA25">
        <v>27</v>
      </c>
      <c r="AB25">
        <v>27</v>
      </c>
      <c r="AC25">
        <v>44</v>
      </c>
      <c r="AD25">
        <v>39</v>
      </c>
      <c r="AE25">
        <v>45</v>
      </c>
    </row>
    <row r="26" spans="1:31" x14ac:dyDescent="0.3">
      <c r="A26" t="s">
        <v>239</v>
      </c>
      <c r="B26" t="s">
        <v>170</v>
      </c>
      <c r="C26" t="s">
        <v>0</v>
      </c>
      <c r="D26" t="s">
        <v>171</v>
      </c>
      <c r="E26" t="s">
        <v>123</v>
      </c>
      <c r="F26">
        <v>24</v>
      </c>
      <c r="G26">
        <v>26</v>
      </c>
      <c r="H26">
        <v>33</v>
      </c>
      <c r="I26">
        <v>49</v>
      </c>
      <c r="J26">
        <v>63</v>
      </c>
      <c r="K26">
        <v>87</v>
      </c>
      <c r="L26">
        <v>107</v>
      </c>
      <c r="M26">
        <v>127</v>
      </c>
      <c r="N26">
        <v>196</v>
      </c>
      <c r="O26">
        <v>178</v>
      </c>
      <c r="P26">
        <v>172</v>
      </c>
      <c r="Q26">
        <v>146</v>
      </c>
      <c r="R26">
        <v>136</v>
      </c>
      <c r="S26">
        <v>167</v>
      </c>
      <c r="T26">
        <v>169</v>
      </c>
      <c r="U26">
        <v>143</v>
      </c>
      <c r="V26">
        <v>179</v>
      </c>
      <c r="W26">
        <v>227</v>
      </c>
      <c r="X26">
        <v>249</v>
      </c>
      <c r="Y26">
        <v>265</v>
      </c>
      <c r="Z26">
        <v>269</v>
      </c>
      <c r="AA26">
        <v>234</v>
      </c>
      <c r="AB26">
        <v>267</v>
      </c>
      <c r="AC26">
        <v>275</v>
      </c>
      <c r="AD26">
        <v>251</v>
      </c>
      <c r="AE26">
        <v>304</v>
      </c>
    </row>
    <row r="27" spans="1:31" x14ac:dyDescent="0.3">
      <c r="A27" t="s">
        <v>239</v>
      </c>
      <c r="B27" t="s">
        <v>172</v>
      </c>
      <c r="C27" t="s">
        <v>0</v>
      </c>
      <c r="D27" t="s">
        <v>173</v>
      </c>
      <c r="E27" t="s">
        <v>123</v>
      </c>
      <c r="F27">
        <v>6</v>
      </c>
      <c r="G27">
        <v>7</v>
      </c>
      <c r="H27">
        <v>9</v>
      </c>
      <c r="I27">
        <v>13</v>
      </c>
      <c r="J27">
        <v>16</v>
      </c>
      <c r="K27">
        <v>22</v>
      </c>
      <c r="L27">
        <v>27</v>
      </c>
      <c r="M27">
        <v>31</v>
      </c>
      <c r="N27">
        <v>40</v>
      </c>
      <c r="O27">
        <v>41</v>
      </c>
      <c r="P27">
        <v>47</v>
      </c>
      <c r="Q27">
        <v>46</v>
      </c>
      <c r="R27">
        <v>54</v>
      </c>
      <c r="S27">
        <v>61</v>
      </c>
      <c r="T27">
        <v>49</v>
      </c>
      <c r="U27">
        <v>59</v>
      </c>
      <c r="V27">
        <v>55</v>
      </c>
      <c r="W27">
        <v>84</v>
      </c>
      <c r="X27">
        <v>112</v>
      </c>
      <c r="Y27">
        <v>140</v>
      </c>
      <c r="Z27">
        <v>90</v>
      </c>
      <c r="AA27">
        <v>102</v>
      </c>
      <c r="AB27">
        <v>85</v>
      </c>
      <c r="AC27">
        <v>103</v>
      </c>
      <c r="AD27">
        <v>124</v>
      </c>
      <c r="AE27">
        <v>126</v>
      </c>
    </row>
    <row r="28" spans="1:31" x14ac:dyDescent="0.3">
      <c r="A28" t="s">
        <v>239</v>
      </c>
      <c r="B28" t="s">
        <v>174</v>
      </c>
      <c r="C28" t="s">
        <v>0</v>
      </c>
      <c r="D28" t="s">
        <v>175</v>
      </c>
      <c r="E28" t="s">
        <v>123</v>
      </c>
      <c r="F28">
        <v>54</v>
      </c>
      <c r="G28">
        <v>61</v>
      </c>
      <c r="H28">
        <v>72</v>
      </c>
      <c r="I28">
        <v>89</v>
      </c>
      <c r="J28">
        <v>99</v>
      </c>
      <c r="K28">
        <v>95</v>
      </c>
      <c r="L28">
        <v>90</v>
      </c>
      <c r="M28">
        <v>78</v>
      </c>
      <c r="N28">
        <v>77</v>
      </c>
      <c r="O28">
        <v>101</v>
      </c>
      <c r="P28">
        <v>89</v>
      </c>
      <c r="Q28">
        <v>92</v>
      </c>
      <c r="R28">
        <v>83</v>
      </c>
      <c r="S28">
        <v>81</v>
      </c>
      <c r="T28">
        <v>127</v>
      </c>
      <c r="U28">
        <v>86</v>
      </c>
      <c r="V28">
        <v>93</v>
      </c>
      <c r="W28">
        <v>104</v>
      </c>
      <c r="X28">
        <v>90</v>
      </c>
      <c r="Y28">
        <v>103</v>
      </c>
      <c r="Z28">
        <v>105</v>
      </c>
      <c r="AA28">
        <v>119</v>
      </c>
      <c r="AB28">
        <v>143</v>
      </c>
      <c r="AC28">
        <v>148</v>
      </c>
      <c r="AD28">
        <v>155</v>
      </c>
      <c r="AE28">
        <v>165</v>
      </c>
    </row>
    <row r="29" spans="1:31" x14ac:dyDescent="0.3">
      <c r="A29" t="s">
        <v>239</v>
      </c>
      <c r="B29" t="s">
        <v>176</v>
      </c>
      <c r="C29" t="s">
        <v>0</v>
      </c>
      <c r="D29" t="s">
        <v>177</v>
      </c>
      <c r="E29" t="s">
        <v>123</v>
      </c>
      <c r="F29">
        <v>11</v>
      </c>
      <c r="G29">
        <v>8</v>
      </c>
      <c r="H29">
        <v>11</v>
      </c>
      <c r="I29">
        <v>9</v>
      </c>
      <c r="J29">
        <v>10</v>
      </c>
      <c r="K29">
        <v>10</v>
      </c>
      <c r="L29">
        <v>13</v>
      </c>
      <c r="M29">
        <v>13</v>
      </c>
      <c r="N29">
        <v>12</v>
      </c>
      <c r="O29">
        <v>16</v>
      </c>
      <c r="P29">
        <v>13</v>
      </c>
      <c r="Q29">
        <v>18</v>
      </c>
      <c r="R29">
        <v>18</v>
      </c>
      <c r="S29">
        <v>11</v>
      </c>
      <c r="T29">
        <v>45</v>
      </c>
      <c r="U29">
        <v>20</v>
      </c>
      <c r="V29">
        <v>9</v>
      </c>
      <c r="W29">
        <v>11</v>
      </c>
      <c r="X29">
        <v>12</v>
      </c>
      <c r="Y29">
        <v>25</v>
      </c>
      <c r="Z29">
        <v>17</v>
      </c>
      <c r="AA29">
        <v>19</v>
      </c>
      <c r="AB29">
        <v>44</v>
      </c>
      <c r="AC29">
        <v>35</v>
      </c>
      <c r="AD29">
        <v>34</v>
      </c>
      <c r="AE29">
        <v>31</v>
      </c>
    </row>
    <row r="30" spans="1:31" x14ac:dyDescent="0.3">
      <c r="A30" t="s">
        <v>239</v>
      </c>
      <c r="B30" t="s">
        <v>178</v>
      </c>
      <c r="C30" t="s">
        <v>0</v>
      </c>
      <c r="D30" t="s">
        <v>179</v>
      </c>
      <c r="E30" t="s">
        <v>123</v>
      </c>
      <c r="F30">
        <v>2</v>
      </c>
      <c r="G30">
        <v>2</v>
      </c>
      <c r="H30">
        <v>3</v>
      </c>
      <c r="I30">
        <v>3</v>
      </c>
      <c r="J30">
        <v>4</v>
      </c>
      <c r="K30">
        <v>4</v>
      </c>
      <c r="L30">
        <v>5</v>
      </c>
      <c r="M30">
        <v>5</v>
      </c>
      <c r="N30">
        <v>5</v>
      </c>
      <c r="O30">
        <v>5</v>
      </c>
      <c r="P30">
        <v>7</v>
      </c>
      <c r="Q30">
        <v>5</v>
      </c>
      <c r="R30">
        <v>6</v>
      </c>
      <c r="S30">
        <v>7</v>
      </c>
      <c r="T30">
        <v>7</v>
      </c>
      <c r="U30">
        <v>6</v>
      </c>
      <c r="V30">
        <v>4</v>
      </c>
      <c r="W30">
        <v>4</v>
      </c>
      <c r="X30">
        <v>4</v>
      </c>
      <c r="Y30">
        <v>4</v>
      </c>
      <c r="Z30">
        <v>6</v>
      </c>
      <c r="AA30">
        <v>5</v>
      </c>
      <c r="AB30">
        <v>5</v>
      </c>
      <c r="AC30">
        <v>6</v>
      </c>
      <c r="AD30">
        <v>5</v>
      </c>
      <c r="AE30">
        <v>5</v>
      </c>
    </row>
    <row r="31" spans="1:31" x14ac:dyDescent="0.3">
      <c r="A31" t="s">
        <v>239</v>
      </c>
      <c r="B31" t="s">
        <v>180</v>
      </c>
      <c r="C31" t="s">
        <v>0</v>
      </c>
      <c r="D31" t="s">
        <v>181</v>
      </c>
      <c r="E31" t="s">
        <v>123</v>
      </c>
      <c r="F31">
        <v>16</v>
      </c>
      <c r="G31">
        <v>14</v>
      </c>
      <c r="H31">
        <v>16</v>
      </c>
      <c r="I31">
        <v>21</v>
      </c>
      <c r="J31">
        <v>23</v>
      </c>
      <c r="K31">
        <v>26</v>
      </c>
      <c r="L31">
        <v>29</v>
      </c>
      <c r="M31">
        <v>28</v>
      </c>
      <c r="N31">
        <v>27</v>
      </c>
      <c r="O31">
        <v>44</v>
      </c>
      <c r="P31">
        <v>34</v>
      </c>
      <c r="Q31">
        <v>32</v>
      </c>
      <c r="R31">
        <v>27</v>
      </c>
      <c r="S31">
        <v>22</v>
      </c>
      <c r="T31">
        <v>23</v>
      </c>
      <c r="U31">
        <v>14</v>
      </c>
      <c r="V31">
        <v>15</v>
      </c>
      <c r="W31">
        <v>18</v>
      </c>
      <c r="X31">
        <v>18</v>
      </c>
      <c r="Y31">
        <v>16</v>
      </c>
      <c r="Z31">
        <v>30</v>
      </c>
      <c r="AA31">
        <v>42</v>
      </c>
      <c r="AB31">
        <v>34</v>
      </c>
      <c r="AC31">
        <v>45</v>
      </c>
      <c r="AD31">
        <v>43</v>
      </c>
      <c r="AE31">
        <v>27</v>
      </c>
    </row>
    <row r="32" spans="1:31" x14ac:dyDescent="0.3">
      <c r="A32" t="s">
        <v>239</v>
      </c>
      <c r="B32" t="s">
        <v>182</v>
      </c>
      <c r="C32" t="s">
        <v>0</v>
      </c>
      <c r="D32" t="s">
        <v>183</v>
      </c>
      <c r="E32" t="s">
        <v>123</v>
      </c>
      <c r="F32">
        <v>8</v>
      </c>
      <c r="G32">
        <v>7</v>
      </c>
      <c r="H32">
        <v>8</v>
      </c>
      <c r="I32">
        <v>13</v>
      </c>
      <c r="J32">
        <v>15</v>
      </c>
      <c r="K32">
        <v>17</v>
      </c>
      <c r="L32">
        <v>17</v>
      </c>
      <c r="M32">
        <v>19</v>
      </c>
      <c r="N32">
        <v>15</v>
      </c>
      <c r="O32">
        <v>20</v>
      </c>
      <c r="P32">
        <v>19</v>
      </c>
      <c r="Q32">
        <v>19</v>
      </c>
      <c r="R32">
        <v>18</v>
      </c>
      <c r="S32">
        <v>23</v>
      </c>
      <c r="T32">
        <v>30</v>
      </c>
      <c r="U32">
        <v>24</v>
      </c>
      <c r="V32">
        <v>40</v>
      </c>
      <c r="W32">
        <v>35</v>
      </c>
      <c r="X32">
        <v>24</v>
      </c>
      <c r="Y32">
        <v>27</v>
      </c>
      <c r="Z32">
        <v>26</v>
      </c>
      <c r="AA32">
        <v>37</v>
      </c>
      <c r="AB32">
        <v>51</v>
      </c>
      <c r="AC32">
        <v>39</v>
      </c>
      <c r="AD32">
        <v>57</v>
      </c>
      <c r="AE32">
        <v>74</v>
      </c>
    </row>
    <row r="33" spans="1:31" x14ac:dyDescent="0.3">
      <c r="A33" t="s">
        <v>239</v>
      </c>
      <c r="B33" t="s">
        <v>184</v>
      </c>
      <c r="C33" t="s">
        <v>0</v>
      </c>
      <c r="D33" t="s">
        <v>185</v>
      </c>
      <c r="E33" t="s">
        <v>123</v>
      </c>
      <c r="F33">
        <v>17</v>
      </c>
      <c r="G33">
        <v>30</v>
      </c>
      <c r="H33">
        <v>34</v>
      </c>
      <c r="I33">
        <v>43</v>
      </c>
      <c r="J33">
        <v>47</v>
      </c>
      <c r="K33">
        <v>38</v>
      </c>
      <c r="L33">
        <v>26</v>
      </c>
      <c r="M33">
        <v>13</v>
      </c>
      <c r="N33">
        <v>18</v>
      </c>
      <c r="O33">
        <v>16</v>
      </c>
      <c r="P33">
        <v>16</v>
      </c>
      <c r="Q33">
        <v>18</v>
      </c>
      <c r="R33">
        <v>14</v>
      </c>
      <c r="S33">
        <v>18</v>
      </c>
      <c r="T33">
        <v>22</v>
      </c>
      <c r="U33">
        <v>22</v>
      </c>
      <c r="V33">
        <v>25</v>
      </c>
      <c r="W33">
        <v>36</v>
      </c>
      <c r="X33">
        <v>32</v>
      </c>
      <c r="Y33">
        <v>31</v>
      </c>
      <c r="Z33">
        <v>26</v>
      </c>
      <c r="AA33">
        <v>16</v>
      </c>
      <c r="AB33">
        <v>9</v>
      </c>
      <c r="AC33">
        <v>23</v>
      </c>
      <c r="AD33">
        <v>16</v>
      </c>
      <c r="AE33">
        <v>28</v>
      </c>
    </row>
    <row r="34" spans="1:31" x14ac:dyDescent="0.3">
      <c r="A34" t="s">
        <v>239</v>
      </c>
      <c r="B34" t="s">
        <v>186</v>
      </c>
      <c r="C34" t="s">
        <v>0</v>
      </c>
      <c r="D34" t="s">
        <v>187</v>
      </c>
      <c r="E34" t="s">
        <v>123</v>
      </c>
      <c r="F34">
        <v>4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7</v>
      </c>
      <c r="N34">
        <v>10</v>
      </c>
      <c r="O34">
        <v>9</v>
      </c>
      <c r="P34">
        <v>8</v>
      </c>
      <c r="Q34">
        <v>9</v>
      </c>
      <c r="R34">
        <v>12</v>
      </c>
      <c r="S34">
        <v>14</v>
      </c>
      <c r="T34">
        <v>16</v>
      </c>
      <c r="U34">
        <v>22</v>
      </c>
      <c r="V34">
        <v>20</v>
      </c>
      <c r="W34">
        <v>22</v>
      </c>
      <c r="X34">
        <v>23</v>
      </c>
      <c r="Y34">
        <v>20</v>
      </c>
      <c r="Z34">
        <v>21</v>
      </c>
      <c r="AA34">
        <v>24</v>
      </c>
      <c r="AB34">
        <v>25</v>
      </c>
      <c r="AC34">
        <v>26</v>
      </c>
      <c r="AD34">
        <v>36</v>
      </c>
      <c r="AE34">
        <v>28</v>
      </c>
    </row>
    <row r="35" spans="1:31" x14ac:dyDescent="0.3">
      <c r="A35" t="s">
        <v>239</v>
      </c>
      <c r="B35" t="s">
        <v>188</v>
      </c>
      <c r="C35" t="s">
        <v>0</v>
      </c>
      <c r="D35" t="s">
        <v>189</v>
      </c>
      <c r="E35" t="s">
        <v>123</v>
      </c>
      <c r="F35">
        <v>165</v>
      </c>
      <c r="G35">
        <v>158</v>
      </c>
      <c r="H35">
        <v>168</v>
      </c>
      <c r="I35">
        <v>209</v>
      </c>
      <c r="J35">
        <v>244</v>
      </c>
      <c r="K35">
        <v>287</v>
      </c>
      <c r="L35">
        <v>319</v>
      </c>
      <c r="M35">
        <v>295</v>
      </c>
      <c r="N35">
        <v>379</v>
      </c>
      <c r="O35">
        <v>307</v>
      </c>
      <c r="P35">
        <v>420</v>
      </c>
      <c r="Q35">
        <v>422</v>
      </c>
      <c r="R35">
        <v>485</v>
      </c>
      <c r="S35">
        <v>438</v>
      </c>
      <c r="T35">
        <v>448</v>
      </c>
      <c r="U35">
        <v>420</v>
      </c>
      <c r="V35">
        <v>394</v>
      </c>
      <c r="W35">
        <v>369</v>
      </c>
      <c r="X35">
        <v>463</v>
      </c>
      <c r="Y35">
        <v>509</v>
      </c>
      <c r="Z35">
        <v>536</v>
      </c>
      <c r="AA35">
        <v>568</v>
      </c>
      <c r="AB35">
        <v>561</v>
      </c>
      <c r="AC35">
        <v>735</v>
      </c>
      <c r="AD35">
        <v>751</v>
      </c>
      <c r="AE35">
        <v>700</v>
      </c>
    </row>
    <row r="36" spans="1:31" x14ac:dyDescent="0.3">
      <c r="A36" t="s">
        <v>239</v>
      </c>
      <c r="B36" t="s">
        <v>190</v>
      </c>
      <c r="C36" t="s">
        <v>0</v>
      </c>
      <c r="D36" t="s">
        <v>191</v>
      </c>
      <c r="E36" t="s">
        <v>123</v>
      </c>
      <c r="F36">
        <v>34</v>
      </c>
      <c r="G36">
        <v>31</v>
      </c>
      <c r="H36">
        <v>29</v>
      </c>
      <c r="I36">
        <v>33</v>
      </c>
      <c r="J36">
        <v>44</v>
      </c>
      <c r="K36">
        <v>42</v>
      </c>
      <c r="L36">
        <v>53</v>
      </c>
      <c r="M36">
        <v>33</v>
      </c>
      <c r="N36">
        <v>45</v>
      </c>
      <c r="O36">
        <v>59</v>
      </c>
      <c r="P36">
        <v>58</v>
      </c>
      <c r="Q36">
        <v>53</v>
      </c>
      <c r="R36">
        <v>84</v>
      </c>
      <c r="S36">
        <v>71</v>
      </c>
      <c r="T36">
        <v>100</v>
      </c>
      <c r="U36">
        <v>103</v>
      </c>
      <c r="V36">
        <v>101</v>
      </c>
      <c r="W36">
        <v>111</v>
      </c>
      <c r="X36">
        <v>98</v>
      </c>
      <c r="Y36">
        <v>100</v>
      </c>
      <c r="Z36">
        <v>109</v>
      </c>
      <c r="AA36">
        <v>119</v>
      </c>
      <c r="AB36">
        <v>111</v>
      </c>
      <c r="AC36">
        <v>138</v>
      </c>
      <c r="AD36">
        <v>133</v>
      </c>
      <c r="AE36">
        <v>141</v>
      </c>
    </row>
    <row r="37" spans="1:31" x14ac:dyDescent="0.3">
      <c r="A37" t="s">
        <v>239</v>
      </c>
      <c r="B37" t="s">
        <v>192</v>
      </c>
      <c r="C37" t="s">
        <v>0</v>
      </c>
      <c r="D37" t="s">
        <v>193</v>
      </c>
      <c r="E37" t="s">
        <v>123</v>
      </c>
      <c r="F37">
        <v>53</v>
      </c>
      <c r="G37">
        <v>44</v>
      </c>
      <c r="H37">
        <v>49</v>
      </c>
      <c r="I37">
        <v>63</v>
      </c>
      <c r="J37">
        <v>70</v>
      </c>
      <c r="K37">
        <v>95</v>
      </c>
      <c r="L37">
        <v>97</v>
      </c>
      <c r="M37">
        <v>98</v>
      </c>
      <c r="N37">
        <v>168</v>
      </c>
      <c r="O37">
        <v>74</v>
      </c>
      <c r="P37">
        <v>126</v>
      </c>
      <c r="Q37">
        <v>116</v>
      </c>
      <c r="R37">
        <v>144</v>
      </c>
      <c r="S37">
        <v>77</v>
      </c>
      <c r="T37">
        <v>107</v>
      </c>
      <c r="U37">
        <v>92</v>
      </c>
      <c r="V37">
        <v>59</v>
      </c>
      <c r="W37">
        <v>57</v>
      </c>
      <c r="X37">
        <v>73</v>
      </c>
      <c r="Y37">
        <v>81</v>
      </c>
      <c r="Z37">
        <v>81</v>
      </c>
      <c r="AA37">
        <v>94</v>
      </c>
      <c r="AB37">
        <v>120</v>
      </c>
      <c r="AC37">
        <v>123</v>
      </c>
      <c r="AD37">
        <v>105</v>
      </c>
      <c r="AE37">
        <v>90</v>
      </c>
    </row>
    <row r="38" spans="1:31" x14ac:dyDescent="0.3">
      <c r="A38" t="s">
        <v>239</v>
      </c>
      <c r="B38" t="s">
        <v>194</v>
      </c>
      <c r="C38" t="s">
        <v>0</v>
      </c>
      <c r="D38" t="s">
        <v>195</v>
      </c>
      <c r="E38" t="s">
        <v>123</v>
      </c>
      <c r="F38">
        <v>78</v>
      </c>
      <c r="G38">
        <v>83</v>
      </c>
      <c r="H38">
        <v>90</v>
      </c>
      <c r="I38">
        <v>113</v>
      </c>
      <c r="J38">
        <v>130</v>
      </c>
      <c r="K38">
        <v>150</v>
      </c>
      <c r="L38">
        <v>169</v>
      </c>
      <c r="M38">
        <v>164</v>
      </c>
      <c r="N38">
        <v>166</v>
      </c>
      <c r="O38">
        <v>174</v>
      </c>
      <c r="P38">
        <v>236</v>
      </c>
      <c r="Q38">
        <v>253</v>
      </c>
      <c r="R38">
        <v>257</v>
      </c>
      <c r="S38">
        <v>290</v>
      </c>
      <c r="T38">
        <v>241</v>
      </c>
      <c r="U38">
        <v>225</v>
      </c>
      <c r="V38">
        <v>234</v>
      </c>
      <c r="W38">
        <v>201</v>
      </c>
      <c r="X38">
        <v>292</v>
      </c>
      <c r="Y38">
        <v>328</v>
      </c>
      <c r="Z38">
        <v>346</v>
      </c>
      <c r="AA38">
        <v>355</v>
      </c>
      <c r="AB38">
        <v>330</v>
      </c>
      <c r="AC38">
        <v>474</v>
      </c>
      <c r="AD38">
        <v>513</v>
      </c>
      <c r="AE38">
        <v>469</v>
      </c>
    </row>
    <row r="39" spans="1:31" x14ac:dyDescent="0.3">
      <c r="A39" t="s">
        <v>239</v>
      </c>
      <c r="B39" t="s">
        <v>196</v>
      </c>
      <c r="C39" t="s">
        <v>0</v>
      </c>
      <c r="D39" t="s">
        <v>197</v>
      </c>
      <c r="E39" t="s">
        <v>123</v>
      </c>
      <c r="F39">
        <v>201</v>
      </c>
      <c r="G39">
        <v>151</v>
      </c>
      <c r="H39">
        <v>149</v>
      </c>
      <c r="I39">
        <v>166</v>
      </c>
      <c r="J39">
        <v>188</v>
      </c>
      <c r="K39">
        <v>203</v>
      </c>
      <c r="L39">
        <v>235</v>
      </c>
      <c r="M39">
        <v>209</v>
      </c>
      <c r="N39">
        <v>262</v>
      </c>
      <c r="O39">
        <v>303</v>
      </c>
      <c r="P39">
        <v>304</v>
      </c>
      <c r="Q39">
        <v>342</v>
      </c>
      <c r="R39">
        <v>418</v>
      </c>
      <c r="S39">
        <v>414</v>
      </c>
      <c r="T39">
        <v>381</v>
      </c>
      <c r="U39">
        <v>380</v>
      </c>
      <c r="V39">
        <v>375</v>
      </c>
      <c r="W39">
        <v>267</v>
      </c>
      <c r="X39">
        <v>273</v>
      </c>
      <c r="Y39">
        <v>368</v>
      </c>
      <c r="Z39">
        <v>358</v>
      </c>
      <c r="AA39">
        <v>366</v>
      </c>
      <c r="AB39">
        <v>359</v>
      </c>
      <c r="AC39">
        <v>357</v>
      </c>
      <c r="AD39">
        <v>403</v>
      </c>
      <c r="AE39">
        <v>284</v>
      </c>
    </row>
    <row r="40" spans="1:31" x14ac:dyDescent="0.3">
      <c r="A40" t="s">
        <v>239</v>
      </c>
      <c r="B40" t="s">
        <v>198</v>
      </c>
      <c r="C40" t="s">
        <v>0</v>
      </c>
      <c r="D40" t="s">
        <v>199</v>
      </c>
      <c r="E40" t="s">
        <v>123</v>
      </c>
      <c r="F40">
        <v>3</v>
      </c>
      <c r="G40">
        <v>3</v>
      </c>
      <c r="H40">
        <v>3</v>
      </c>
      <c r="I40">
        <v>3</v>
      </c>
      <c r="J40">
        <v>2</v>
      </c>
      <c r="K40">
        <v>2</v>
      </c>
      <c r="L40">
        <v>3</v>
      </c>
      <c r="M40">
        <v>4</v>
      </c>
      <c r="N40">
        <v>2</v>
      </c>
      <c r="O40">
        <v>2</v>
      </c>
      <c r="P40">
        <v>3</v>
      </c>
      <c r="Q40">
        <v>6</v>
      </c>
      <c r="R40">
        <v>5</v>
      </c>
      <c r="S40">
        <v>11</v>
      </c>
      <c r="T40">
        <v>14</v>
      </c>
      <c r="U40">
        <v>27</v>
      </c>
      <c r="V40">
        <v>17</v>
      </c>
      <c r="W40">
        <v>19</v>
      </c>
      <c r="X40">
        <v>24</v>
      </c>
      <c r="Y40">
        <v>32</v>
      </c>
      <c r="Z40">
        <v>29</v>
      </c>
      <c r="AA40">
        <v>25</v>
      </c>
      <c r="AB40">
        <v>29</v>
      </c>
      <c r="AC40">
        <v>35</v>
      </c>
      <c r="AD40">
        <v>27</v>
      </c>
      <c r="AE40">
        <v>31</v>
      </c>
    </row>
    <row r="41" spans="1:31" x14ac:dyDescent="0.3">
      <c r="A41" t="s">
        <v>239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239</v>
      </c>
      <c r="B42" t="s">
        <v>202</v>
      </c>
      <c r="C42" t="s">
        <v>0</v>
      </c>
      <c r="D42" t="s">
        <v>203</v>
      </c>
      <c r="E42" t="s">
        <v>123</v>
      </c>
      <c r="F42">
        <v>41</v>
      </c>
      <c r="G42">
        <v>34</v>
      </c>
      <c r="H42">
        <v>39</v>
      </c>
      <c r="I42">
        <v>50</v>
      </c>
      <c r="J42">
        <v>61</v>
      </c>
      <c r="K42">
        <v>74</v>
      </c>
      <c r="L42">
        <v>77</v>
      </c>
      <c r="M42">
        <v>77</v>
      </c>
      <c r="N42">
        <v>91</v>
      </c>
      <c r="O42">
        <v>91</v>
      </c>
      <c r="P42">
        <v>111</v>
      </c>
      <c r="Q42">
        <v>100</v>
      </c>
      <c r="R42">
        <v>141</v>
      </c>
      <c r="S42">
        <v>156</v>
      </c>
      <c r="T42">
        <v>122</v>
      </c>
      <c r="U42">
        <v>138</v>
      </c>
      <c r="V42">
        <v>154</v>
      </c>
      <c r="W42">
        <v>138</v>
      </c>
      <c r="X42">
        <v>160</v>
      </c>
      <c r="Y42">
        <v>170</v>
      </c>
      <c r="Z42">
        <v>178</v>
      </c>
      <c r="AA42">
        <v>173</v>
      </c>
      <c r="AB42">
        <v>173</v>
      </c>
      <c r="AC42">
        <v>164</v>
      </c>
      <c r="AD42">
        <v>259</v>
      </c>
      <c r="AE42">
        <v>247</v>
      </c>
    </row>
    <row r="43" spans="1:31" x14ac:dyDescent="0.3">
      <c r="A43" t="s">
        <v>239</v>
      </c>
      <c r="B43" t="s">
        <v>204</v>
      </c>
      <c r="C43" t="s">
        <v>0</v>
      </c>
      <c r="D43" t="s">
        <v>205</v>
      </c>
      <c r="E43" t="s">
        <v>123</v>
      </c>
      <c r="F43">
        <v>62</v>
      </c>
      <c r="G43">
        <v>48</v>
      </c>
      <c r="H43">
        <v>58</v>
      </c>
      <c r="I43">
        <v>73</v>
      </c>
      <c r="J43">
        <v>86</v>
      </c>
      <c r="K43">
        <v>99</v>
      </c>
      <c r="L43">
        <v>108</v>
      </c>
      <c r="M43">
        <v>103</v>
      </c>
      <c r="N43">
        <v>125</v>
      </c>
      <c r="O43">
        <v>120</v>
      </c>
      <c r="P43">
        <v>149</v>
      </c>
      <c r="Q43">
        <v>139</v>
      </c>
      <c r="R43">
        <v>180</v>
      </c>
      <c r="S43">
        <v>201</v>
      </c>
      <c r="T43">
        <v>173</v>
      </c>
      <c r="U43">
        <v>191</v>
      </c>
      <c r="V43">
        <v>208</v>
      </c>
      <c r="W43">
        <v>208</v>
      </c>
      <c r="X43">
        <v>226</v>
      </c>
      <c r="Y43">
        <v>250</v>
      </c>
      <c r="Z43">
        <v>248</v>
      </c>
      <c r="AA43">
        <v>266</v>
      </c>
      <c r="AB43">
        <v>277</v>
      </c>
      <c r="AC43">
        <v>266</v>
      </c>
      <c r="AD43">
        <v>387</v>
      </c>
      <c r="AE43">
        <v>358</v>
      </c>
    </row>
    <row r="44" spans="1:31" x14ac:dyDescent="0.3">
      <c r="A44" t="s">
        <v>239</v>
      </c>
      <c r="B44" t="s">
        <v>206</v>
      </c>
      <c r="C44" t="s">
        <v>0</v>
      </c>
      <c r="D44" t="s">
        <v>207</v>
      </c>
      <c r="E44" t="s">
        <v>123</v>
      </c>
      <c r="F44">
        <v>770</v>
      </c>
      <c r="G44">
        <v>694</v>
      </c>
      <c r="H44">
        <v>789</v>
      </c>
      <c r="I44">
        <v>996</v>
      </c>
      <c r="J44">
        <v>1138</v>
      </c>
      <c r="K44">
        <v>1299</v>
      </c>
      <c r="L44">
        <v>1482</v>
      </c>
      <c r="M44">
        <v>1365</v>
      </c>
      <c r="N44">
        <v>1718</v>
      </c>
      <c r="O44">
        <v>1667</v>
      </c>
      <c r="P44">
        <v>1943</v>
      </c>
      <c r="Q44">
        <v>2048</v>
      </c>
      <c r="R44">
        <v>2201</v>
      </c>
      <c r="S44">
        <v>2282</v>
      </c>
      <c r="T44">
        <v>2311</v>
      </c>
      <c r="U44">
        <v>2304</v>
      </c>
      <c r="V44">
        <v>2316</v>
      </c>
      <c r="W44">
        <v>2320</v>
      </c>
      <c r="X44">
        <v>2390</v>
      </c>
      <c r="Y44">
        <v>2662</v>
      </c>
      <c r="Z44">
        <v>2604</v>
      </c>
      <c r="AA44">
        <v>2635</v>
      </c>
      <c r="AB44">
        <v>2812</v>
      </c>
      <c r="AC44">
        <v>3081</v>
      </c>
      <c r="AD44">
        <v>3341</v>
      </c>
      <c r="AE44">
        <v>3214</v>
      </c>
    </row>
    <row r="45" spans="1:31" x14ac:dyDescent="0.3">
      <c r="A45" t="s">
        <v>239</v>
      </c>
      <c r="B45" t="s">
        <v>208</v>
      </c>
      <c r="C45" t="s">
        <v>0</v>
      </c>
      <c r="D45" t="s">
        <v>209</v>
      </c>
      <c r="E45" t="s">
        <v>123</v>
      </c>
      <c r="F45">
        <v>768</v>
      </c>
      <c r="G45">
        <v>693</v>
      </c>
      <c r="H45">
        <v>787</v>
      </c>
      <c r="I45">
        <v>994</v>
      </c>
      <c r="J45">
        <v>1136</v>
      </c>
      <c r="K45">
        <v>1296</v>
      </c>
      <c r="L45">
        <v>1479</v>
      </c>
      <c r="M45">
        <v>1362</v>
      </c>
      <c r="N45">
        <v>1715</v>
      </c>
      <c r="O45">
        <v>1664</v>
      </c>
      <c r="P45">
        <v>1939</v>
      </c>
      <c r="Q45">
        <v>2042</v>
      </c>
      <c r="R45">
        <v>2196</v>
      </c>
      <c r="S45">
        <v>2277</v>
      </c>
      <c r="T45">
        <v>2306</v>
      </c>
      <c r="U45">
        <v>2298</v>
      </c>
      <c r="V45">
        <v>2311</v>
      </c>
      <c r="W45">
        <v>2315</v>
      </c>
      <c r="X45">
        <v>2384</v>
      </c>
      <c r="Y45">
        <v>2657</v>
      </c>
      <c r="Z45">
        <v>2599</v>
      </c>
      <c r="AA45">
        <v>2630</v>
      </c>
      <c r="AB45">
        <v>2807</v>
      </c>
      <c r="AC45">
        <v>3076</v>
      </c>
      <c r="AD45">
        <v>3336</v>
      </c>
      <c r="AE45">
        <v>3209</v>
      </c>
    </row>
    <row r="46" spans="1:31" x14ac:dyDescent="0.3">
      <c r="A46" t="s">
        <v>239</v>
      </c>
      <c r="B46" t="s">
        <v>210</v>
      </c>
      <c r="C46" t="s">
        <v>0</v>
      </c>
      <c r="D46" t="s">
        <v>211</v>
      </c>
      <c r="E46" t="s">
        <v>123</v>
      </c>
      <c r="F46">
        <v>21</v>
      </c>
      <c r="G46">
        <v>14</v>
      </c>
      <c r="H46">
        <v>19</v>
      </c>
      <c r="I46">
        <v>23</v>
      </c>
      <c r="J46">
        <v>25</v>
      </c>
      <c r="K46">
        <v>25</v>
      </c>
      <c r="L46">
        <v>31</v>
      </c>
      <c r="M46">
        <v>26</v>
      </c>
      <c r="N46">
        <v>34</v>
      </c>
      <c r="O46">
        <v>29</v>
      </c>
      <c r="P46">
        <v>38</v>
      </c>
      <c r="Q46">
        <v>39</v>
      </c>
      <c r="R46">
        <v>39</v>
      </c>
      <c r="S46">
        <v>45</v>
      </c>
      <c r="T46">
        <v>51</v>
      </c>
      <c r="U46">
        <v>53</v>
      </c>
      <c r="V46">
        <v>54</v>
      </c>
      <c r="W46">
        <v>70</v>
      </c>
      <c r="X46">
        <v>66</v>
      </c>
      <c r="Y46">
        <v>80</v>
      </c>
      <c r="Z46">
        <v>70</v>
      </c>
      <c r="AA46">
        <v>93</v>
      </c>
      <c r="AB46">
        <v>104</v>
      </c>
      <c r="AC46">
        <v>102</v>
      </c>
      <c r="AD46">
        <v>128</v>
      </c>
      <c r="AE46">
        <v>111</v>
      </c>
    </row>
    <row r="47" spans="1:31" x14ac:dyDescent="0.3">
      <c r="A47" t="s">
        <v>239</v>
      </c>
      <c r="B47" t="s">
        <v>212</v>
      </c>
      <c r="C47" t="s">
        <v>0</v>
      </c>
      <c r="D47" t="s">
        <v>213</v>
      </c>
      <c r="E47" t="s">
        <v>123</v>
      </c>
      <c r="F47">
        <v>54</v>
      </c>
      <c r="G47">
        <v>52</v>
      </c>
      <c r="H47">
        <v>56</v>
      </c>
      <c r="I47">
        <v>63</v>
      </c>
      <c r="J47">
        <v>70</v>
      </c>
      <c r="K47">
        <v>84</v>
      </c>
      <c r="L47">
        <v>111</v>
      </c>
      <c r="M47">
        <v>111</v>
      </c>
      <c r="N47">
        <v>136</v>
      </c>
      <c r="O47">
        <v>147</v>
      </c>
      <c r="P47">
        <v>146</v>
      </c>
      <c r="Q47">
        <v>139</v>
      </c>
      <c r="R47">
        <v>136</v>
      </c>
      <c r="S47">
        <v>154</v>
      </c>
      <c r="T47">
        <v>149</v>
      </c>
      <c r="U47">
        <v>175</v>
      </c>
      <c r="V47">
        <v>181</v>
      </c>
      <c r="W47">
        <v>166</v>
      </c>
      <c r="X47">
        <v>162</v>
      </c>
      <c r="Y47">
        <v>166</v>
      </c>
      <c r="Z47">
        <v>198</v>
      </c>
      <c r="AA47">
        <v>211</v>
      </c>
      <c r="AB47">
        <v>198</v>
      </c>
      <c r="AC47">
        <v>230</v>
      </c>
      <c r="AD47">
        <v>227</v>
      </c>
      <c r="AE47">
        <v>193</v>
      </c>
    </row>
    <row r="48" spans="1:31" x14ac:dyDescent="0.3">
      <c r="A48" t="s">
        <v>239</v>
      </c>
      <c r="B48" t="s">
        <v>214</v>
      </c>
      <c r="C48" t="s">
        <v>0</v>
      </c>
      <c r="D48" t="s">
        <v>215</v>
      </c>
      <c r="E48" t="s">
        <v>123</v>
      </c>
      <c r="F48">
        <v>83</v>
      </c>
      <c r="G48">
        <v>81</v>
      </c>
      <c r="H48">
        <v>87</v>
      </c>
      <c r="I48">
        <v>104</v>
      </c>
      <c r="J48">
        <v>116</v>
      </c>
      <c r="K48">
        <v>133</v>
      </c>
      <c r="L48">
        <v>161</v>
      </c>
      <c r="M48">
        <v>173</v>
      </c>
      <c r="N48">
        <v>193</v>
      </c>
      <c r="O48">
        <v>202</v>
      </c>
      <c r="P48">
        <v>207</v>
      </c>
      <c r="Q48">
        <v>214</v>
      </c>
      <c r="R48">
        <v>207</v>
      </c>
      <c r="S48">
        <v>225</v>
      </c>
      <c r="T48">
        <v>212</v>
      </c>
      <c r="U48">
        <v>259</v>
      </c>
      <c r="V48">
        <v>259</v>
      </c>
      <c r="W48">
        <v>268</v>
      </c>
      <c r="X48">
        <v>276</v>
      </c>
      <c r="Y48">
        <v>299</v>
      </c>
      <c r="Z48">
        <v>303</v>
      </c>
      <c r="AA48">
        <v>355</v>
      </c>
      <c r="AB48">
        <v>366</v>
      </c>
      <c r="AC48">
        <v>409</v>
      </c>
      <c r="AD48">
        <v>426</v>
      </c>
      <c r="AE48">
        <v>415</v>
      </c>
    </row>
    <row r="49" spans="1:31" x14ac:dyDescent="0.3">
      <c r="A49" t="s">
        <v>239</v>
      </c>
      <c r="B49" t="s">
        <v>216</v>
      </c>
      <c r="C49" t="s">
        <v>0</v>
      </c>
      <c r="D49" t="s">
        <v>217</v>
      </c>
      <c r="E49" t="s">
        <v>123</v>
      </c>
      <c r="F49">
        <v>14</v>
      </c>
      <c r="G49">
        <v>14</v>
      </c>
      <c r="H49">
        <v>15</v>
      </c>
      <c r="I49">
        <v>20</v>
      </c>
      <c r="J49">
        <v>23</v>
      </c>
      <c r="K49">
        <v>24</v>
      </c>
      <c r="L49">
        <v>21</v>
      </c>
      <c r="M49">
        <v>32</v>
      </c>
      <c r="N49">
        <v>26</v>
      </c>
      <c r="O49">
        <v>23</v>
      </c>
      <c r="P49">
        <v>23</v>
      </c>
      <c r="Q49">
        <v>22</v>
      </c>
      <c r="R49">
        <v>19</v>
      </c>
      <c r="S49">
        <v>26</v>
      </c>
      <c r="T49">
        <v>19</v>
      </c>
      <c r="U49">
        <v>28</v>
      </c>
      <c r="V49">
        <v>28</v>
      </c>
      <c r="W49">
        <v>30</v>
      </c>
      <c r="X49">
        <v>31</v>
      </c>
      <c r="Y49">
        <v>44</v>
      </c>
      <c r="Z49">
        <v>42</v>
      </c>
      <c r="AA49">
        <v>57</v>
      </c>
      <c r="AB49">
        <v>64</v>
      </c>
      <c r="AC49">
        <v>62</v>
      </c>
      <c r="AD49">
        <v>67</v>
      </c>
      <c r="AE49">
        <v>77</v>
      </c>
    </row>
    <row r="50" spans="1:31" x14ac:dyDescent="0.3">
      <c r="A50" t="s">
        <v>239</v>
      </c>
      <c r="B50" t="s">
        <v>218</v>
      </c>
      <c r="C50" t="s">
        <v>0</v>
      </c>
      <c r="D50" t="s">
        <v>219</v>
      </c>
      <c r="E50" t="s">
        <v>123</v>
      </c>
      <c r="F50">
        <v>15</v>
      </c>
      <c r="G50">
        <v>15</v>
      </c>
      <c r="H50">
        <v>16</v>
      </c>
      <c r="I50">
        <v>21</v>
      </c>
      <c r="J50">
        <v>23</v>
      </c>
      <c r="K50">
        <v>25</v>
      </c>
      <c r="L50">
        <v>29</v>
      </c>
      <c r="M50">
        <v>30</v>
      </c>
      <c r="N50">
        <v>31</v>
      </c>
      <c r="O50">
        <v>32</v>
      </c>
      <c r="P50">
        <v>38</v>
      </c>
      <c r="Q50">
        <v>53</v>
      </c>
      <c r="R50">
        <v>52</v>
      </c>
      <c r="S50">
        <v>45</v>
      </c>
      <c r="T50">
        <v>44</v>
      </c>
      <c r="U50">
        <v>56</v>
      </c>
      <c r="V50">
        <v>50</v>
      </c>
      <c r="W50">
        <v>72</v>
      </c>
      <c r="X50">
        <v>83</v>
      </c>
      <c r="Y50">
        <v>89</v>
      </c>
      <c r="Z50">
        <v>63</v>
      </c>
      <c r="AA50">
        <v>87</v>
      </c>
      <c r="AB50">
        <v>104</v>
      </c>
      <c r="AC50">
        <v>117</v>
      </c>
      <c r="AD50">
        <v>132</v>
      </c>
      <c r="AE50">
        <v>145</v>
      </c>
    </row>
    <row r="51" spans="1:31" x14ac:dyDescent="0.3">
      <c r="A51" t="s">
        <v>239</v>
      </c>
      <c r="B51" t="s">
        <v>220</v>
      </c>
      <c r="C51" t="s">
        <v>0</v>
      </c>
      <c r="D51" t="s">
        <v>221</v>
      </c>
      <c r="E51" t="s">
        <v>123</v>
      </c>
      <c r="F51">
        <v>14</v>
      </c>
      <c r="G51">
        <v>14</v>
      </c>
      <c r="H51">
        <v>15</v>
      </c>
      <c r="I51">
        <v>19</v>
      </c>
      <c r="J51">
        <v>21</v>
      </c>
      <c r="K51">
        <v>23</v>
      </c>
      <c r="L51">
        <v>27</v>
      </c>
      <c r="M51">
        <v>28</v>
      </c>
      <c r="N51">
        <v>29</v>
      </c>
      <c r="O51">
        <v>29</v>
      </c>
      <c r="P51">
        <v>36</v>
      </c>
      <c r="Q51">
        <v>52</v>
      </c>
      <c r="R51">
        <v>51</v>
      </c>
      <c r="S51">
        <v>44</v>
      </c>
      <c r="T51">
        <v>42</v>
      </c>
      <c r="U51">
        <v>51</v>
      </c>
      <c r="V51">
        <v>46</v>
      </c>
      <c r="W51">
        <v>67</v>
      </c>
      <c r="X51">
        <v>77</v>
      </c>
      <c r="Y51">
        <v>84</v>
      </c>
      <c r="Z51">
        <v>54</v>
      </c>
      <c r="AA51">
        <v>79</v>
      </c>
      <c r="AB51">
        <v>91</v>
      </c>
      <c r="AC51">
        <v>106</v>
      </c>
      <c r="AD51">
        <v>116</v>
      </c>
      <c r="AE51">
        <v>125</v>
      </c>
    </row>
    <row r="52" spans="1:31" x14ac:dyDescent="0.3">
      <c r="A52" t="s">
        <v>239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1</v>
      </c>
      <c r="H52">
        <v>1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3</v>
      </c>
      <c r="P52">
        <v>2</v>
      </c>
      <c r="Q52">
        <v>1</v>
      </c>
      <c r="R52">
        <v>1</v>
      </c>
      <c r="S52">
        <v>1</v>
      </c>
      <c r="T52">
        <v>2</v>
      </c>
      <c r="U52">
        <v>5</v>
      </c>
      <c r="V52">
        <v>4</v>
      </c>
      <c r="W52">
        <v>5</v>
      </c>
      <c r="X52">
        <v>6</v>
      </c>
      <c r="Y52">
        <v>5</v>
      </c>
      <c r="Z52">
        <v>9</v>
      </c>
      <c r="AA52">
        <v>8</v>
      </c>
      <c r="AB52">
        <v>13</v>
      </c>
      <c r="AC52">
        <v>11</v>
      </c>
      <c r="AD52">
        <v>16</v>
      </c>
      <c r="AE52">
        <v>20</v>
      </c>
    </row>
    <row r="53" spans="1:31" x14ac:dyDescent="0.3">
      <c r="A53" t="s">
        <v>239</v>
      </c>
      <c r="B53" t="s">
        <v>224</v>
      </c>
      <c r="C53" t="s">
        <v>0</v>
      </c>
      <c r="D53" t="s">
        <v>225</v>
      </c>
      <c r="E53" t="s">
        <v>123</v>
      </c>
      <c r="F53">
        <v>9</v>
      </c>
      <c r="G53">
        <v>8</v>
      </c>
      <c r="H53">
        <v>10</v>
      </c>
      <c r="I53">
        <v>12</v>
      </c>
      <c r="J53">
        <v>13</v>
      </c>
      <c r="K53">
        <v>15</v>
      </c>
      <c r="L53">
        <v>14</v>
      </c>
      <c r="M53">
        <v>16</v>
      </c>
      <c r="N53">
        <v>14</v>
      </c>
      <c r="O53">
        <v>17</v>
      </c>
      <c r="P53">
        <v>24</v>
      </c>
      <c r="Q53">
        <v>38</v>
      </c>
      <c r="R53">
        <v>28</v>
      </c>
      <c r="S53">
        <v>50</v>
      </c>
      <c r="T53">
        <v>27</v>
      </c>
      <c r="U53">
        <v>49</v>
      </c>
      <c r="V53">
        <v>27</v>
      </c>
      <c r="W53">
        <v>22</v>
      </c>
      <c r="X53">
        <v>28</v>
      </c>
      <c r="Y53">
        <v>27</v>
      </c>
      <c r="Z53">
        <v>13</v>
      </c>
      <c r="AA53">
        <v>18</v>
      </c>
      <c r="AB53">
        <v>37</v>
      </c>
      <c r="AC53">
        <v>23</v>
      </c>
      <c r="AD53">
        <v>33</v>
      </c>
      <c r="AE53">
        <v>25</v>
      </c>
    </row>
    <row r="54" spans="1:31" x14ac:dyDescent="0.3">
      <c r="A54" t="s">
        <v>239</v>
      </c>
      <c r="B54" t="s">
        <v>226</v>
      </c>
      <c r="C54" t="s">
        <v>0</v>
      </c>
      <c r="D54" t="s">
        <v>227</v>
      </c>
      <c r="E54" t="s">
        <v>123</v>
      </c>
      <c r="F54">
        <v>16</v>
      </c>
      <c r="G54">
        <v>15</v>
      </c>
      <c r="H54">
        <v>18</v>
      </c>
      <c r="I54">
        <v>22</v>
      </c>
      <c r="J54">
        <v>24</v>
      </c>
      <c r="K54">
        <v>29</v>
      </c>
      <c r="L54">
        <v>29</v>
      </c>
      <c r="M54">
        <v>35</v>
      </c>
      <c r="N54">
        <v>25</v>
      </c>
      <c r="O54">
        <v>26</v>
      </c>
      <c r="P54">
        <v>37</v>
      </c>
      <c r="Q54">
        <v>43</v>
      </c>
      <c r="R54">
        <v>42</v>
      </c>
      <c r="S54">
        <v>65</v>
      </c>
      <c r="T54">
        <v>49</v>
      </c>
      <c r="U54">
        <v>67</v>
      </c>
      <c r="V54">
        <v>43</v>
      </c>
      <c r="W54">
        <v>42</v>
      </c>
      <c r="X54">
        <v>49</v>
      </c>
      <c r="Y54">
        <v>48</v>
      </c>
      <c r="Z54">
        <v>36</v>
      </c>
      <c r="AA54">
        <v>40</v>
      </c>
      <c r="AB54">
        <v>58</v>
      </c>
      <c r="AC54">
        <v>54</v>
      </c>
      <c r="AD54">
        <v>67</v>
      </c>
      <c r="AE54">
        <v>45</v>
      </c>
    </row>
    <row r="55" spans="1:31" x14ac:dyDescent="0.3">
      <c r="A55" t="s">
        <v>239</v>
      </c>
      <c r="B55" t="s">
        <v>228</v>
      </c>
      <c r="C55" t="s">
        <v>0</v>
      </c>
      <c r="D55" t="s">
        <v>229</v>
      </c>
      <c r="E55" t="s">
        <v>123</v>
      </c>
      <c r="F55">
        <v>7</v>
      </c>
      <c r="G55">
        <v>7</v>
      </c>
      <c r="H55">
        <v>8</v>
      </c>
      <c r="I55">
        <v>10</v>
      </c>
      <c r="J55">
        <v>11</v>
      </c>
      <c r="K55">
        <v>14</v>
      </c>
      <c r="L55">
        <v>15</v>
      </c>
      <c r="M55">
        <v>19</v>
      </c>
      <c r="N55">
        <v>11</v>
      </c>
      <c r="O55">
        <v>9</v>
      </c>
      <c r="P55">
        <v>13</v>
      </c>
      <c r="Q55">
        <v>5</v>
      </c>
      <c r="R55">
        <v>14</v>
      </c>
      <c r="S55">
        <v>15</v>
      </c>
      <c r="T55">
        <v>22</v>
      </c>
      <c r="U55">
        <v>18</v>
      </c>
      <c r="V55">
        <v>16</v>
      </c>
      <c r="W55">
        <v>20</v>
      </c>
      <c r="X55">
        <v>21</v>
      </c>
      <c r="Y55">
        <v>21</v>
      </c>
      <c r="Z55">
        <v>23</v>
      </c>
      <c r="AA55">
        <v>22</v>
      </c>
      <c r="AB55">
        <v>21</v>
      </c>
      <c r="AC55">
        <v>31</v>
      </c>
      <c r="AD55">
        <v>34</v>
      </c>
      <c r="AE55">
        <v>20</v>
      </c>
    </row>
    <row r="56" spans="1:31" x14ac:dyDescent="0.3">
      <c r="A56" t="s">
        <v>239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239</v>
      </c>
      <c r="B57" t="s">
        <v>232</v>
      </c>
      <c r="C57" t="s">
        <v>0</v>
      </c>
      <c r="D57" t="s">
        <v>233</v>
      </c>
      <c r="E57" t="s">
        <v>123</v>
      </c>
      <c r="F57">
        <v>856</v>
      </c>
      <c r="G57">
        <v>778</v>
      </c>
      <c r="H57">
        <v>879</v>
      </c>
      <c r="I57">
        <v>1103</v>
      </c>
      <c r="J57">
        <v>1256</v>
      </c>
      <c r="K57">
        <v>1434</v>
      </c>
      <c r="L57">
        <v>1646</v>
      </c>
      <c r="M57">
        <v>1542</v>
      </c>
      <c r="N57">
        <v>1913</v>
      </c>
      <c r="O57">
        <v>1871</v>
      </c>
      <c r="P57">
        <v>2153</v>
      </c>
      <c r="Q57">
        <v>2268</v>
      </c>
      <c r="R57">
        <v>2413</v>
      </c>
      <c r="S57">
        <v>2518</v>
      </c>
      <c r="T57">
        <v>2537</v>
      </c>
      <c r="U57">
        <v>2590</v>
      </c>
      <c r="V57">
        <v>2592</v>
      </c>
      <c r="W57">
        <v>2607</v>
      </c>
      <c r="X57">
        <v>2690</v>
      </c>
      <c r="Y57">
        <v>2993</v>
      </c>
      <c r="Z57">
        <v>2936</v>
      </c>
      <c r="AA57">
        <v>3015</v>
      </c>
      <c r="AB57">
        <v>3207</v>
      </c>
      <c r="AC57">
        <v>3525</v>
      </c>
      <c r="AD57">
        <v>3794</v>
      </c>
      <c r="AE57">
        <v>3660</v>
      </c>
    </row>
    <row r="58" spans="1:31" x14ac:dyDescent="0.3">
      <c r="A58" t="s">
        <v>239</v>
      </c>
      <c r="B58" t="s">
        <v>234</v>
      </c>
      <c r="C58" t="s">
        <v>0</v>
      </c>
      <c r="D58" t="s">
        <v>235</v>
      </c>
      <c r="E58" t="s">
        <v>123</v>
      </c>
      <c r="F58">
        <v>856</v>
      </c>
      <c r="G58">
        <v>778</v>
      </c>
      <c r="H58">
        <v>879</v>
      </c>
      <c r="I58">
        <v>1103</v>
      </c>
      <c r="J58">
        <v>1256</v>
      </c>
      <c r="K58">
        <v>1434</v>
      </c>
      <c r="L58">
        <v>1646</v>
      </c>
      <c r="M58">
        <v>1542</v>
      </c>
      <c r="N58">
        <v>1913</v>
      </c>
      <c r="O58">
        <v>1871</v>
      </c>
      <c r="P58">
        <v>2153</v>
      </c>
      <c r="Q58">
        <v>2268</v>
      </c>
      <c r="R58">
        <v>2413</v>
      </c>
      <c r="S58">
        <v>2518</v>
      </c>
      <c r="T58">
        <v>2537</v>
      </c>
      <c r="U58">
        <v>2590</v>
      </c>
      <c r="V58">
        <v>2592</v>
      </c>
      <c r="W58">
        <v>2607</v>
      </c>
      <c r="X58">
        <v>2690</v>
      </c>
      <c r="Y58">
        <v>2993</v>
      </c>
      <c r="Z58">
        <v>2936</v>
      </c>
      <c r="AA58">
        <v>3015</v>
      </c>
      <c r="AB58">
        <v>3207</v>
      </c>
      <c r="AC58">
        <v>3525</v>
      </c>
      <c r="AD58">
        <v>3794</v>
      </c>
      <c r="AE58">
        <v>3660</v>
      </c>
    </row>
    <row r="59" spans="1:31" x14ac:dyDescent="0.3">
      <c r="A59" t="s">
        <v>239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240</v>
      </c>
      <c r="B2" t="s">
        <v>121</v>
      </c>
      <c r="C2" t="s">
        <v>0</v>
      </c>
      <c r="D2" t="s">
        <v>122</v>
      </c>
      <c r="E2" t="s">
        <v>123</v>
      </c>
      <c r="F2">
        <v>183</v>
      </c>
      <c r="G2">
        <v>171</v>
      </c>
      <c r="H2">
        <v>200</v>
      </c>
      <c r="I2">
        <v>188</v>
      </c>
      <c r="J2">
        <v>219</v>
      </c>
      <c r="K2">
        <v>240</v>
      </c>
      <c r="L2">
        <v>248</v>
      </c>
      <c r="M2">
        <v>277</v>
      </c>
      <c r="N2">
        <v>275</v>
      </c>
      <c r="O2">
        <v>263</v>
      </c>
      <c r="P2">
        <v>248</v>
      </c>
      <c r="Q2">
        <v>228</v>
      </c>
      <c r="R2">
        <v>251</v>
      </c>
      <c r="S2">
        <v>294</v>
      </c>
      <c r="T2">
        <v>284</v>
      </c>
      <c r="U2">
        <v>259</v>
      </c>
      <c r="V2">
        <v>284</v>
      </c>
      <c r="W2">
        <v>293</v>
      </c>
      <c r="X2">
        <v>301</v>
      </c>
      <c r="Y2">
        <v>289</v>
      </c>
      <c r="Z2">
        <v>272</v>
      </c>
      <c r="AA2">
        <v>217</v>
      </c>
      <c r="AB2">
        <v>222</v>
      </c>
      <c r="AC2">
        <v>225</v>
      </c>
      <c r="AD2">
        <v>234</v>
      </c>
      <c r="AE2">
        <v>244</v>
      </c>
    </row>
    <row r="3" spans="1:31" x14ac:dyDescent="0.3">
      <c r="A3" t="s">
        <v>240</v>
      </c>
      <c r="B3" t="s">
        <v>124</v>
      </c>
      <c r="C3" t="s">
        <v>0</v>
      </c>
      <c r="D3" t="s">
        <v>125</v>
      </c>
      <c r="E3" t="s">
        <v>123</v>
      </c>
      <c r="F3">
        <v>4</v>
      </c>
      <c r="G3">
        <v>4</v>
      </c>
      <c r="H3">
        <v>3</v>
      </c>
      <c r="I3">
        <v>5</v>
      </c>
      <c r="J3">
        <v>6</v>
      </c>
      <c r="K3">
        <v>4</v>
      </c>
      <c r="L3">
        <v>3</v>
      </c>
      <c r="M3">
        <v>5</v>
      </c>
      <c r="N3">
        <v>6</v>
      </c>
      <c r="O3">
        <v>6</v>
      </c>
      <c r="P3">
        <v>8</v>
      </c>
      <c r="Q3">
        <v>6</v>
      </c>
      <c r="R3">
        <v>8</v>
      </c>
      <c r="S3">
        <v>11</v>
      </c>
      <c r="T3">
        <v>6</v>
      </c>
      <c r="U3">
        <v>6</v>
      </c>
      <c r="V3">
        <v>11</v>
      </c>
      <c r="W3">
        <v>35</v>
      </c>
      <c r="X3">
        <v>29</v>
      </c>
      <c r="Y3">
        <v>22</v>
      </c>
      <c r="Z3">
        <v>17</v>
      </c>
      <c r="AA3">
        <v>11</v>
      </c>
      <c r="AB3">
        <v>13</v>
      </c>
      <c r="AC3">
        <v>11</v>
      </c>
      <c r="AD3">
        <v>5</v>
      </c>
      <c r="AE3">
        <v>9</v>
      </c>
    </row>
    <row r="4" spans="1:31" x14ac:dyDescent="0.3">
      <c r="A4" t="s">
        <v>240</v>
      </c>
      <c r="B4" t="s">
        <v>126</v>
      </c>
      <c r="C4" t="s">
        <v>0</v>
      </c>
      <c r="D4" t="s">
        <v>127</v>
      </c>
      <c r="E4" t="s">
        <v>123</v>
      </c>
      <c r="F4">
        <v>61</v>
      </c>
      <c r="G4">
        <v>72</v>
      </c>
      <c r="H4">
        <v>84</v>
      </c>
      <c r="I4">
        <v>102</v>
      </c>
      <c r="J4">
        <v>99</v>
      </c>
      <c r="K4">
        <v>108</v>
      </c>
      <c r="L4">
        <v>106</v>
      </c>
      <c r="M4">
        <v>93</v>
      </c>
      <c r="N4">
        <v>102</v>
      </c>
      <c r="O4">
        <v>111</v>
      </c>
      <c r="P4">
        <v>114</v>
      </c>
      <c r="Q4">
        <v>179</v>
      </c>
      <c r="R4">
        <v>162</v>
      </c>
      <c r="S4">
        <v>223</v>
      </c>
      <c r="T4">
        <v>137</v>
      </c>
      <c r="U4">
        <v>96</v>
      </c>
      <c r="V4">
        <v>101</v>
      </c>
      <c r="W4">
        <v>109</v>
      </c>
      <c r="X4">
        <v>75</v>
      </c>
      <c r="Y4">
        <v>90</v>
      </c>
      <c r="Z4">
        <v>121</v>
      </c>
      <c r="AA4">
        <v>108</v>
      </c>
      <c r="AB4">
        <v>130</v>
      </c>
      <c r="AC4">
        <v>114</v>
      </c>
      <c r="AD4">
        <v>115</v>
      </c>
      <c r="AE4">
        <v>101</v>
      </c>
    </row>
    <row r="5" spans="1:31" x14ac:dyDescent="0.3">
      <c r="A5" t="s">
        <v>240</v>
      </c>
      <c r="B5" t="s">
        <v>128</v>
      </c>
      <c r="C5" t="s">
        <v>0</v>
      </c>
      <c r="D5" t="s">
        <v>129</v>
      </c>
      <c r="E5" t="s">
        <v>123</v>
      </c>
      <c r="F5">
        <v>10</v>
      </c>
      <c r="G5">
        <v>9</v>
      </c>
      <c r="H5">
        <v>11</v>
      </c>
      <c r="I5">
        <v>11</v>
      </c>
      <c r="J5">
        <v>11</v>
      </c>
      <c r="K5">
        <v>11</v>
      </c>
      <c r="L5">
        <v>10</v>
      </c>
      <c r="M5">
        <v>10</v>
      </c>
      <c r="N5">
        <v>10</v>
      </c>
      <c r="O5">
        <v>11</v>
      </c>
      <c r="P5">
        <v>10</v>
      </c>
      <c r="Q5">
        <v>15</v>
      </c>
      <c r="R5">
        <v>11</v>
      </c>
      <c r="S5">
        <v>15</v>
      </c>
      <c r="T5">
        <v>13</v>
      </c>
      <c r="U5">
        <v>10</v>
      </c>
      <c r="V5">
        <v>10</v>
      </c>
      <c r="W5">
        <v>11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240</v>
      </c>
      <c r="B6" t="s">
        <v>130</v>
      </c>
      <c r="C6" t="s">
        <v>0</v>
      </c>
      <c r="D6" t="s">
        <v>131</v>
      </c>
      <c r="E6" t="s">
        <v>123</v>
      </c>
      <c r="F6">
        <v>3</v>
      </c>
      <c r="G6">
        <v>3</v>
      </c>
      <c r="H6">
        <v>4</v>
      </c>
      <c r="I6">
        <v>4</v>
      </c>
      <c r="J6">
        <v>3</v>
      </c>
      <c r="K6">
        <v>4</v>
      </c>
      <c r="L6">
        <v>4</v>
      </c>
      <c r="M6">
        <v>3</v>
      </c>
      <c r="N6">
        <v>2</v>
      </c>
      <c r="O6">
        <v>2</v>
      </c>
      <c r="P6">
        <v>3</v>
      </c>
      <c r="Q6">
        <v>3</v>
      </c>
      <c r="R6">
        <v>3</v>
      </c>
      <c r="S6">
        <v>3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240</v>
      </c>
      <c r="B7" t="s">
        <v>132</v>
      </c>
      <c r="C7" t="s">
        <v>0</v>
      </c>
      <c r="D7" t="s">
        <v>133</v>
      </c>
      <c r="E7" t="s">
        <v>123</v>
      </c>
      <c r="F7">
        <v>17</v>
      </c>
      <c r="G7">
        <v>18</v>
      </c>
      <c r="H7">
        <v>22</v>
      </c>
      <c r="I7">
        <v>26</v>
      </c>
      <c r="J7">
        <v>26</v>
      </c>
      <c r="K7">
        <v>27</v>
      </c>
      <c r="L7">
        <v>26</v>
      </c>
      <c r="M7">
        <v>23</v>
      </c>
      <c r="N7">
        <v>26</v>
      </c>
      <c r="O7">
        <v>26</v>
      </c>
      <c r="P7">
        <v>26</v>
      </c>
      <c r="Q7">
        <v>41</v>
      </c>
      <c r="R7">
        <v>34</v>
      </c>
      <c r="S7">
        <v>37</v>
      </c>
      <c r="T7">
        <v>16</v>
      </c>
      <c r="U7">
        <v>15</v>
      </c>
      <c r="V7">
        <v>19</v>
      </c>
      <c r="W7">
        <v>16</v>
      </c>
      <c r="X7">
        <v>13</v>
      </c>
      <c r="Y7">
        <v>12</v>
      </c>
      <c r="Z7">
        <v>17</v>
      </c>
      <c r="AA7">
        <v>22</v>
      </c>
      <c r="AB7">
        <v>39</v>
      </c>
      <c r="AC7">
        <v>16</v>
      </c>
      <c r="AD7">
        <v>17</v>
      </c>
      <c r="AE7">
        <v>14</v>
      </c>
    </row>
    <row r="8" spans="1:31" x14ac:dyDescent="0.3">
      <c r="A8" t="s">
        <v>240</v>
      </c>
      <c r="B8" t="s">
        <v>134</v>
      </c>
      <c r="C8" t="s">
        <v>0</v>
      </c>
      <c r="D8" t="s">
        <v>135</v>
      </c>
      <c r="E8" t="s">
        <v>123</v>
      </c>
      <c r="F8">
        <v>1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2</v>
      </c>
      <c r="R8">
        <v>2</v>
      </c>
      <c r="S8">
        <v>2</v>
      </c>
      <c r="T8">
        <v>2</v>
      </c>
      <c r="U8">
        <v>5</v>
      </c>
      <c r="V8">
        <v>1</v>
      </c>
      <c r="W8">
        <v>2</v>
      </c>
      <c r="X8">
        <v>2</v>
      </c>
      <c r="Y8">
        <v>2</v>
      </c>
      <c r="Z8">
        <v>8</v>
      </c>
      <c r="AA8">
        <v>-2</v>
      </c>
      <c r="AB8">
        <v>-15</v>
      </c>
      <c r="AC8">
        <v>2</v>
      </c>
      <c r="AD8">
        <v>1</v>
      </c>
      <c r="AE8">
        <v>1</v>
      </c>
    </row>
    <row r="9" spans="1:31" x14ac:dyDescent="0.3">
      <c r="A9" t="s">
        <v>240</v>
      </c>
      <c r="B9" t="s">
        <v>136</v>
      </c>
      <c r="C9" t="s">
        <v>0</v>
      </c>
      <c r="D9" t="s">
        <v>137</v>
      </c>
      <c r="E9" t="s">
        <v>123</v>
      </c>
      <c r="F9">
        <v>5</v>
      </c>
      <c r="G9">
        <v>5</v>
      </c>
      <c r="H9">
        <v>6</v>
      </c>
      <c r="I9">
        <v>6</v>
      </c>
      <c r="J9">
        <v>5</v>
      </c>
      <c r="K9">
        <v>5</v>
      </c>
      <c r="L9">
        <v>6</v>
      </c>
      <c r="M9">
        <v>5</v>
      </c>
      <c r="N9">
        <v>4</v>
      </c>
      <c r="O9">
        <v>6</v>
      </c>
      <c r="P9">
        <v>5</v>
      </c>
      <c r="Q9">
        <v>5</v>
      </c>
      <c r="R9">
        <v>7</v>
      </c>
      <c r="S9">
        <v>6</v>
      </c>
      <c r="T9">
        <v>3</v>
      </c>
      <c r="U9">
        <v>2</v>
      </c>
      <c r="V9">
        <v>3</v>
      </c>
      <c r="W9">
        <v>4</v>
      </c>
      <c r="X9">
        <v>6</v>
      </c>
      <c r="Y9">
        <v>4</v>
      </c>
      <c r="Z9">
        <v>9</v>
      </c>
      <c r="AA9">
        <v>13</v>
      </c>
      <c r="AB9">
        <v>16</v>
      </c>
      <c r="AC9">
        <v>13</v>
      </c>
      <c r="AD9">
        <v>10</v>
      </c>
      <c r="AE9">
        <v>10</v>
      </c>
    </row>
    <row r="10" spans="1:31" x14ac:dyDescent="0.3">
      <c r="A10" t="s">
        <v>240</v>
      </c>
      <c r="B10" t="s">
        <v>138</v>
      </c>
      <c r="C10" t="s">
        <v>0</v>
      </c>
      <c r="D10" t="s">
        <v>139</v>
      </c>
      <c r="E10" t="s">
        <v>123</v>
      </c>
      <c r="F10">
        <v>5</v>
      </c>
      <c r="G10">
        <v>6</v>
      </c>
      <c r="H10">
        <v>6</v>
      </c>
      <c r="I10">
        <v>7</v>
      </c>
      <c r="J10">
        <v>6</v>
      </c>
      <c r="K10">
        <v>6</v>
      </c>
      <c r="L10">
        <v>6</v>
      </c>
      <c r="M10">
        <v>6</v>
      </c>
      <c r="N10">
        <v>5</v>
      </c>
      <c r="O10">
        <v>6</v>
      </c>
      <c r="P10">
        <v>6</v>
      </c>
      <c r="Q10">
        <v>6</v>
      </c>
      <c r="R10">
        <v>7</v>
      </c>
      <c r="S10">
        <v>8</v>
      </c>
      <c r="T10">
        <v>3</v>
      </c>
      <c r="U10">
        <v>2</v>
      </c>
      <c r="V10">
        <v>3</v>
      </c>
      <c r="W10">
        <v>4</v>
      </c>
      <c r="X10">
        <v>6</v>
      </c>
      <c r="Y10">
        <v>4</v>
      </c>
      <c r="Z10">
        <v>9</v>
      </c>
      <c r="AA10">
        <v>13</v>
      </c>
      <c r="AB10">
        <v>16</v>
      </c>
      <c r="AC10">
        <v>13</v>
      </c>
      <c r="AD10">
        <v>10</v>
      </c>
      <c r="AE10">
        <v>10</v>
      </c>
    </row>
    <row r="11" spans="1:31" x14ac:dyDescent="0.3">
      <c r="A11" t="s">
        <v>240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240</v>
      </c>
      <c r="B12" t="s">
        <v>142</v>
      </c>
      <c r="C12" t="s">
        <v>0</v>
      </c>
      <c r="D12" t="s">
        <v>143</v>
      </c>
      <c r="E12" t="s">
        <v>123</v>
      </c>
      <c r="F12">
        <v>5</v>
      </c>
      <c r="G12">
        <v>6</v>
      </c>
      <c r="H12">
        <v>8</v>
      </c>
      <c r="I12">
        <v>10</v>
      </c>
      <c r="J12">
        <v>10</v>
      </c>
      <c r="K12">
        <v>10</v>
      </c>
      <c r="L12">
        <v>10</v>
      </c>
      <c r="M12">
        <v>8</v>
      </c>
      <c r="N12">
        <v>9</v>
      </c>
      <c r="O12">
        <v>9</v>
      </c>
      <c r="P12">
        <v>10</v>
      </c>
      <c r="Q12">
        <v>14</v>
      </c>
      <c r="R12">
        <v>11</v>
      </c>
      <c r="S12">
        <v>15</v>
      </c>
      <c r="T12">
        <v>9</v>
      </c>
      <c r="U12">
        <v>6</v>
      </c>
      <c r="V12">
        <v>7</v>
      </c>
      <c r="W12">
        <v>7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240</v>
      </c>
      <c r="B13" t="s">
        <v>144</v>
      </c>
      <c r="C13" t="s">
        <v>0</v>
      </c>
      <c r="D13" t="s">
        <v>145</v>
      </c>
      <c r="E13" t="s">
        <v>123</v>
      </c>
      <c r="F13">
        <v>4</v>
      </c>
      <c r="G13">
        <v>5</v>
      </c>
      <c r="H13">
        <v>6</v>
      </c>
      <c r="I13">
        <v>10</v>
      </c>
      <c r="J13">
        <v>10</v>
      </c>
      <c r="K13">
        <v>13</v>
      </c>
      <c r="L13">
        <v>10</v>
      </c>
      <c r="M13">
        <v>10</v>
      </c>
      <c r="N13">
        <v>10</v>
      </c>
      <c r="O13">
        <v>13</v>
      </c>
      <c r="P13">
        <v>13</v>
      </c>
      <c r="Q13">
        <v>25</v>
      </c>
      <c r="R13">
        <v>34</v>
      </c>
      <c r="S13">
        <v>41</v>
      </c>
      <c r="T13">
        <v>36</v>
      </c>
      <c r="U13">
        <v>22</v>
      </c>
      <c r="V13">
        <v>20</v>
      </c>
      <c r="W13">
        <v>34</v>
      </c>
      <c r="X13">
        <v>13</v>
      </c>
      <c r="Y13">
        <v>16</v>
      </c>
      <c r="Z13">
        <v>19</v>
      </c>
      <c r="AA13">
        <v>17</v>
      </c>
      <c r="AB13">
        <v>18</v>
      </c>
      <c r="AC13">
        <v>23</v>
      </c>
      <c r="AD13">
        <v>26</v>
      </c>
      <c r="AE13">
        <v>19</v>
      </c>
    </row>
    <row r="14" spans="1:31" x14ac:dyDescent="0.3">
      <c r="A14" t="s">
        <v>240</v>
      </c>
      <c r="B14" t="s">
        <v>146</v>
      </c>
      <c r="C14" t="s">
        <v>0</v>
      </c>
      <c r="D14" t="s">
        <v>147</v>
      </c>
      <c r="E14" t="s">
        <v>123</v>
      </c>
      <c r="F14">
        <v>3</v>
      </c>
      <c r="G14">
        <v>5</v>
      </c>
      <c r="H14">
        <v>7</v>
      </c>
      <c r="I14">
        <v>10</v>
      </c>
      <c r="J14">
        <v>10</v>
      </c>
      <c r="K14">
        <v>12</v>
      </c>
      <c r="L14">
        <v>14</v>
      </c>
      <c r="M14">
        <v>12</v>
      </c>
      <c r="N14">
        <v>15</v>
      </c>
      <c r="O14">
        <v>17</v>
      </c>
      <c r="P14">
        <v>18</v>
      </c>
      <c r="Q14">
        <v>26</v>
      </c>
      <c r="R14">
        <v>19</v>
      </c>
      <c r="S14">
        <v>47</v>
      </c>
      <c r="T14">
        <v>11</v>
      </c>
      <c r="U14">
        <v>14</v>
      </c>
      <c r="V14">
        <v>14</v>
      </c>
      <c r="W14">
        <v>11</v>
      </c>
      <c r="X14">
        <v>7</v>
      </c>
      <c r="Y14">
        <v>13</v>
      </c>
      <c r="Z14">
        <v>16</v>
      </c>
      <c r="AA14">
        <v>14</v>
      </c>
      <c r="AB14">
        <v>17</v>
      </c>
      <c r="AC14">
        <v>14</v>
      </c>
      <c r="AD14">
        <v>14</v>
      </c>
      <c r="AE14">
        <v>19</v>
      </c>
    </row>
    <row r="15" spans="1:31" x14ac:dyDescent="0.3">
      <c r="A15" t="s">
        <v>240</v>
      </c>
      <c r="B15" t="s">
        <v>148</v>
      </c>
      <c r="C15" t="s">
        <v>0</v>
      </c>
      <c r="D15" t="s">
        <v>149</v>
      </c>
      <c r="E15" t="s">
        <v>123</v>
      </c>
      <c r="F15">
        <v>5</v>
      </c>
      <c r="G15">
        <v>8</v>
      </c>
      <c r="H15">
        <v>10</v>
      </c>
      <c r="I15">
        <v>14</v>
      </c>
      <c r="J15">
        <v>13</v>
      </c>
      <c r="K15">
        <v>16</v>
      </c>
      <c r="L15">
        <v>18</v>
      </c>
      <c r="M15">
        <v>14</v>
      </c>
      <c r="N15">
        <v>20</v>
      </c>
      <c r="O15">
        <v>22</v>
      </c>
      <c r="P15">
        <v>22</v>
      </c>
      <c r="Q15">
        <v>31</v>
      </c>
      <c r="R15">
        <v>24</v>
      </c>
      <c r="S15">
        <v>55</v>
      </c>
      <c r="T15">
        <v>16</v>
      </c>
      <c r="U15">
        <v>17</v>
      </c>
      <c r="V15">
        <v>18</v>
      </c>
      <c r="W15">
        <v>14</v>
      </c>
      <c r="X15">
        <v>11</v>
      </c>
      <c r="Y15">
        <v>14</v>
      </c>
      <c r="Z15">
        <v>18</v>
      </c>
      <c r="AA15">
        <v>16</v>
      </c>
      <c r="AB15">
        <v>19</v>
      </c>
      <c r="AC15">
        <v>16</v>
      </c>
      <c r="AD15">
        <v>16</v>
      </c>
      <c r="AE15">
        <v>21</v>
      </c>
    </row>
    <row r="16" spans="1:31" x14ac:dyDescent="0.3">
      <c r="A16" t="s">
        <v>240</v>
      </c>
      <c r="B16" t="s">
        <v>150</v>
      </c>
      <c r="C16" t="s">
        <v>0</v>
      </c>
      <c r="D16" t="s">
        <v>151</v>
      </c>
      <c r="E16" t="s">
        <v>123</v>
      </c>
      <c r="F16">
        <v>2</v>
      </c>
      <c r="G16">
        <v>3</v>
      </c>
      <c r="H16">
        <v>3</v>
      </c>
      <c r="I16">
        <v>4</v>
      </c>
      <c r="J16">
        <v>3</v>
      </c>
      <c r="K16">
        <v>4</v>
      </c>
      <c r="L16">
        <v>4</v>
      </c>
      <c r="M16">
        <v>2</v>
      </c>
      <c r="N16">
        <v>5</v>
      </c>
      <c r="O16">
        <v>5</v>
      </c>
      <c r="P16">
        <v>4</v>
      </c>
      <c r="Q16">
        <v>5</v>
      </c>
      <c r="R16">
        <v>5</v>
      </c>
      <c r="S16">
        <v>8</v>
      </c>
      <c r="T16">
        <v>5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240</v>
      </c>
      <c r="B17" t="s">
        <v>152</v>
      </c>
      <c r="C17" t="s">
        <v>0</v>
      </c>
      <c r="D17" t="s">
        <v>153</v>
      </c>
      <c r="E17" t="s">
        <v>123</v>
      </c>
      <c r="F17">
        <v>7</v>
      </c>
      <c r="G17">
        <v>8</v>
      </c>
      <c r="H17">
        <v>8</v>
      </c>
      <c r="I17">
        <v>10</v>
      </c>
      <c r="J17">
        <v>10</v>
      </c>
      <c r="K17">
        <v>10</v>
      </c>
      <c r="L17">
        <v>10</v>
      </c>
      <c r="M17">
        <v>8</v>
      </c>
      <c r="N17">
        <v>10</v>
      </c>
      <c r="O17">
        <v>10</v>
      </c>
      <c r="P17">
        <v>13</v>
      </c>
      <c r="Q17">
        <v>24</v>
      </c>
      <c r="R17">
        <v>20</v>
      </c>
      <c r="S17">
        <v>29</v>
      </c>
      <c r="T17">
        <v>28</v>
      </c>
      <c r="U17">
        <v>10</v>
      </c>
      <c r="V17">
        <v>14</v>
      </c>
      <c r="W17">
        <v>15</v>
      </c>
      <c r="X17">
        <v>10</v>
      </c>
      <c r="Y17">
        <v>13</v>
      </c>
      <c r="Z17">
        <v>14</v>
      </c>
      <c r="AA17">
        <v>11</v>
      </c>
      <c r="AB17">
        <v>10</v>
      </c>
      <c r="AC17">
        <v>14</v>
      </c>
      <c r="AD17">
        <v>16</v>
      </c>
      <c r="AE17">
        <v>10</v>
      </c>
    </row>
    <row r="18" spans="1:31" x14ac:dyDescent="0.3">
      <c r="A18" t="s">
        <v>240</v>
      </c>
      <c r="B18" t="s">
        <v>154</v>
      </c>
      <c r="C18" t="s">
        <v>0</v>
      </c>
      <c r="D18" t="s">
        <v>155</v>
      </c>
      <c r="E18" t="s">
        <v>123</v>
      </c>
      <c r="F18">
        <v>2</v>
      </c>
      <c r="G18">
        <v>2</v>
      </c>
      <c r="H18">
        <v>2</v>
      </c>
      <c r="I18">
        <v>3</v>
      </c>
      <c r="J18">
        <v>3</v>
      </c>
      <c r="K18">
        <v>4</v>
      </c>
      <c r="L18">
        <v>3</v>
      </c>
      <c r="M18">
        <v>3</v>
      </c>
      <c r="N18">
        <v>3</v>
      </c>
      <c r="O18">
        <v>4</v>
      </c>
      <c r="P18">
        <v>4</v>
      </c>
      <c r="Q18">
        <v>8</v>
      </c>
      <c r="R18">
        <v>6</v>
      </c>
      <c r="S18">
        <v>6</v>
      </c>
      <c r="T18">
        <v>7</v>
      </c>
      <c r="U18">
        <v>3</v>
      </c>
      <c r="V18">
        <v>2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240</v>
      </c>
      <c r="B19" t="s">
        <v>156</v>
      </c>
      <c r="C19" t="s">
        <v>0</v>
      </c>
      <c r="D19" t="s">
        <v>157</v>
      </c>
      <c r="E19" t="s">
        <v>123</v>
      </c>
      <c r="F19">
        <v>2</v>
      </c>
      <c r="G19">
        <v>5</v>
      </c>
      <c r="H19">
        <v>5</v>
      </c>
      <c r="I19">
        <v>5</v>
      </c>
      <c r="J19">
        <v>5</v>
      </c>
      <c r="K19">
        <v>6</v>
      </c>
      <c r="L19">
        <v>7</v>
      </c>
      <c r="M19">
        <v>7</v>
      </c>
      <c r="N19">
        <v>6</v>
      </c>
      <c r="O19">
        <v>7</v>
      </c>
      <c r="P19">
        <v>6</v>
      </c>
      <c r="Q19">
        <v>10</v>
      </c>
      <c r="R19">
        <v>10</v>
      </c>
      <c r="S19">
        <v>12</v>
      </c>
      <c r="T19">
        <v>6</v>
      </c>
      <c r="U19">
        <v>6</v>
      </c>
      <c r="V19">
        <v>7</v>
      </c>
      <c r="W19">
        <v>4</v>
      </c>
      <c r="X19">
        <v>3</v>
      </c>
      <c r="Y19">
        <v>10</v>
      </c>
      <c r="Z19">
        <v>16</v>
      </c>
      <c r="AA19">
        <v>13</v>
      </c>
      <c r="AB19">
        <v>14</v>
      </c>
      <c r="AC19">
        <v>13</v>
      </c>
      <c r="AD19">
        <v>14</v>
      </c>
      <c r="AE19">
        <v>11</v>
      </c>
    </row>
    <row r="20" spans="1:31" x14ac:dyDescent="0.3">
      <c r="A20" t="s">
        <v>240</v>
      </c>
      <c r="B20" t="s">
        <v>158</v>
      </c>
      <c r="C20" t="s">
        <v>0</v>
      </c>
      <c r="D20" t="s">
        <v>159</v>
      </c>
      <c r="E20" t="s">
        <v>123</v>
      </c>
      <c r="F20">
        <v>8</v>
      </c>
      <c r="G20">
        <v>9</v>
      </c>
      <c r="H20">
        <v>11</v>
      </c>
      <c r="I20">
        <v>12</v>
      </c>
      <c r="J20">
        <v>12</v>
      </c>
      <c r="K20">
        <v>12</v>
      </c>
      <c r="L20">
        <v>12</v>
      </c>
      <c r="M20">
        <v>10</v>
      </c>
      <c r="N20">
        <v>12</v>
      </c>
      <c r="O20">
        <v>12</v>
      </c>
      <c r="P20">
        <v>12</v>
      </c>
      <c r="Q20">
        <v>13</v>
      </c>
      <c r="R20">
        <v>11</v>
      </c>
      <c r="S20">
        <v>18</v>
      </c>
      <c r="T20">
        <v>13</v>
      </c>
      <c r="U20">
        <v>44</v>
      </c>
      <c r="V20">
        <v>8</v>
      </c>
      <c r="W20">
        <v>40</v>
      </c>
      <c r="X20">
        <v>47</v>
      </c>
      <c r="Y20">
        <v>56</v>
      </c>
      <c r="Z20">
        <v>63</v>
      </c>
      <c r="AA20">
        <v>76</v>
      </c>
      <c r="AB20">
        <v>61</v>
      </c>
      <c r="AC20">
        <v>56</v>
      </c>
      <c r="AD20">
        <v>44</v>
      </c>
      <c r="AE20">
        <v>66</v>
      </c>
    </row>
    <row r="21" spans="1:31" x14ac:dyDescent="0.3">
      <c r="A21" t="s">
        <v>240</v>
      </c>
      <c r="B21" t="s">
        <v>160</v>
      </c>
      <c r="C21" t="s">
        <v>0</v>
      </c>
      <c r="D21" t="s">
        <v>161</v>
      </c>
      <c r="E21" t="s">
        <v>123</v>
      </c>
      <c r="F21">
        <v>32</v>
      </c>
      <c r="G21">
        <v>34</v>
      </c>
      <c r="H21">
        <v>38</v>
      </c>
      <c r="I21">
        <v>53</v>
      </c>
      <c r="J21">
        <v>54</v>
      </c>
      <c r="K21">
        <v>50</v>
      </c>
      <c r="L21">
        <v>51</v>
      </c>
      <c r="M21">
        <v>26</v>
      </c>
      <c r="N21">
        <v>28</v>
      </c>
      <c r="O21">
        <v>28</v>
      </c>
      <c r="P21">
        <v>33</v>
      </c>
      <c r="Q21">
        <v>29</v>
      </c>
      <c r="R21">
        <v>31</v>
      </c>
      <c r="S21">
        <v>38</v>
      </c>
      <c r="T21">
        <v>30</v>
      </c>
      <c r="U21">
        <v>69</v>
      </c>
      <c r="V21">
        <v>24</v>
      </c>
      <c r="W21">
        <v>83</v>
      </c>
      <c r="X21">
        <v>69</v>
      </c>
      <c r="Y21">
        <v>78</v>
      </c>
      <c r="Z21">
        <v>88</v>
      </c>
      <c r="AA21">
        <v>109</v>
      </c>
      <c r="AB21">
        <v>91</v>
      </c>
      <c r="AC21">
        <v>78</v>
      </c>
      <c r="AD21">
        <v>59</v>
      </c>
      <c r="AE21">
        <v>79</v>
      </c>
    </row>
    <row r="22" spans="1:31" x14ac:dyDescent="0.3">
      <c r="A22" t="s">
        <v>240</v>
      </c>
      <c r="B22" t="s">
        <v>162</v>
      </c>
      <c r="C22" t="s">
        <v>0</v>
      </c>
      <c r="D22" t="s">
        <v>163</v>
      </c>
      <c r="E22" t="s">
        <v>123</v>
      </c>
      <c r="F22">
        <v>24</v>
      </c>
      <c r="G22">
        <v>25</v>
      </c>
      <c r="H22">
        <v>27</v>
      </c>
      <c r="I22">
        <v>41</v>
      </c>
      <c r="J22">
        <v>42</v>
      </c>
      <c r="K22">
        <v>38</v>
      </c>
      <c r="L22">
        <v>39</v>
      </c>
      <c r="M22">
        <v>16</v>
      </c>
      <c r="N22">
        <v>16</v>
      </c>
      <c r="O22">
        <v>16</v>
      </c>
      <c r="P22">
        <v>21</v>
      </c>
      <c r="Q22">
        <v>16</v>
      </c>
      <c r="R22">
        <v>20</v>
      </c>
      <c r="S22">
        <v>20</v>
      </c>
      <c r="T22">
        <v>17</v>
      </c>
      <c r="U22">
        <v>25</v>
      </c>
      <c r="V22">
        <v>16</v>
      </c>
      <c r="W22">
        <v>43</v>
      </c>
      <c r="X22">
        <v>22</v>
      </c>
      <c r="Y22">
        <v>22</v>
      </c>
      <c r="Z22">
        <v>25</v>
      </c>
      <c r="AA22">
        <v>33</v>
      </c>
      <c r="AB22">
        <v>30</v>
      </c>
      <c r="AC22">
        <v>22</v>
      </c>
      <c r="AD22">
        <v>15</v>
      </c>
      <c r="AE22">
        <v>13</v>
      </c>
    </row>
    <row r="23" spans="1:31" x14ac:dyDescent="0.3">
      <c r="A23" t="s">
        <v>240</v>
      </c>
      <c r="B23" t="s">
        <v>164</v>
      </c>
      <c r="C23" t="s">
        <v>0</v>
      </c>
      <c r="D23" t="s">
        <v>165</v>
      </c>
      <c r="E23" t="s">
        <v>123</v>
      </c>
      <c r="F23">
        <v>65</v>
      </c>
      <c r="G23">
        <v>70</v>
      </c>
      <c r="H23">
        <v>82</v>
      </c>
      <c r="I23">
        <v>97</v>
      </c>
      <c r="J23">
        <v>109</v>
      </c>
      <c r="K23">
        <v>119</v>
      </c>
      <c r="L23">
        <v>111</v>
      </c>
      <c r="M23">
        <v>113</v>
      </c>
      <c r="N23">
        <v>123</v>
      </c>
      <c r="O23">
        <v>134</v>
      </c>
      <c r="P23">
        <v>142</v>
      </c>
      <c r="Q23">
        <v>149</v>
      </c>
      <c r="R23">
        <v>167</v>
      </c>
      <c r="S23">
        <v>165</v>
      </c>
      <c r="T23">
        <v>133</v>
      </c>
      <c r="U23">
        <v>195</v>
      </c>
      <c r="V23">
        <v>148</v>
      </c>
      <c r="W23">
        <v>143</v>
      </c>
      <c r="X23">
        <v>115</v>
      </c>
      <c r="Y23">
        <v>115</v>
      </c>
      <c r="Z23">
        <v>136</v>
      </c>
      <c r="AA23">
        <v>146</v>
      </c>
      <c r="AB23">
        <v>134</v>
      </c>
      <c r="AC23">
        <v>125</v>
      </c>
      <c r="AD23">
        <v>98</v>
      </c>
      <c r="AE23">
        <v>80</v>
      </c>
    </row>
    <row r="24" spans="1:31" x14ac:dyDescent="0.3">
      <c r="A24" t="s">
        <v>240</v>
      </c>
      <c r="B24" t="s">
        <v>166</v>
      </c>
      <c r="C24" t="s">
        <v>0</v>
      </c>
      <c r="D24" t="s">
        <v>167</v>
      </c>
      <c r="E24" t="s">
        <v>123</v>
      </c>
      <c r="F24">
        <v>141</v>
      </c>
      <c r="G24">
        <v>162</v>
      </c>
      <c r="H24">
        <v>166</v>
      </c>
      <c r="I24">
        <v>206</v>
      </c>
      <c r="J24">
        <v>212</v>
      </c>
      <c r="K24">
        <v>249</v>
      </c>
      <c r="L24">
        <v>290</v>
      </c>
      <c r="M24">
        <v>250</v>
      </c>
      <c r="N24">
        <v>268</v>
      </c>
      <c r="O24">
        <v>261</v>
      </c>
      <c r="P24">
        <v>270</v>
      </c>
      <c r="Q24">
        <v>234</v>
      </c>
      <c r="R24">
        <v>275</v>
      </c>
      <c r="S24">
        <v>297</v>
      </c>
      <c r="T24">
        <v>226</v>
      </c>
      <c r="U24">
        <v>303</v>
      </c>
      <c r="V24">
        <v>246</v>
      </c>
      <c r="W24">
        <v>276</v>
      </c>
      <c r="X24">
        <v>182</v>
      </c>
      <c r="Y24">
        <v>169</v>
      </c>
      <c r="Z24">
        <v>179</v>
      </c>
      <c r="AA24">
        <v>145</v>
      </c>
      <c r="AB24">
        <v>106</v>
      </c>
      <c r="AC24">
        <v>95</v>
      </c>
      <c r="AD24">
        <v>69</v>
      </c>
      <c r="AE24">
        <v>49</v>
      </c>
    </row>
    <row r="25" spans="1:31" x14ac:dyDescent="0.3">
      <c r="A25" t="s">
        <v>240</v>
      </c>
      <c r="B25" t="s">
        <v>168</v>
      </c>
      <c r="C25" t="s">
        <v>0</v>
      </c>
      <c r="D25" t="s">
        <v>169</v>
      </c>
      <c r="E25" t="s">
        <v>123</v>
      </c>
      <c r="F25">
        <v>18</v>
      </c>
      <c r="G25">
        <v>20</v>
      </c>
      <c r="H25">
        <v>21</v>
      </c>
      <c r="I25">
        <v>23</v>
      </c>
      <c r="J25">
        <v>22</v>
      </c>
      <c r="K25">
        <v>41</v>
      </c>
      <c r="L25">
        <v>39</v>
      </c>
      <c r="M25">
        <v>33</v>
      </c>
      <c r="N25">
        <v>33</v>
      </c>
      <c r="O25">
        <v>35</v>
      </c>
      <c r="P25">
        <v>28</v>
      </c>
      <c r="Q25">
        <v>38</v>
      </c>
      <c r="R25">
        <v>30</v>
      </c>
      <c r="S25">
        <v>46</v>
      </c>
      <c r="T25">
        <v>31</v>
      </c>
      <c r="U25">
        <v>51</v>
      </c>
      <c r="V25">
        <v>47</v>
      </c>
      <c r="W25">
        <v>38</v>
      </c>
      <c r="X25">
        <v>17</v>
      </c>
      <c r="Y25">
        <v>20</v>
      </c>
      <c r="Z25">
        <v>24</v>
      </c>
      <c r="AA25">
        <v>26</v>
      </c>
      <c r="AB25">
        <v>15</v>
      </c>
      <c r="AC25">
        <v>15</v>
      </c>
      <c r="AD25">
        <v>13</v>
      </c>
      <c r="AE25">
        <v>10</v>
      </c>
    </row>
    <row r="26" spans="1:31" x14ac:dyDescent="0.3">
      <c r="A26" t="s">
        <v>240</v>
      </c>
      <c r="B26" t="s">
        <v>170</v>
      </c>
      <c r="C26" t="s">
        <v>0</v>
      </c>
      <c r="D26" t="s">
        <v>171</v>
      </c>
      <c r="E26" t="s">
        <v>123</v>
      </c>
      <c r="F26">
        <v>90</v>
      </c>
      <c r="G26">
        <v>108</v>
      </c>
      <c r="H26">
        <v>111</v>
      </c>
      <c r="I26">
        <v>140</v>
      </c>
      <c r="J26">
        <v>138</v>
      </c>
      <c r="K26">
        <v>146</v>
      </c>
      <c r="L26">
        <v>171</v>
      </c>
      <c r="M26">
        <v>150</v>
      </c>
      <c r="N26">
        <v>144</v>
      </c>
      <c r="O26">
        <v>143</v>
      </c>
      <c r="P26">
        <v>152</v>
      </c>
      <c r="Q26">
        <v>115</v>
      </c>
      <c r="R26">
        <v>153</v>
      </c>
      <c r="S26">
        <v>157</v>
      </c>
      <c r="T26">
        <v>108</v>
      </c>
      <c r="U26">
        <v>132</v>
      </c>
      <c r="V26">
        <v>114</v>
      </c>
      <c r="W26">
        <v>135</v>
      </c>
      <c r="X26">
        <v>92</v>
      </c>
      <c r="Y26">
        <v>80</v>
      </c>
      <c r="Z26">
        <v>74</v>
      </c>
      <c r="AA26">
        <v>60</v>
      </c>
      <c r="AB26">
        <v>49</v>
      </c>
      <c r="AC26">
        <v>38</v>
      </c>
      <c r="AD26">
        <v>24</v>
      </c>
      <c r="AE26">
        <v>15</v>
      </c>
    </row>
    <row r="27" spans="1:31" x14ac:dyDescent="0.3">
      <c r="A27" t="s">
        <v>240</v>
      </c>
      <c r="B27" t="s">
        <v>172</v>
      </c>
      <c r="C27" t="s">
        <v>0</v>
      </c>
      <c r="D27" t="s">
        <v>173</v>
      </c>
      <c r="E27" t="s">
        <v>123</v>
      </c>
      <c r="F27">
        <v>33</v>
      </c>
      <c r="G27">
        <v>34</v>
      </c>
      <c r="H27">
        <v>34</v>
      </c>
      <c r="I27">
        <v>43</v>
      </c>
      <c r="J27">
        <v>52</v>
      </c>
      <c r="K27">
        <v>62</v>
      </c>
      <c r="L27">
        <v>80</v>
      </c>
      <c r="M27">
        <v>67</v>
      </c>
      <c r="N27">
        <v>91</v>
      </c>
      <c r="O27">
        <v>83</v>
      </c>
      <c r="P27">
        <v>90</v>
      </c>
      <c r="Q27">
        <v>81</v>
      </c>
      <c r="R27">
        <v>92</v>
      </c>
      <c r="S27">
        <v>94</v>
      </c>
      <c r="T27">
        <v>87</v>
      </c>
      <c r="U27">
        <v>120</v>
      </c>
      <c r="V27">
        <v>85</v>
      </c>
      <c r="W27">
        <v>103</v>
      </c>
      <c r="X27">
        <v>73</v>
      </c>
      <c r="Y27">
        <v>69</v>
      </c>
      <c r="Z27">
        <v>81</v>
      </c>
      <c r="AA27">
        <v>59</v>
      </c>
      <c r="AB27">
        <v>42</v>
      </c>
      <c r="AC27">
        <v>42</v>
      </c>
      <c r="AD27">
        <v>32</v>
      </c>
      <c r="AE27">
        <v>24</v>
      </c>
    </row>
    <row r="28" spans="1:31" x14ac:dyDescent="0.3">
      <c r="A28" t="s">
        <v>240</v>
      </c>
      <c r="B28" t="s">
        <v>174</v>
      </c>
      <c r="C28" t="s">
        <v>0</v>
      </c>
      <c r="D28" t="s">
        <v>175</v>
      </c>
      <c r="E28" t="s">
        <v>123</v>
      </c>
      <c r="F28">
        <v>500</v>
      </c>
      <c r="G28">
        <v>453</v>
      </c>
      <c r="H28">
        <v>748</v>
      </c>
      <c r="I28">
        <v>830</v>
      </c>
      <c r="J28">
        <v>854</v>
      </c>
      <c r="K28">
        <v>640</v>
      </c>
      <c r="L28">
        <v>872</v>
      </c>
      <c r="M28">
        <v>586</v>
      </c>
      <c r="N28">
        <v>467</v>
      </c>
      <c r="O28">
        <v>972</v>
      </c>
      <c r="P28">
        <v>894</v>
      </c>
      <c r="Q28">
        <v>987</v>
      </c>
      <c r="R28">
        <v>1053</v>
      </c>
      <c r="S28">
        <v>716</v>
      </c>
      <c r="T28">
        <v>974</v>
      </c>
      <c r="U28">
        <v>673</v>
      </c>
      <c r="V28">
        <v>821</v>
      </c>
      <c r="W28">
        <v>841</v>
      </c>
      <c r="X28">
        <v>917</v>
      </c>
      <c r="Y28">
        <v>612</v>
      </c>
      <c r="Z28">
        <v>828</v>
      </c>
      <c r="AA28">
        <v>1230</v>
      </c>
      <c r="AB28">
        <v>1036</v>
      </c>
      <c r="AC28">
        <v>1035</v>
      </c>
      <c r="AD28">
        <v>1195</v>
      </c>
      <c r="AE28">
        <v>825</v>
      </c>
    </row>
    <row r="29" spans="1:31" x14ac:dyDescent="0.3">
      <c r="A29" t="s">
        <v>240</v>
      </c>
      <c r="B29" t="s">
        <v>176</v>
      </c>
      <c r="C29" t="s">
        <v>0</v>
      </c>
      <c r="D29" t="s">
        <v>177</v>
      </c>
      <c r="E29" t="s">
        <v>123</v>
      </c>
      <c r="F29">
        <v>421</v>
      </c>
      <c r="G29">
        <v>366</v>
      </c>
      <c r="H29">
        <v>411</v>
      </c>
      <c r="I29">
        <v>467</v>
      </c>
      <c r="J29">
        <v>497</v>
      </c>
      <c r="K29">
        <v>452</v>
      </c>
      <c r="L29">
        <v>478</v>
      </c>
      <c r="M29">
        <v>446</v>
      </c>
      <c r="N29">
        <v>459</v>
      </c>
      <c r="O29">
        <v>526</v>
      </c>
      <c r="P29">
        <v>562</v>
      </c>
      <c r="Q29">
        <v>439</v>
      </c>
      <c r="R29">
        <v>418</v>
      </c>
      <c r="S29">
        <v>517</v>
      </c>
      <c r="T29">
        <v>411</v>
      </c>
      <c r="U29">
        <v>419</v>
      </c>
      <c r="V29">
        <v>483</v>
      </c>
      <c r="W29">
        <v>385</v>
      </c>
      <c r="X29">
        <v>379</v>
      </c>
      <c r="Y29">
        <v>446</v>
      </c>
      <c r="Z29">
        <v>537</v>
      </c>
      <c r="AA29">
        <v>679</v>
      </c>
      <c r="AB29">
        <v>655</v>
      </c>
      <c r="AC29">
        <v>621</v>
      </c>
      <c r="AD29">
        <v>610</v>
      </c>
      <c r="AE29">
        <v>544</v>
      </c>
    </row>
    <row r="30" spans="1:31" x14ac:dyDescent="0.3">
      <c r="A30" t="s">
        <v>240</v>
      </c>
      <c r="B30" t="s">
        <v>178</v>
      </c>
      <c r="C30" t="s">
        <v>0</v>
      </c>
      <c r="D30" t="s">
        <v>179</v>
      </c>
      <c r="E30" t="s">
        <v>123</v>
      </c>
      <c r="F30">
        <v>-7</v>
      </c>
      <c r="G30">
        <v>-7</v>
      </c>
      <c r="H30">
        <v>238</v>
      </c>
      <c r="I30">
        <v>196</v>
      </c>
      <c r="J30">
        <v>107</v>
      </c>
      <c r="K30">
        <v>23</v>
      </c>
      <c r="L30">
        <v>174</v>
      </c>
      <c r="M30">
        <v>72</v>
      </c>
      <c r="N30">
        <v>-47</v>
      </c>
      <c r="O30">
        <v>320</v>
      </c>
      <c r="P30">
        <v>91</v>
      </c>
      <c r="Q30">
        <v>206</v>
      </c>
      <c r="R30">
        <v>345</v>
      </c>
      <c r="S30">
        <v>-10</v>
      </c>
      <c r="T30">
        <v>89</v>
      </c>
      <c r="U30">
        <v>38</v>
      </c>
      <c r="V30">
        <v>198</v>
      </c>
      <c r="W30">
        <v>316</v>
      </c>
      <c r="X30">
        <v>225</v>
      </c>
      <c r="Y30">
        <v>6</v>
      </c>
      <c r="Z30">
        <v>75</v>
      </c>
      <c r="AA30">
        <v>78</v>
      </c>
      <c r="AB30">
        <v>-65</v>
      </c>
      <c r="AC30">
        <v>144</v>
      </c>
      <c r="AD30">
        <v>119</v>
      </c>
      <c r="AE30">
        <v>81</v>
      </c>
    </row>
    <row r="31" spans="1:31" x14ac:dyDescent="0.3">
      <c r="A31" t="s">
        <v>240</v>
      </c>
      <c r="B31" t="s">
        <v>180</v>
      </c>
      <c r="C31" t="s">
        <v>0</v>
      </c>
      <c r="D31" t="s">
        <v>181</v>
      </c>
      <c r="E31" t="s">
        <v>123</v>
      </c>
      <c r="F31">
        <v>55</v>
      </c>
      <c r="G31">
        <v>78</v>
      </c>
      <c r="H31">
        <v>43</v>
      </c>
      <c r="I31">
        <v>86</v>
      </c>
      <c r="J31">
        <v>231</v>
      </c>
      <c r="K31">
        <v>128</v>
      </c>
      <c r="L31">
        <v>189</v>
      </c>
      <c r="M31">
        <v>42</v>
      </c>
      <c r="N31">
        <v>28</v>
      </c>
      <c r="O31">
        <v>87</v>
      </c>
      <c r="P31">
        <v>220</v>
      </c>
      <c r="Q31">
        <v>274</v>
      </c>
      <c r="R31">
        <v>256</v>
      </c>
      <c r="S31">
        <v>178</v>
      </c>
      <c r="T31">
        <v>414</v>
      </c>
      <c r="U31">
        <v>119</v>
      </c>
      <c r="V31">
        <v>82</v>
      </c>
      <c r="W31">
        <v>109</v>
      </c>
      <c r="X31">
        <v>270</v>
      </c>
      <c r="Y31">
        <v>96</v>
      </c>
      <c r="Z31">
        <v>158</v>
      </c>
      <c r="AA31">
        <v>315</v>
      </c>
      <c r="AB31">
        <v>350</v>
      </c>
      <c r="AC31">
        <v>211</v>
      </c>
      <c r="AD31">
        <v>373</v>
      </c>
      <c r="AE31">
        <v>131</v>
      </c>
    </row>
    <row r="32" spans="1:31" x14ac:dyDescent="0.3">
      <c r="A32" t="s">
        <v>240</v>
      </c>
      <c r="B32" t="s">
        <v>182</v>
      </c>
      <c r="C32" t="s">
        <v>0</v>
      </c>
      <c r="D32" t="s">
        <v>183</v>
      </c>
      <c r="E32" t="s">
        <v>123</v>
      </c>
      <c r="F32">
        <v>25</v>
      </c>
      <c r="G32">
        <v>13</v>
      </c>
      <c r="H32">
        <v>53</v>
      </c>
      <c r="I32">
        <v>77</v>
      </c>
      <c r="J32">
        <v>15</v>
      </c>
      <c r="K32">
        <v>20</v>
      </c>
      <c r="L32">
        <v>22</v>
      </c>
      <c r="M32">
        <v>16</v>
      </c>
      <c r="N32">
        <v>20</v>
      </c>
      <c r="O32">
        <v>23</v>
      </c>
      <c r="P32">
        <v>19</v>
      </c>
      <c r="Q32">
        <v>39</v>
      </c>
      <c r="R32">
        <v>21</v>
      </c>
      <c r="S32">
        <v>21</v>
      </c>
      <c r="T32">
        <v>37</v>
      </c>
      <c r="U32">
        <v>58</v>
      </c>
      <c r="V32">
        <v>37</v>
      </c>
      <c r="W32">
        <v>21</v>
      </c>
      <c r="X32">
        <v>27</v>
      </c>
      <c r="Y32">
        <v>44</v>
      </c>
      <c r="Z32">
        <v>48</v>
      </c>
      <c r="AA32">
        <v>141</v>
      </c>
      <c r="AB32">
        <v>77</v>
      </c>
      <c r="AC32">
        <v>50</v>
      </c>
      <c r="AD32">
        <v>83</v>
      </c>
      <c r="AE32">
        <v>62</v>
      </c>
    </row>
    <row r="33" spans="1:31" x14ac:dyDescent="0.3">
      <c r="A33" t="s">
        <v>240</v>
      </c>
      <c r="B33" t="s">
        <v>184</v>
      </c>
      <c r="C33" t="s">
        <v>0</v>
      </c>
      <c r="D33" t="s">
        <v>185</v>
      </c>
      <c r="E33" t="s">
        <v>123</v>
      </c>
      <c r="F33">
        <v>6</v>
      </c>
      <c r="G33">
        <v>3</v>
      </c>
      <c r="H33">
        <v>3</v>
      </c>
      <c r="I33">
        <v>4</v>
      </c>
      <c r="J33">
        <v>4</v>
      </c>
      <c r="K33">
        <v>17</v>
      </c>
      <c r="L33">
        <v>9</v>
      </c>
      <c r="M33">
        <v>10</v>
      </c>
      <c r="N33">
        <v>7</v>
      </c>
      <c r="O33">
        <v>16</v>
      </c>
      <c r="P33">
        <v>2</v>
      </c>
      <c r="Q33">
        <v>29</v>
      </c>
      <c r="R33">
        <v>13</v>
      </c>
      <c r="S33">
        <v>10</v>
      </c>
      <c r="T33">
        <v>23</v>
      </c>
      <c r="U33">
        <v>39</v>
      </c>
      <c r="V33">
        <v>21</v>
      </c>
      <c r="W33">
        <v>10</v>
      </c>
      <c r="X33">
        <v>16</v>
      </c>
      <c r="Y33">
        <v>20</v>
      </c>
      <c r="Z33">
        <v>10</v>
      </c>
      <c r="AA33">
        <v>17</v>
      </c>
      <c r="AB33">
        <v>19</v>
      </c>
      <c r="AC33">
        <v>9</v>
      </c>
      <c r="AD33">
        <v>10</v>
      </c>
      <c r="AE33">
        <v>7</v>
      </c>
    </row>
    <row r="34" spans="1:31" x14ac:dyDescent="0.3">
      <c r="A34" t="s">
        <v>240</v>
      </c>
      <c r="B34" t="s">
        <v>186</v>
      </c>
      <c r="C34" t="s">
        <v>0</v>
      </c>
      <c r="D34" t="s">
        <v>187</v>
      </c>
      <c r="E34" t="s">
        <v>123</v>
      </c>
      <c r="F34">
        <v>10</v>
      </c>
      <c r="G34">
        <v>12</v>
      </c>
      <c r="H34">
        <v>7</v>
      </c>
      <c r="I34">
        <v>14</v>
      </c>
      <c r="J34">
        <v>15</v>
      </c>
      <c r="K34">
        <v>15</v>
      </c>
      <c r="L34">
        <v>15</v>
      </c>
      <c r="M34">
        <v>16</v>
      </c>
      <c r="N34">
        <v>18</v>
      </c>
      <c r="O34">
        <v>19</v>
      </c>
      <c r="P34">
        <v>21</v>
      </c>
      <c r="Q34">
        <v>24</v>
      </c>
      <c r="R34">
        <v>16</v>
      </c>
      <c r="S34">
        <v>13</v>
      </c>
      <c r="T34">
        <v>14</v>
      </c>
      <c r="U34">
        <v>22</v>
      </c>
      <c r="V34">
        <v>16</v>
      </c>
      <c r="W34">
        <v>24</v>
      </c>
      <c r="X34">
        <v>15</v>
      </c>
      <c r="Y34">
        <v>15</v>
      </c>
      <c r="Z34">
        <v>13</v>
      </c>
      <c r="AA34">
        <v>14</v>
      </c>
      <c r="AB34">
        <v>10</v>
      </c>
      <c r="AC34">
        <v>11</v>
      </c>
      <c r="AD34">
        <v>9</v>
      </c>
      <c r="AE34">
        <v>6</v>
      </c>
    </row>
    <row r="35" spans="1:31" x14ac:dyDescent="0.3">
      <c r="A35" t="s">
        <v>240</v>
      </c>
      <c r="B35" t="s">
        <v>188</v>
      </c>
      <c r="C35" t="s">
        <v>0</v>
      </c>
      <c r="D35" t="s">
        <v>189</v>
      </c>
      <c r="E35" t="s">
        <v>123</v>
      </c>
      <c r="F35">
        <v>24</v>
      </c>
      <c r="G35">
        <v>30</v>
      </c>
      <c r="H35">
        <v>35</v>
      </c>
      <c r="I35">
        <v>39</v>
      </c>
      <c r="J35">
        <v>43</v>
      </c>
      <c r="K35">
        <v>58</v>
      </c>
      <c r="L35">
        <v>56</v>
      </c>
      <c r="M35">
        <v>50</v>
      </c>
      <c r="N35">
        <v>39</v>
      </c>
      <c r="O35">
        <v>89</v>
      </c>
      <c r="P35">
        <v>78</v>
      </c>
      <c r="Q35">
        <v>67</v>
      </c>
      <c r="R35">
        <v>70</v>
      </c>
      <c r="S35">
        <v>95</v>
      </c>
      <c r="T35">
        <v>85</v>
      </c>
      <c r="U35">
        <v>129</v>
      </c>
      <c r="V35">
        <v>57</v>
      </c>
      <c r="W35">
        <v>63</v>
      </c>
      <c r="X35">
        <v>43</v>
      </c>
      <c r="Y35">
        <v>37</v>
      </c>
      <c r="Z35">
        <v>34</v>
      </c>
      <c r="AA35">
        <v>34</v>
      </c>
      <c r="AB35">
        <v>29</v>
      </c>
      <c r="AC35">
        <v>34</v>
      </c>
      <c r="AD35">
        <v>22</v>
      </c>
      <c r="AE35">
        <v>23</v>
      </c>
    </row>
    <row r="36" spans="1:31" x14ac:dyDescent="0.3">
      <c r="A36" t="s">
        <v>240</v>
      </c>
      <c r="B36" t="s">
        <v>190</v>
      </c>
      <c r="C36" t="s">
        <v>0</v>
      </c>
      <c r="D36" t="s">
        <v>191</v>
      </c>
      <c r="E36" t="s">
        <v>123</v>
      </c>
      <c r="F36">
        <v>5</v>
      </c>
      <c r="G36">
        <v>7</v>
      </c>
      <c r="H36">
        <v>9</v>
      </c>
      <c r="I36">
        <v>11</v>
      </c>
      <c r="J36">
        <v>11</v>
      </c>
      <c r="K36">
        <v>13</v>
      </c>
      <c r="L36">
        <v>13</v>
      </c>
      <c r="M36">
        <v>12</v>
      </c>
      <c r="N36">
        <v>10</v>
      </c>
      <c r="O36">
        <v>10</v>
      </c>
      <c r="P36">
        <v>14</v>
      </c>
      <c r="Q36">
        <v>13</v>
      </c>
      <c r="R36">
        <v>12</v>
      </c>
      <c r="S36">
        <v>10</v>
      </c>
      <c r="T36">
        <v>14</v>
      </c>
      <c r="U36">
        <v>15</v>
      </c>
      <c r="V36">
        <v>13</v>
      </c>
      <c r="W36">
        <v>13</v>
      </c>
      <c r="X36">
        <v>5</v>
      </c>
      <c r="Y36">
        <v>5</v>
      </c>
      <c r="Z36">
        <v>3</v>
      </c>
      <c r="AA36">
        <v>4</v>
      </c>
      <c r="AB36">
        <v>5</v>
      </c>
      <c r="AC36">
        <v>5</v>
      </c>
      <c r="AD36">
        <v>4</v>
      </c>
      <c r="AE36">
        <v>3</v>
      </c>
    </row>
    <row r="37" spans="1:31" x14ac:dyDescent="0.3">
      <c r="A37" t="s">
        <v>240</v>
      </c>
      <c r="B37" t="s">
        <v>192</v>
      </c>
      <c r="C37" t="s">
        <v>0</v>
      </c>
      <c r="D37" t="s">
        <v>193</v>
      </c>
      <c r="E37" t="s">
        <v>123</v>
      </c>
      <c r="F37">
        <v>8</v>
      </c>
      <c r="G37">
        <v>8</v>
      </c>
      <c r="H37">
        <v>13</v>
      </c>
      <c r="I37">
        <v>14</v>
      </c>
      <c r="J37">
        <v>14</v>
      </c>
      <c r="K37">
        <v>25</v>
      </c>
      <c r="L37">
        <v>21</v>
      </c>
      <c r="M37">
        <v>16</v>
      </c>
      <c r="N37">
        <v>13</v>
      </c>
      <c r="O37">
        <v>61</v>
      </c>
      <c r="P37">
        <v>47</v>
      </c>
      <c r="Q37">
        <v>33</v>
      </c>
      <c r="R37">
        <v>58</v>
      </c>
      <c r="S37">
        <v>70</v>
      </c>
      <c r="T37">
        <v>71</v>
      </c>
      <c r="U37">
        <v>100</v>
      </c>
      <c r="V37">
        <v>39</v>
      </c>
      <c r="W37">
        <v>34</v>
      </c>
      <c r="X37">
        <v>27</v>
      </c>
      <c r="Y37">
        <v>25</v>
      </c>
      <c r="Z37">
        <v>20</v>
      </c>
      <c r="AA37">
        <v>21</v>
      </c>
      <c r="AB37">
        <v>17</v>
      </c>
      <c r="AC37">
        <v>19</v>
      </c>
      <c r="AD37">
        <v>15</v>
      </c>
      <c r="AE37">
        <v>18</v>
      </c>
    </row>
    <row r="38" spans="1:31" x14ac:dyDescent="0.3">
      <c r="A38" t="s">
        <v>240</v>
      </c>
      <c r="B38" t="s">
        <v>194</v>
      </c>
      <c r="C38" t="s">
        <v>0</v>
      </c>
      <c r="D38" t="s">
        <v>195</v>
      </c>
      <c r="E38" t="s">
        <v>123</v>
      </c>
      <c r="F38">
        <v>11</v>
      </c>
      <c r="G38">
        <v>15</v>
      </c>
      <c r="H38">
        <v>13</v>
      </c>
      <c r="I38">
        <v>14</v>
      </c>
      <c r="J38">
        <v>18</v>
      </c>
      <c r="K38">
        <v>20</v>
      </c>
      <c r="L38">
        <v>22</v>
      </c>
      <c r="M38">
        <v>22</v>
      </c>
      <c r="N38">
        <v>16</v>
      </c>
      <c r="O38">
        <v>18</v>
      </c>
      <c r="P38">
        <v>17</v>
      </c>
      <c r="Q38">
        <v>21</v>
      </c>
      <c r="R38">
        <v>0</v>
      </c>
      <c r="S38">
        <v>15</v>
      </c>
      <c r="T38">
        <v>0</v>
      </c>
      <c r="U38">
        <v>14</v>
      </c>
      <c r="V38">
        <v>5</v>
      </c>
      <c r="W38">
        <v>16</v>
      </c>
      <c r="X38">
        <v>11</v>
      </c>
      <c r="Y38">
        <v>7</v>
      </c>
      <c r="Z38">
        <v>11</v>
      </c>
      <c r="AA38">
        <v>9</v>
      </c>
      <c r="AB38">
        <v>7</v>
      </c>
      <c r="AC38">
        <v>10</v>
      </c>
      <c r="AD38">
        <v>3</v>
      </c>
      <c r="AE38">
        <v>2</v>
      </c>
    </row>
    <row r="39" spans="1:31" x14ac:dyDescent="0.3">
      <c r="A39" t="s">
        <v>240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31" x14ac:dyDescent="0.3">
      <c r="A40" t="s">
        <v>240</v>
      </c>
      <c r="B40" t="s">
        <v>198</v>
      </c>
      <c r="C40" t="s">
        <v>0</v>
      </c>
      <c r="D40" t="s">
        <v>199</v>
      </c>
      <c r="E40" t="s">
        <v>123</v>
      </c>
      <c r="F40">
        <v>8</v>
      </c>
      <c r="G40">
        <v>14</v>
      </c>
      <c r="H40">
        <v>9</v>
      </c>
      <c r="I40">
        <v>8</v>
      </c>
      <c r="J40">
        <v>10</v>
      </c>
      <c r="K40">
        <v>12</v>
      </c>
      <c r="L40">
        <v>8</v>
      </c>
      <c r="M40">
        <v>17</v>
      </c>
      <c r="N40">
        <v>21</v>
      </c>
      <c r="O40">
        <v>20</v>
      </c>
      <c r="P40">
        <v>31</v>
      </c>
      <c r="Q40">
        <v>34</v>
      </c>
      <c r="R40">
        <v>32</v>
      </c>
      <c r="S40">
        <v>49</v>
      </c>
      <c r="T40">
        <v>55</v>
      </c>
      <c r="U40">
        <v>49</v>
      </c>
      <c r="V40">
        <v>35</v>
      </c>
      <c r="W40">
        <v>49</v>
      </c>
      <c r="X40">
        <v>52</v>
      </c>
      <c r="Y40">
        <v>49</v>
      </c>
      <c r="Z40">
        <v>48</v>
      </c>
      <c r="AA40">
        <v>53</v>
      </c>
      <c r="AB40">
        <v>37</v>
      </c>
      <c r="AC40">
        <v>39</v>
      </c>
      <c r="AD40">
        <v>29</v>
      </c>
      <c r="AE40">
        <v>22</v>
      </c>
    </row>
    <row r="41" spans="1:31" x14ac:dyDescent="0.3">
      <c r="A41" t="s">
        <v>240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240</v>
      </c>
      <c r="B42" t="s">
        <v>202</v>
      </c>
      <c r="C42" t="s">
        <v>0</v>
      </c>
      <c r="D42" t="s">
        <v>203</v>
      </c>
      <c r="E42" t="s">
        <v>123</v>
      </c>
      <c r="F42">
        <v>27</v>
      </c>
      <c r="G42">
        <v>35</v>
      </c>
      <c r="H42">
        <v>56</v>
      </c>
      <c r="I42">
        <v>47</v>
      </c>
      <c r="J42">
        <v>56</v>
      </c>
      <c r="K42">
        <v>55</v>
      </c>
      <c r="L42">
        <v>54</v>
      </c>
      <c r="M42">
        <v>50</v>
      </c>
      <c r="N42">
        <v>53</v>
      </c>
      <c r="O42">
        <v>57</v>
      </c>
      <c r="P42">
        <v>51</v>
      </c>
      <c r="Q42">
        <v>51</v>
      </c>
      <c r="R42">
        <v>65</v>
      </c>
      <c r="S42">
        <v>70</v>
      </c>
      <c r="T42">
        <v>29</v>
      </c>
      <c r="U42">
        <v>42</v>
      </c>
      <c r="V42">
        <v>55</v>
      </c>
      <c r="W42">
        <v>35</v>
      </c>
      <c r="X42">
        <v>28</v>
      </c>
      <c r="Y42">
        <v>27</v>
      </c>
      <c r="Z42">
        <v>20</v>
      </c>
      <c r="AA42">
        <v>24</v>
      </c>
      <c r="AB42">
        <v>20</v>
      </c>
      <c r="AC42">
        <v>18</v>
      </c>
      <c r="AD42">
        <v>18</v>
      </c>
      <c r="AE42">
        <v>13</v>
      </c>
    </row>
    <row r="43" spans="1:31" x14ac:dyDescent="0.3">
      <c r="A43" t="s">
        <v>240</v>
      </c>
      <c r="B43" t="s">
        <v>204</v>
      </c>
      <c r="C43" t="s">
        <v>0</v>
      </c>
      <c r="D43" t="s">
        <v>205</v>
      </c>
      <c r="E43" t="s">
        <v>123</v>
      </c>
      <c r="F43">
        <v>52</v>
      </c>
      <c r="G43">
        <v>75</v>
      </c>
      <c r="H43">
        <v>112</v>
      </c>
      <c r="I43">
        <v>110</v>
      </c>
      <c r="J43">
        <v>115</v>
      </c>
      <c r="K43">
        <v>156</v>
      </c>
      <c r="L43">
        <v>148</v>
      </c>
      <c r="M43">
        <v>172</v>
      </c>
      <c r="N43">
        <v>208</v>
      </c>
      <c r="O43">
        <v>215</v>
      </c>
      <c r="P43">
        <v>212</v>
      </c>
      <c r="Q43">
        <v>351</v>
      </c>
      <c r="R43">
        <v>258</v>
      </c>
      <c r="S43">
        <v>230</v>
      </c>
      <c r="T43">
        <v>152</v>
      </c>
      <c r="U43">
        <v>182</v>
      </c>
      <c r="V43">
        <v>213</v>
      </c>
      <c r="W43">
        <v>217</v>
      </c>
      <c r="X43">
        <v>184</v>
      </c>
      <c r="Y43">
        <v>209</v>
      </c>
      <c r="Z43">
        <v>220</v>
      </c>
      <c r="AA43">
        <v>233</v>
      </c>
      <c r="AB43">
        <v>319</v>
      </c>
      <c r="AC43">
        <v>232</v>
      </c>
      <c r="AD43">
        <v>221</v>
      </c>
      <c r="AE43">
        <v>173</v>
      </c>
    </row>
    <row r="44" spans="1:31" x14ac:dyDescent="0.3">
      <c r="A44" t="s">
        <v>240</v>
      </c>
      <c r="B44" t="s">
        <v>206</v>
      </c>
      <c r="C44" t="s">
        <v>0</v>
      </c>
      <c r="D44" t="s">
        <v>207</v>
      </c>
      <c r="E44" t="s">
        <v>123</v>
      </c>
      <c r="F44">
        <v>1085</v>
      </c>
      <c r="G44">
        <v>1100</v>
      </c>
      <c r="H44">
        <v>1493</v>
      </c>
      <c r="I44">
        <v>1667</v>
      </c>
      <c r="J44">
        <v>1751</v>
      </c>
      <c r="K44">
        <v>1664</v>
      </c>
      <c r="L44">
        <v>1926</v>
      </c>
      <c r="M44">
        <v>1616</v>
      </c>
      <c r="N44">
        <v>1568</v>
      </c>
      <c r="O44">
        <v>2140</v>
      </c>
      <c r="P44">
        <v>2067</v>
      </c>
      <c r="Q44">
        <v>2296</v>
      </c>
      <c r="R44">
        <v>2345</v>
      </c>
      <c r="S44">
        <v>2125</v>
      </c>
      <c r="T44">
        <v>2086</v>
      </c>
      <c r="U44">
        <v>1969</v>
      </c>
      <c r="V44">
        <v>1958</v>
      </c>
      <c r="W44">
        <v>2119</v>
      </c>
      <c r="X44">
        <v>1957</v>
      </c>
      <c r="Y44">
        <v>1659</v>
      </c>
      <c r="Z44">
        <v>1933</v>
      </c>
      <c r="AA44">
        <v>2274</v>
      </c>
      <c r="AB44">
        <v>2110</v>
      </c>
      <c r="AC44">
        <v>1976</v>
      </c>
      <c r="AD44">
        <v>2039</v>
      </c>
      <c r="AE44">
        <v>1599</v>
      </c>
    </row>
    <row r="45" spans="1:31" x14ac:dyDescent="0.3">
      <c r="A45" t="s">
        <v>240</v>
      </c>
      <c r="B45" t="s">
        <v>208</v>
      </c>
      <c r="C45" t="s">
        <v>0</v>
      </c>
      <c r="D45" t="s">
        <v>209</v>
      </c>
      <c r="E45" t="s">
        <v>123</v>
      </c>
      <c r="F45">
        <v>902</v>
      </c>
      <c r="G45">
        <v>929</v>
      </c>
      <c r="H45">
        <v>1293</v>
      </c>
      <c r="I45">
        <v>1479</v>
      </c>
      <c r="J45">
        <v>1532</v>
      </c>
      <c r="K45">
        <v>1424</v>
      </c>
      <c r="L45">
        <v>1678</v>
      </c>
      <c r="M45">
        <v>1339</v>
      </c>
      <c r="N45">
        <v>1293</v>
      </c>
      <c r="O45">
        <v>1877</v>
      </c>
      <c r="P45">
        <v>1819</v>
      </c>
      <c r="Q45">
        <v>2068</v>
      </c>
      <c r="R45">
        <v>2094</v>
      </c>
      <c r="S45">
        <v>1831</v>
      </c>
      <c r="T45">
        <v>1802</v>
      </c>
      <c r="U45">
        <v>1710</v>
      </c>
      <c r="V45">
        <v>1674</v>
      </c>
      <c r="W45">
        <v>1826</v>
      </c>
      <c r="X45">
        <v>1656</v>
      </c>
      <c r="Y45">
        <v>1370</v>
      </c>
      <c r="Z45">
        <v>1661</v>
      </c>
      <c r="AA45">
        <v>2057</v>
      </c>
      <c r="AB45">
        <v>1888</v>
      </c>
      <c r="AC45">
        <v>1751</v>
      </c>
      <c r="AD45">
        <v>1805</v>
      </c>
      <c r="AE45">
        <v>1355</v>
      </c>
    </row>
    <row r="46" spans="1:31" x14ac:dyDescent="0.3">
      <c r="A46" t="s">
        <v>240</v>
      </c>
      <c r="B46" t="s">
        <v>210</v>
      </c>
      <c r="C46" t="s">
        <v>0</v>
      </c>
      <c r="D46" t="s">
        <v>211</v>
      </c>
      <c r="E46" t="s">
        <v>123</v>
      </c>
      <c r="F46">
        <v>25</v>
      </c>
      <c r="G46">
        <v>40</v>
      </c>
      <c r="H46">
        <v>56</v>
      </c>
      <c r="I46">
        <v>63</v>
      </c>
      <c r="J46">
        <v>59</v>
      </c>
      <c r="K46">
        <v>101</v>
      </c>
      <c r="L46">
        <v>94</v>
      </c>
      <c r="M46">
        <v>122</v>
      </c>
      <c r="N46">
        <v>155</v>
      </c>
      <c r="O46">
        <v>158</v>
      </c>
      <c r="P46">
        <v>161</v>
      </c>
      <c r="Q46">
        <v>300</v>
      </c>
      <c r="R46">
        <v>193</v>
      </c>
      <c r="S46">
        <v>160</v>
      </c>
      <c r="T46">
        <v>123</v>
      </c>
      <c r="U46">
        <v>140</v>
      </c>
      <c r="V46">
        <v>158</v>
      </c>
      <c r="W46">
        <v>182</v>
      </c>
      <c r="X46">
        <v>156</v>
      </c>
      <c r="Y46">
        <v>182</v>
      </c>
      <c r="Z46">
        <v>200</v>
      </c>
      <c r="AA46">
        <v>209</v>
      </c>
      <c r="AB46">
        <v>299</v>
      </c>
      <c r="AC46">
        <v>214</v>
      </c>
      <c r="AD46">
        <v>203</v>
      </c>
      <c r="AE46">
        <v>160</v>
      </c>
    </row>
    <row r="47" spans="1:31" x14ac:dyDescent="0.3">
      <c r="A47" t="s">
        <v>240</v>
      </c>
      <c r="B47" t="s">
        <v>212</v>
      </c>
      <c r="C47" t="s">
        <v>0</v>
      </c>
      <c r="D47" t="s">
        <v>213</v>
      </c>
      <c r="E47" t="s">
        <v>123</v>
      </c>
      <c r="F47">
        <v>45</v>
      </c>
      <c r="G47">
        <v>46</v>
      </c>
      <c r="H47">
        <v>33</v>
      </c>
      <c r="I47">
        <v>37</v>
      </c>
      <c r="J47">
        <v>53</v>
      </c>
      <c r="K47">
        <v>63</v>
      </c>
      <c r="L47">
        <v>47</v>
      </c>
      <c r="M47">
        <v>67</v>
      </c>
      <c r="N47">
        <v>60</v>
      </c>
      <c r="O47">
        <v>61</v>
      </c>
      <c r="P47">
        <v>77</v>
      </c>
      <c r="Q47">
        <v>59</v>
      </c>
      <c r="R47">
        <v>45</v>
      </c>
      <c r="S47">
        <v>57</v>
      </c>
      <c r="T47">
        <v>54</v>
      </c>
      <c r="U47">
        <v>98</v>
      </c>
      <c r="V47">
        <v>94</v>
      </c>
      <c r="W47">
        <v>102</v>
      </c>
      <c r="X47">
        <v>104</v>
      </c>
      <c r="Y47">
        <v>87</v>
      </c>
      <c r="Z47">
        <v>109</v>
      </c>
      <c r="AA47">
        <v>111</v>
      </c>
      <c r="AB47">
        <v>89</v>
      </c>
      <c r="AC47">
        <v>78</v>
      </c>
      <c r="AD47">
        <v>85</v>
      </c>
      <c r="AE47">
        <v>117</v>
      </c>
    </row>
    <row r="48" spans="1:31" x14ac:dyDescent="0.3">
      <c r="A48" t="s">
        <v>240</v>
      </c>
      <c r="B48" t="s">
        <v>214</v>
      </c>
      <c r="C48" t="s">
        <v>0</v>
      </c>
      <c r="D48" t="s">
        <v>215</v>
      </c>
      <c r="E48" t="s">
        <v>123</v>
      </c>
      <c r="F48">
        <v>69</v>
      </c>
      <c r="G48">
        <v>67</v>
      </c>
      <c r="H48">
        <v>53</v>
      </c>
      <c r="I48">
        <v>62</v>
      </c>
      <c r="J48">
        <v>77</v>
      </c>
      <c r="K48">
        <v>91</v>
      </c>
      <c r="L48">
        <v>72</v>
      </c>
      <c r="M48">
        <v>99</v>
      </c>
      <c r="N48">
        <v>98</v>
      </c>
      <c r="O48">
        <v>109</v>
      </c>
      <c r="P48">
        <v>127</v>
      </c>
      <c r="Q48">
        <v>110</v>
      </c>
      <c r="R48">
        <v>111</v>
      </c>
      <c r="S48">
        <v>117</v>
      </c>
      <c r="T48">
        <v>112</v>
      </c>
      <c r="U48">
        <v>159</v>
      </c>
      <c r="V48">
        <v>153</v>
      </c>
      <c r="W48">
        <v>158</v>
      </c>
      <c r="X48">
        <v>153</v>
      </c>
      <c r="Y48">
        <v>132</v>
      </c>
      <c r="Z48">
        <v>161</v>
      </c>
      <c r="AA48">
        <v>152</v>
      </c>
      <c r="AB48">
        <v>119</v>
      </c>
      <c r="AC48">
        <v>107</v>
      </c>
      <c r="AD48">
        <v>114</v>
      </c>
      <c r="AE48">
        <v>140</v>
      </c>
    </row>
    <row r="49" spans="1:31" x14ac:dyDescent="0.3">
      <c r="A49" t="s">
        <v>240</v>
      </c>
      <c r="B49" t="s">
        <v>216</v>
      </c>
      <c r="C49" t="s">
        <v>0</v>
      </c>
      <c r="D49" t="s">
        <v>217</v>
      </c>
      <c r="E49" t="s">
        <v>123</v>
      </c>
      <c r="F49">
        <v>18</v>
      </c>
      <c r="G49">
        <v>14</v>
      </c>
      <c r="H49">
        <v>13</v>
      </c>
      <c r="I49">
        <v>15</v>
      </c>
      <c r="J49">
        <v>15</v>
      </c>
      <c r="K49">
        <v>18</v>
      </c>
      <c r="L49">
        <v>14</v>
      </c>
      <c r="M49">
        <v>19</v>
      </c>
      <c r="N49">
        <v>17</v>
      </c>
      <c r="O49">
        <v>19</v>
      </c>
      <c r="P49">
        <v>19</v>
      </c>
      <c r="Q49">
        <v>18</v>
      </c>
      <c r="R49">
        <v>21</v>
      </c>
      <c r="S49">
        <v>22</v>
      </c>
      <c r="T49">
        <v>22</v>
      </c>
      <c r="U49">
        <v>18</v>
      </c>
      <c r="V49">
        <v>17</v>
      </c>
      <c r="W49">
        <v>18</v>
      </c>
      <c r="X49">
        <v>14</v>
      </c>
      <c r="Y49">
        <v>15</v>
      </c>
      <c r="Z49">
        <v>19</v>
      </c>
      <c r="AA49">
        <v>13</v>
      </c>
      <c r="AB49">
        <v>10</v>
      </c>
      <c r="AC49">
        <v>9</v>
      </c>
      <c r="AD49">
        <v>9</v>
      </c>
      <c r="AE49">
        <v>10</v>
      </c>
    </row>
    <row r="50" spans="1:31" x14ac:dyDescent="0.3">
      <c r="A50" t="s">
        <v>240</v>
      </c>
      <c r="B50" t="s">
        <v>218</v>
      </c>
      <c r="C50" t="s">
        <v>0</v>
      </c>
      <c r="D50" t="s">
        <v>219</v>
      </c>
      <c r="E50" t="s">
        <v>123</v>
      </c>
      <c r="F50">
        <v>6</v>
      </c>
      <c r="G50">
        <v>7</v>
      </c>
      <c r="H50">
        <v>7</v>
      </c>
      <c r="I50">
        <v>10</v>
      </c>
      <c r="J50">
        <v>9</v>
      </c>
      <c r="K50">
        <v>10</v>
      </c>
      <c r="L50">
        <v>11</v>
      </c>
      <c r="M50">
        <v>13</v>
      </c>
      <c r="N50">
        <v>21</v>
      </c>
      <c r="O50">
        <v>29</v>
      </c>
      <c r="P50">
        <v>31</v>
      </c>
      <c r="Q50">
        <v>33</v>
      </c>
      <c r="R50">
        <v>45</v>
      </c>
      <c r="S50">
        <v>38</v>
      </c>
      <c r="T50">
        <v>36</v>
      </c>
      <c r="U50">
        <v>43</v>
      </c>
      <c r="V50">
        <v>42</v>
      </c>
      <c r="W50">
        <v>38</v>
      </c>
      <c r="X50">
        <v>35</v>
      </c>
      <c r="Y50">
        <v>30</v>
      </c>
      <c r="Z50">
        <v>33</v>
      </c>
      <c r="AA50">
        <v>28</v>
      </c>
      <c r="AB50">
        <v>20</v>
      </c>
      <c r="AC50">
        <v>20</v>
      </c>
      <c r="AD50">
        <v>20</v>
      </c>
      <c r="AE50">
        <v>13</v>
      </c>
    </row>
    <row r="51" spans="1:31" x14ac:dyDescent="0.3">
      <c r="A51" t="s">
        <v>240</v>
      </c>
      <c r="B51" t="s">
        <v>220</v>
      </c>
      <c r="C51" t="s">
        <v>0</v>
      </c>
      <c r="D51" t="s">
        <v>221</v>
      </c>
      <c r="E51" t="s">
        <v>123</v>
      </c>
      <c r="F51">
        <v>5</v>
      </c>
      <c r="G51">
        <v>5</v>
      </c>
      <c r="H51">
        <v>6</v>
      </c>
      <c r="I51">
        <v>7</v>
      </c>
      <c r="J51">
        <v>7</v>
      </c>
      <c r="K51">
        <v>7</v>
      </c>
      <c r="L51">
        <v>7</v>
      </c>
      <c r="M51">
        <v>8</v>
      </c>
      <c r="N51">
        <v>14</v>
      </c>
      <c r="O51">
        <v>19</v>
      </c>
      <c r="P51">
        <v>20</v>
      </c>
      <c r="Q51">
        <v>20</v>
      </c>
      <c r="R51">
        <v>28</v>
      </c>
      <c r="S51">
        <v>24</v>
      </c>
      <c r="T51">
        <v>25</v>
      </c>
      <c r="U51">
        <v>29</v>
      </c>
      <c r="V51">
        <v>28</v>
      </c>
      <c r="W51">
        <v>24</v>
      </c>
      <c r="X51">
        <v>24</v>
      </c>
      <c r="Y51">
        <v>20</v>
      </c>
      <c r="Z51">
        <v>22</v>
      </c>
      <c r="AA51">
        <v>18</v>
      </c>
      <c r="AB51">
        <v>16</v>
      </c>
      <c r="AC51">
        <v>12</v>
      </c>
      <c r="AD51">
        <v>11</v>
      </c>
      <c r="AE51">
        <v>8</v>
      </c>
    </row>
    <row r="52" spans="1:31" x14ac:dyDescent="0.3">
      <c r="A52" t="s">
        <v>240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2</v>
      </c>
      <c r="H52">
        <v>1</v>
      </c>
      <c r="I52">
        <v>3</v>
      </c>
      <c r="J52">
        <v>2</v>
      </c>
      <c r="K52">
        <v>3</v>
      </c>
      <c r="L52">
        <v>4</v>
      </c>
      <c r="M52">
        <v>5</v>
      </c>
      <c r="N52">
        <v>7</v>
      </c>
      <c r="O52">
        <v>10</v>
      </c>
      <c r="P52">
        <v>11</v>
      </c>
      <c r="Q52">
        <v>13</v>
      </c>
      <c r="R52">
        <v>17</v>
      </c>
      <c r="S52">
        <v>14</v>
      </c>
      <c r="T52">
        <v>11</v>
      </c>
      <c r="U52">
        <v>14</v>
      </c>
      <c r="V52">
        <v>14</v>
      </c>
      <c r="W52">
        <v>14</v>
      </c>
      <c r="X52">
        <v>11</v>
      </c>
      <c r="Y52">
        <v>10</v>
      </c>
      <c r="Z52">
        <v>11</v>
      </c>
      <c r="AA52">
        <v>10</v>
      </c>
      <c r="AB52">
        <v>4</v>
      </c>
      <c r="AC52">
        <v>8</v>
      </c>
      <c r="AD52">
        <v>9</v>
      </c>
      <c r="AE52">
        <v>5</v>
      </c>
    </row>
    <row r="53" spans="1:31" x14ac:dyDescent="0.3">
      <c r="A53" t="s">
        <v>240</v>
      </c>
      <c r="B53" t="s">
        <v>224</v>
      </c>
      <c r="C53" t="s">
        <v>0</v>
      </c>
      <c r="D53" t="s">
        <v>225</v>
      </c>
      <c r="E53" t="s">
        <v>123</v>
      </c>
      <c r="F53">
        <v>4</v>
      </c>
      <c r="G53">
        <v>9</v>
      </c>
      <c r="H53">
        <v>10</v>
      </c>
      <c r="I53">
        <v>12</v>
      </c>
      <c r="J53">
        <v>13</v>
      </c>
      <c r="K53">
        <v>13</v>
      </c>
      <c r="L53">
        <v>13</v>
      </c>
      <c r="M53">
        <v>13</v>
      </c>
      <c r="N53">
        <v>21</v>
      </c>
      <c r="O53">
        <v>25</v>
      </c>
      <c r="P53">
        <v>28</v>
      </c>
      <c r="Q53">
        <v>28</v>
      </c>
      <c r="R53">
        <v>38</v>
      </c>
      <c r="S53">
        <v>28</v>
      </c>
      <c r="T53">
        <v>29</v>
      </c>
      <c r="U53">
        <v>19</v>
      </c>
      <c r="V53">
        <v>27</v>
      </c>
      <c r="W53">
        <v>26</v>
      </c>
      <c r="X53">
        <v>24</v>
      </c>
      <c r="Y53">
        <v>20</v>
      </c>
      <c r="Z53">
        <v>19</v>
      </c>
      <c r="AA53">
        <v>22</v>
      </c>
      <c r="AB53">
        <v>17</v>
      </c>
      <c r="AC53">
        <v>14</v>
      </c>
      <c r="AD53">
        <v>10</v>
      </c>
      <c r="AE53">
        <v>9</v>
      </c>
    </row>
    <row r="54" spans="1:31" x14ac:dyDescent="0.3">
      <c r="A54" t="s">
        <v>240</v>
      </c>
      <c r="B54" t="s">
        <v>226</v>
      </c>
      <c r="C54" t="s">
        <v>0</v>
      </c>
      <c r="D54" t="s">
        <v>227</v>
      </c>
      <c r="E54" t="s">
        <v>123</v>
      </c>
      <c r="F54">
        <v>13</v>
      </c>
      <c r="G54">
        <v>17</v>
      </c>
      <c r="H54">
        <v>18</v>
      </c>
      <c r="I54">
        <v>23</v>
      </c>
      <c r="J54">
        <v>25</v>
      </c>
      <c r="K54">
        <v>25</v>
      </c>
      <c r="L54">
        <v>26</v>
      </c>
      <c r="M54">
        <v>28</v>
      </c>
      <c r="N54">
        <v>34</v>
      </c>
      <c r="O54">
        <v>42</v>
      </c>
      <c r="P54">
        <v>47</v>
      </c>
      <c r="Q54">
        <v>42</v>
      </c>
      <c r="R54">
        <v>54</v>
      </c>
      <c r="S54">
        <v>43</v>
      </c>
      <c r="T54">
        <v>45</v>
      </c>
      <c r="U54">
        <v>35</v>
      </c>
      <c r="V54">
        <v>37</v>
      </c>
      <c r="W54">
        <v>35</v>
      </c>
      <c r="X54">
        <v>27</v>
      </c>
      <c r="Y54">
        <v>23</v>
      </c>
      <c r="Z54">
        <v>25</v>
      </c>
      <c r="AA54">
        <v>27</v>
      </c>
      <c r="AB54">
        <v>20</v>
      </c>
      <c r="AC54">
        <v>16</v>
      </c>
      <c r="AD54">
        <v>12</v>
      </c>
      <c r="AE54">
        <v>10</v>
      </c>
    </row>
    <row r="55" spans="1:31" x14ac:dyDescent="0.3">
      <c r="A55" t="s">
        <v>240</v>
      </c>
      <c r="B55" t="s">
        <v>228</v>
      </c>
      <c r="C55" t="s">
        <v>0</v>
      </c>
      <c r="D55" t="s">
        <v>229</v>
      </c>
      <c r="E55" t="s">
        <v>123</v>
      </c>
      <c r="F55">
        <v>9</v>
      </c>
      <c r="G55">
        <v>8</v>
      </c>
      <c r="H55">
        <v>8</v>
      </c>
      <c r="I55">
        <v>11</v>
      </c>
      <c r="J55">
        <v>12</v>
      </c>
      <c r="K55">
        <v>12</v>
      </c>
      <c r="L55">
        <v>13</v>
      </c>
      <c r="M55">
        <v>15</v>
      </c>
      <c r="N55">
        <v>13</v>
      </c>
      <c r="O55">
        <v>17</v>
      </c>
      <c r="P55">
        <v>19</v>
      </c>
      <c r="Q55">
        <v>14</v>
      </c>
      <c r="R55">
        <v>16</v>
      </c>
      <c r="S55">
        <v>15</v>
      </c>
      <c r="T55">
        <v>16</v>
      </c>
      <c r="U55">
        <v>16</v>
      </c>
      <c r="V55">
        <v>10</v>
      </c>
      <c r="W55">
        <v>9</v>
      </c>
      <c r="X55">
        <v>3</v>
      </c>
      <c r="Y55">
        <v>3</v>
      </c>
      <c r="Z55">
        <v>6</v>
      </c>
      <c r="AA55">
        <v>5</v>
      </c>
      <c r="AB55">
        <v>3</v>
      </c>
      <c r="AC55">
        <v>2</v>
      </c>
      <c r="AD55">
        <v>2</v>
      </c>
      <c r="AE55">
        <v>1</v>
      </c>
    </row>
    <row r="56" spans="1:31" x14ac:dyDescent="0.3">
      <c r="A56" t="s">
        <v>240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240</v>
      </c>
      <c r="B57" t="s">
        <v>232</v>
      </c>
      <c r="C57" t="s">
        <v>0</v>
      </c>
      <c r="D57" t="s">
        <v>233</v>
      </c>
      <c r="E57" t="s">
        <v>123</v>
      </c>
      <c r="F57">
        <v>1162</v>
      </c>
      <c r="G57">
        <v>1181</v>
      </c>
      <c r="H57">
        <v>1555</v>
      </c>
      <c r="I57">
        <v>1737</v>
      </c>
      <c r="J57">
        <v>1838</v>
      </c>
      <c r="K57">
        <v>1767</v>
      </c>
      <c r="L57">
        <v>2006</v>
      </c>
      <c r="M57">
        <v>1732</v>
      </c>
      <c r="N57">
        <v>1687</v>
      </c>
      <c r="O57">
        <v>2269</v>
      </c>
      <c r="P57">
        <v>2225</v>
      </c>
      <c r="Q57">
        <v>2440</v>
      </c>
      <c r="R57">
        <v>2488</v>
      </c>
      <c r="S57">
        <v>2291</v>
      </c>
      <c r="T57">
        <v>2253</v>
      </c>
      <c r="U57">
        <v>2177</v>
      </c>
      <c r="V57">
        <v>2146</v>
      </c>
      <c r="W57">
        <v>2326</v>
      </c>
      <c r="X57">
        <v>2162</v>
      </c>
      <c r="Y57">
        <v>1840</v>
      </c>
      <c r="Z57">
        <v>2142</v>
      </c>
      <c r="AA57">
        <v>2479</v>
      </c>
      <c r="AB57">
        <v>2266</v>
      </c>
      <c r="AC57">
        <v>2122</v>
      </c>
      <c r="AD57">
        <v>2182</v>
      </c>
      <c r="AE57">
        <v>1761</v>
      </c>
    </row>
    <row r="58" spans="1:31" x14ac:dyDescent="0.3">
      <c r="A58" t="s">
        <v>240</v>
      </c>
      <c r="B58" t="s">
        <v>234</v>
      </c>
      <c r="C58" t="s">
        <v>0</v>
      </c>
      <c r="D58" t="s">
        <v>235</v>
      </c>
      <c r="E58" t="s">
        <v>123</v>
      </c>
      <c r="F58">
        <v>1162</v>
      </c>
      <c r="G58">
        <v>1181</v>
      </c>
      <c r="H58">
        <v>1555</v>
      </c>
      <c r="I58">
        <v>1737</v>
      </c>
      <c r="J58">
        <v>1838</v>
      </c>
      <c r="K58">
        <v>1767</v>
      </c>
      <c r="L58">
        <v>2006</v>
      </c>
      <c r="M58">
        <v>1732</v>
      </c>
      <c r="N58">
        <v>1687</v>
      </c>
      <c r="O58">
        <v>2269</v>
      </c>
      <c r="P58">
        <v>2225</v>
      </c>
      <c r="Q58">
        <v>2440</v>
      </c>
      <c r="R58">
        <v>2488</v>
      </c>
      <c r="S58">
        <v>2291</v>
      </c>
      <c r="T58">
        <v>2253</v>
      </c>
      <c r="U58">
        <v>2177</v>
      </c>
      <c r="V58">
        <v>2146</v>
      </c>
      <c r="W58">
        <v>2326</v>
      </c>
      <c r="X58">
        <v>2162</v>
      </c>
      <c r="Y58">
        <v>1840</v>
      </c>
      <c r="Z58">
        <v>2142</v>
      </c>
      <c r="AA58">
        <v>2479</v>
      </c>
      <c r="AB58">
        <v>2266</v>
      </c>
      <c r="AC58">
        <v>2122</v>
      </c>
      <c r="AD58">
        <v>2182</v>
      </c>
      <c r="AE58">
        <v>1761</v>
      </c>
    </row>
    <row r="59" spans="1:31" x14ac:dyDescent="0.3">
      <c r="A59" t="s">
        <v>240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241</v>
      </c>
      <c r="B2" t="s">
        <v>121</v>
      </c>
      <c r="C2" t="s">
        <v>0</v>
      </c>
      <c r="D2" t="s">
        <v>122</v>
      </c>
      <c r="E2" t="s">
        <v>123</v>
      </c>
      <c r="F2">
        <v>263</v>
      </c>
      <c r="G2">
        <v>229</v>
      </c>
      <c r="H2">
        <v>310</v>
      </c>
      <c r="I2">
        <v>309</v>
      </c>
      <c r="J2">
        <v>325</v>
      </c>
      <c r="K2">
        <v>303</v>
      </c>
      <c r="L2">
        <v>320</v>
      </c>
      <c r="M2">
        <v>350</v>
      </c>
      <c r="N2">
        <v>365</v>
      </c>
      <c r="O2">
        <v>361</v>
      </c>
      <c r="P2">
        <v>348</v>
      </c>
      <c r="Q2">
        <v>381</v>
      </c>
      <c r="R2">
        <v>437</v>
      </c>
      <c r="S2">
        <v>379</v>
      </c>
      <c r="T2">
        <v>376</v>
      </c>
      <c r="U2">
        <v>345</v>
      </c>
      <c r="V2">
        <v>394</v>
      </c>
      <c r="W2">
        <v>378</v>
      </c>
      <c r="X2">
        <v>388</v>
      </c>
      <c r="Y2">
        <v>377</v>
      </c>
      <c r="Z2">
        <v>354</v>
      </c>
      <c r="AA2">
        <v>313</v>
      </c>
      <c r="AB2">
        <v>350</v>
      </c>
      <c r="AC2">
        <v>446</v>
      </c>
      <c r="AD2">
        <v>450</v>
      </c>
      <c r="AE2">
        <v>352</v>
      </c>
    </row>
    <row r="3" spans="1:31" x14ac:dyDescent="0.3">
      <c r="A3" t="s">
        <v>241</v>
      </c>
      <c r="B3" t="s">
        <v>124</v>
      </c>
      <c r="C3" t="s">
        <v>0</v>
      </c>
      <c r="D3" t="s">
        <v>125</v>
      </c>
      <c r="E3" t="s">
        <v>123</v>
      </c>
      <c r="F3">
        <v>37</v>
      </c>
      <c r="G3">
        <v>38</v>
      </c>
      <c r="H3">
        <v>22</v>
      </c>
      <c r="I3">
        <v>40</v>
      </c>
      <c r="J3">
        <v>43</v>
      </c>
      <c r="K3">
        <v>32</v>
      </c>
      <c r="L3">
        <v>57</v>
      </c>
      <c r="M3">
        <v>53</v>
      </c>
      <c r="N3">
        <v>87</v>
      </c>
      <c r="O3">
        <v>51</v>
      </c>
      <c r="P3">
        <v>57</v>
      </c>
      <c r="Q3">
        <v>74</v>
      </c>
      <c r="R3">
        <v>69</v>
      </c>
      <c r="S3">
        <v>366</v>
      </c>
      <c r="T3">
        <v>147</v>
      </c>
      <c r="U3">
        <v>106</v>
      </c>
      <c r="V3">
        <v>182</v>
      </c>
      <c r="W3">
        <v>163</v>
      </c>
      <c r="X3">
        <v>153</v>
      </c>
      <c r="Y3">
        <v>133</v>
      </c>
      <c r="Z3">
        <v>132</v>
      </c>
      <c r="AA3">
        <v>102</v>
      </c>
      <c r="AB3">
        <v>103</v>
      </c>
      <c r="AC3">
        <v>121</v>
      </c>
      <c r="AD3">
        <v>93</v>
      </c>
      <c r="AE3">
        <v>217</v>
      </c>
    </row>
    <row r="4" spans="1:31" x14ac:dyDescent="0.3">
      <c r="A4" t="s">
        <v>241</v>
      </c>
      <c r="B4" t="s">
        <v>126</v>
      </c>
      <c r="C4" t="s">
        <v>0</v>
      </c>
      <c r="D4" t="s">
        <v>127</v>
      </c>
      <c r="E4" t="s">
        <v>123</v>
      </c>
      <c r="F4">
        <v>2034</v>
      </c>
      <c r="G4">
        <v>2544</v>
      </c>
      <c r="H4">
        <v>2599</v>
      </c>
      <c r="I4">
        <v>2734</v>
      </c>
      <c r="J4">
        <v>2343</v>
      </c>
      <c r="K4">
        <v>2438</v>
      </c>
      <c r="L4">
        <v>3170</v>
      </c>
      <c r="M4">
        <v>2456</v>
      </c>
      <c r="N4">
        <v>2334</v>
      </c>
      <c r="O4">
        <v>2151</v>
      </c>
      <c r="P4">
        <v>2180</v>
      </c>
      <c r="Q4">
        <v>1902</v>
      </c>
      <c r="R4">
        <v>2553</v>
      </c>
      <c r="S4">
        <v>2238</v>
      </c>
      <c r="T4">
        <v>1718</v>
      </c>
      <c r="U4">
        <v>1359</v>
      </c>
      <c r="V4">
        <v>1458</v>
      </c>
      <c r="W4">
        <v>1745</v>
      </c>
      <c r="X4">
        <v>1574</v>
      </c>
      <c r="Y4">
        <v>1463</v>
      </c>
      <c r="Z4">
        <v>1835</v>
      </c>
      <c r="AA4">
        <v>2088</v>
      </c>
      <c r="AB4">
        <v>2945</v>
      </c>
      <c r="AC4">
        <v>2255</v>
      </c>
      <c r="AD4">
        <v>2149</v>
      </c>
      <c r="AE4">
        <v>1956</v>
      </c>
    </row>
    <row r="5" spans="1:31" x14ac:dyDescent="0.3">
      <c r="A5" t="s">
        <v>241</v>
      </c>
      <c r="B5" t="s">
        <v>128</v>
      </c>
      <c r="C5" t="s">
        <v>0</v>
      </c>
      <c r="D5" t="s">
        <v>129</v>
      </c>
      <c r="E5" t="s">
        <v>123</v>
      </c>
      <c r="F5">
        <v>179</v>
      </c>
      <c r="G5">
        <v>192</v>
      </c>
      <c r="H5">
        <v>183</v>
      </c>
      <c r="I5">
        <v>219</v>
      </c>
      <c r="J5">
        <v>201</v>
      </c>
      <c r="K5">
        <v>188</v>
      </c>
      <c r="L5">
        <v>233</v>
      </c>
      <c r="M5">
        <v>256</v>
      </c>
      <c r="N5">
        <v>263</v>
      </c>
      <c r="O5">
        <v>196</v>
      </c>
      <c r="P5">
        <v>208</v>
      </c>
      <c r="Q5">
        <v>185</v>
      </c>
      <c r="R5">
        <v>232</v>
      </c>
      <c r="S5">
        <v>243</v>
      </c>
      <c r="T5">
        <v>220</v>
      </c>
      <c r="U5">
        <v>168</v>
      </c>
      <c r="V5">
        <v>164</v>
      </c>
      <c r="W5">
        <v>165</v>
      </c>
      <c r="X5">
        <v>203</v>
      </c>
      <c r="Y5">
        <v>216</v>
      </c>
      <c r="Z5">
        <v>209</v>
      </c>
      <c r="AA5">
        <v>200</v>
      </c>
      <c r="AB5">
        <v>350</v>
      </c>
      <c r="AC5">
        <v>243</v>
      </c>
      <c r="AD5">
        <v>208</v>
      </c>
      <c r="AE5">
        <v>213</v>
      </c>
    </row>
    <row r="6" spans="1:31" x14ac:dyDescent="0.3">
      <c r="A6" t="s">
        <v>241</v>
      </c>
      <c r="B6" t="s">
        <v>130</v>
      </c>
      <c r="C6" t="s">
        <v>0</v>
      </c>
      <c r="D6" t="s">
        <v>131</v>
      </c>
      <c r="E6" t="s">
        <v>123</v>
      </c>
      <c r="F6">
        <v>35</v>
      </c>
      <c r="G6">
        <v>27</v>
      </c>
      <c r="H6">
        <v>38</v>
      </c>
      <c r="I6">
        <v>35</v>
      </c>
      <c r="J6">
        <v>25</v>
      </c>
      <c r="K6">
        <v>29</v>
      </c>
      <c r="L6">
        <v>37</v>
      </c>
      <c r="M6">
        <v>36</v>
      </c>
      <c r="N6">
        <v>26</v>
      </c>
      <c r="O6">
        <v>24</v>
      </c>
      <c r="P6">
        <v>28</v>
      </c>
      <c r="Q6">
        <v>24</v>
      </c>
      <c r="R6">
        <v>30</v>
      </c>
      <c r="S6">
        <v>16</v>
      </c>
      <c r="T6">
        <v>11</v>
      </c>
      <c r="U6">
        <v>13</v>
      </c>
      <c r="V6">
        <v>15</v>
      </c>
      <c r="W6">
        <v>11</v>
      </c>
      <c r="X6">
        <v>7</v>
      </c>
      <c r="Y6">
        <v>11</v>
      </c>
      <c r="Z6">
        <v>16</v>
      </c>
      <c r="AA6">
        <v>34</v>
      </c>
      <c r="AB6">
        <v>23</v>
      </c>
      <c r="AC6">
        <v>21</v>
      </c>
      <c r="AD6">
        <v>31</v>
      </c>
      <c r="AE6">
        <v>37</v>
      </c>
    </row>
    <row r="7" spans="1:31" x14ac:dyDescent="0.3">
      <c r="A7" t="s">
        <v>241</v>
      </c>
      <c r="B7" t="s">
        <v>132</v>
      </c>
      <c r="C7" t="s">
        <v>0</v>
      </c>
      <c r="D7" t="s">
        <v>133</v>
      </c>
      <c r="E7" t="s">
        <v>123</v>
      </c>
      <c r="F7">
        <v>632</v>
      </c>
      <c r="G7">
        <v>1257</v>
      </c>
      <c r="H7">
        <v>904</v>
      </c>
      <c r="I7">
        <v>1051</v>
      </c>
      <c r="J7">
        <v>774</v>
      </c>
      <c r="K7">
        <v>758</v>
      </c>
      <c r="L7">
        <v>1369</v>
      </c>
      <c r="M7">
        <v>654</v>
      </c>
      <c r="N7">
        <v>848</v>
      </c>
      <c r="O7">
        <v>610</v>
      </c>
      <c r="P7">
        <v>642</v>
      </c>
      <c r="Q7">
        <v>588</v>
      </c>
      <c r="R7">
        <v>550</v>
      </c>
      <c r="S7">
        <v>731</v>
      </c>
      <c r="T7">
        <v>251</v>
      </c>
      <c r="U7">
        <v>285</v>
      </c>
      <c r="V7">
        <v>354</v>
      </c>
      <c r="W7">
        <v>376</v>
      </c>
      <c r="X7">
        <v>458</v>
      </c>
      <c r="Y7">
        <v>326</v>
      </c>
      <c r="Z7">
        <v>405</v>
      </c>
      <c r="AA7">
        <v>738</v>
      </c>
      <c r="AB7">
        <v>922</v>
      </c>
      <c r="AC7">
        <v>502</v>
      </c>
      <c r="AD7">
        <v>530</v>
      </c>
      <c r="AE7">
        <v>458</v>
      </c>
    </row>
    <row r="8" spans="1:31" x14ac:dyDescent="0.3">
      <c r="A8" t="s">
        <v>241</v>
      </c>
      <c r="B8" t="s">
        <v>134</v>
      </c>
      <c r="C8" t="s">
        <v>0</v>
      </c>
      <c r="D8" t="s">
        <v>135</v>
      </c>
      <c r="E8" t="s">
        <v>123</v>
      </c>
      <c r="F8">
        <v>26</v>
      </c>
      <c r="G8">
        <v>26</v>
      </c>
      <c r="H8">
        <v>107</v>
      </c>
      <c r="I8">
        <v>19</v>
      </c>
      <c r="J8">
        <v>45</v>
      </c>
      <c r="K8">
        <v>24</v>
      </c>
      <c r="L8">
        <v>86</v>
      </c>
      <c r="M8">
        <v>14</v>
      </c>
      <c r="N8">
        <v>53</v>
      </c>
      <c r="O8">
        <v>24</v>
      </c>
      <c r="P8">
        <v>134</v>
      </c>
      <c r="Q8">
        <v>169</v>
      </c>
      <c r="R8">
        <v>569</v>
      </c>
      <c r="S8">
        <v>36</v>
      </c>
      <c r="T8">
        <v>28</v>
      </c>
      <c r="U8">
        <v>80</v>
      </c>
      <c r="V8">
        <v>30</v>
      </c>
      <c r="W8">
        <v>69</v>
      </c>
      <c r="X8">
        <v>55</v>
      </c>
      <c r="Y8">
        <v>61</v>
      </c>
      <c r="Z8">
        <v>194</v>
      </c>
      <c r="AA8">
        <v>65</v>
      </c>
      <c r="AB8">
        <v>469</v>
      </c>
      <c r="AC8">
        <v>134</v>
      </c>
      <c r="AD8">
        <v>49</v>
      </c>
      <c r="AE8">
        <v>60</v>
      </c>
    </row>
    <row r="9" spans="1:31" x14ac:dyDescent="0.3">
      <c r="A9" t="s">
        <v>241</v>
      </c>
      <c r="B9" t="s">
        <v>136</v>
      </c>
      <c r="C9" t="s">
        <v>0</v>
      </c>
      <c r="D9" t="s">
        <v>137</v>
      </c>
      <c r="E9" t="s">
        <v>123</v>
      </c>
      <c r="F9">
        <v>219</v>
      </c>
      <c r="G9">
        <v>120</v>
      </c>
      <c r="H9">
        <v>208</v>
      </c>
      <c r="I9">
        <v>172</v>
      </c>
      <c r="J9">
        <v>180</v>
      </c>
      <c r="K9">
        <v>126</v>
      </c>
      <c r="L9">
        <v>155</v>
      </c>
      <c r="M9">
        <v>237</v>
      </c>
      <c r="N9">
        <v>149</v>
      </c>
      <c r="O9">
        <v>154</v>
      </c>
      <c r="P9">
        <v>134</v>
      </c>
      <c r="Q9">
        <v>123</v>
      </c>
      <c r="R9">
        <v>237</v>
      </c>
      <c r="S9">
        <v>188</v>
      </c>
      <c r="T9">
        <v>188</v>
      </c>
      <c r="U9">
        <v>72</v>
      </c>
      <c r="V9">
        <v>118</v>
      </c>
      <c r="W9">
        <v>141</v>
      </c>
      <c r="X9">
        <v>179</v>
      </c>
      <c r="Y9">
        <v>120</v>
      </c>
      <c r="Z9">
        <v>152</v>
      </c>
      <c r="AA9">
        <v>176</v>
      </c>
      <c r="AB9">
        <v>239</v>
      </c>
      <c r="AC9">
        <v>201</v>
      </c>
      <c r="AD9">
        <v>172</v>
      </c>
      <c r="AE9">
        <v>160</v>
      </c>
    </row>
    <row r="10" spans="1:31" x14ac:dyDescent="0.3">
      <c r="A10" t="s">
        <v>241</v>
      </c>
      <c r="B10" t="s">
        <v>138</v>
      </c>
      <c r="C10" t="s">
        <v>0</v>
      </c>
      <c r="D10" t="s">
        <v>139</v>
      </c>
      <c r="E10" t="s">
        <v>123</v>
      </c>
      <c r="F10">
        <v>240</v>
      </c>
      <c r="G10">
        <v>136</v>
      </c>
      <c r="H10">
        <v>225</v>
      </c>
      <c r="I10">
        <v>196</v>
      </c>
      <c r="J10">
        <v>198</v>
      </c>
      <c r="K10">
        <v>149</v>
      </c>
      <c r="L10">
        <v>165</v>
      </c>
      <c r="M10">
        <v>275</v>
      </c>
      <c r="N10">
        <v>167</v>
      </c>
      <c r="O10">
        <v>169</v>
      </c>
      <c r="P10">
        <v>148</v>
      </c>
      <c r="Q10">
        <v>136</v>
      </c>
      <c r="R10">
        <v>255</v>
      </c>
      <c r="S10">
        <v>203</v>
      </c>
      <c r="T10">
        <v>219</v>
      </c>
      <c r="U10">
        <v>96</v>
      </c>
      <c r="V10">
        <v>137</v>
      </c>
      <c r="W10">
        <v>167</v>
      </c>
      <c r="X10">
        <v>216</v>
      </c>
      <c r="Y10">
        <v>147</v>
      </c>
      <c r="Z10">
        <v>175</v>
      </c>
      <c r="AA10">
        <v>197</v>
      </c>
      <c r="AB10">
        <v>257</v>
      </c>
      <c r="AC10">
        <v>228</v>
      </c>
      <c r="AD10">
        <v>199</v>
      </c>
      <c r="AE10">
        <v>175</v>
      </c>
    </row>
    <row r="11" spans="1:31" x14ac:dyDescent="0.3">
      <c r="A11" t="s">
        <v>241</v>
      </c>
      <c r="B11" t="s">
        <v>140</v>
      </c>
      <c r="C11" t="s">
        <v>0</v>
      </c>
      <c r="D11" t="s">
        <v>141</v>
      </c>
      <c r="E11" t="s">
        <v>123</v>
      </c>
      <c r="F11">
        <v>21</v>
      </c>
      <c r="G11">
        <v>16</v>
      </c>
      <c r="H11">
        <v>17</v>
      </c>
      <c r="I11">
        <v>24</v>
      </c>
      <c r="J11">
        <v>18</v>
      </c>
      <c r="K11">
        <v>23</v>
      </c>
      <c r="L11">
        <v>10</v>
      </c>
      <c r="M11">
        <v>38</v>
      </c>
      <c r="N11">
        <v>18</v>
      </c>
      <c r="O11">
        <v>15</v>
      </c>
      <c r="P11">
        <v>14</v>
      </c>
      <c r="Q11">
        <v>13</v>
      </c>
      <c r="R11">
        <v>18</v>
      </c>
      <c r="S11">
        <v>15</v>
      </c>
      <c r="T11">
        <v>31</v>
      </c>
      <c r="U11">
        <v>24</v>
      </c>
      <c r="V11">
        <v>19</v>
      </c>
      <c r="W11">
        <v>26</v>
      </c>
      <c r="X11">
        <v>37</v>
      </c>
      <c r="Y11">
        <v>27</v>
      </c>
      <c r="Z11">
        <v>23</v>
      </c>
      <c r="AA11">
        <v>21</v>
      </c>
      <c r="AB11">
        <v>18</v>
      </c>
      <c r="AC11">
        <v>27</v>
      </c>
      <c r="AD11">
        <v>27</v>
      </c>
      <c r="AE11">
        <v>15</v>
      </c>
    </row>
    <row r="12" spans="1:31" x14ac:dyDescent="0.3">
      <c r="A12" t="s">
        <v>241</v>
      </c>
      <c r="B12" t="s">
        <v>142</v>
      </c>
      <c r="C12" t="s">
        <v>0</v>
      </c>
      <c r="D12" t="s">
        <v>143</v>
      </c>
      <c r="E12" t="s">
        <v>123</v>
      </c>
      <c r="F12">
        <v>111</v>
      </c>
      <c r="G12">
        <v>111</v>
      </c>
      <c r="H12">
        <v>134</v>
      </c>
      <c r="I12">
        <v>190</v>
      </c>
      <c r="J12">
        <v>179</v>
      </c>
      <c r="K12">
        <v>198</v>
      </c>
      <c r="L12">
        <v>176</v>
      </c>
      <c r="M12">
        <v>167</v>
      </c>
      <c r="N12">
        <v>174</v>
      </c>
      <c r="O12">
        <v>154</v>
      </c>
      <c r="P12">
        <v>180</v>
      </c>
      <c r="Q12">
        <v>153</v>
      </c>
      <c r="R12">
        <v>163</v>
      </c>
      <c r="S12">
        <v>166</v>
      </c>
      <c r="T12">
        <v>149</v>
      </c>
      <c r="U12">
        <v>93</v>
      </c>
      <c r="V12">
        <v>126</v>
      </c>
      <c r="W12">
        <v>98</v>
      </c>
      <c r="X12">
        <v>108</v>
      </c>
      <c r="Y12">
        <v>116</v>
      </c>
      <c r="Z12">
        <v>168</v>
      </c>
      <c r="AA12">
        <v>192</v>
      </c>
      <c r="AB12">
        <v>192</v>
      </c>
      <c r="AC12">
        <v>240</v>
      </c>
      <c r="AD12">
        <v>233</v>
      </c>
      <c r="AE12">
        <v>249</v>
      </c>
    </row>
    <row r="13" spans="1:31" x14ac:dyDescent="0.3">
      <c r="A13" t="s">
        <v>241</v>
      </c>
      <c r="B13" t="s">
        <v>144</v>
      </c>
      <c r="C13" t="s">
        <v>0</v>
      </c>
      <c r="D13" t="s">
        <v>145</v>
      </c>
      <c r="E13" t="s">
        <v>123</v>
      </c>
      <c r="F13">
        <v>328</v>
      </c>
      <c r="G13">
        <v>327</v>
      </c>
      <c r="H13">
        <v>460</v>
      </c>
      <c r="I13">
        <v>407</v>
      </c>
      <c r="J13">
        <v>261</v>
      </c>
      <c r="K13">
        <v>388</v>
      </c>
      <c r="L13">
        <v>354</v>
      </c>
      <c r="M13">
        <v>525</v>
      </c>
      <c r="N13">
        <v>316</v>
      </c>
      <c r="O13">
        <v>557</v>
      </c>
      <c r="P13">
        <v>292</v>
      </c>
      <c r="Q13">
        <v>235</v>
      </c>
      <c r="R13">
        <v>325</v>
      </c>
      <c r="S13">
        <v>408</v>
      </c>
      <c r="T13">
        <v>425</v>
      </c>
      <c r="U13">
        <v>313</v>
      </c>
      <c r="V13">
        <v>253</v>
      </c>
      <c r="W13">
        <v>527</v>
      </c>
      <c r="X13">
        <v>213</v>
      </c>
      <c r="Y13">
        <v>268</v>
      </c>
      <c r="Z13">
        <v>312</v>
      </c>
      <c r="AA13">
        <v>269</v>
      </c>
      <c r="AB13">
        <v>300</v>
      </c>
      <c r="AC13">
        <v>377</v>
      </c>
      <c r="AD13">
        <v>428</v>
      </c>
      <c r="AE13">
        <v>318</v>
      </c>
    </row>
    <row r="14" spans="1:31" x14ac:dyDescent="0.3">
      <c r="A14" t="s">
        <v>241</v>
      </c>
      <c r="B14" t="s">
        <v>146</v>
      </c>
      <c r="C14" t="s">
        <v>0</v>
      </c>
      <c r="D14" t="s">
        <v>147</v>
      </c>
      <c r="E14" t="s">
        <v>123</v>
      </c>
      <c r="F14">
        <v>219</v>
      </c>
      <c r="G14">
        <v>143</v>
      </c>
      <c r="H14">
        <v>209</v>
      </c>
      <c r="I14">
        <v>267</v>
      </c>
      <c r="J14">
        <v>356</v>
      </c>
      <c r="K14">
        <v>400</v>
      </c>
      <c r="L14">
        <v>421</v>
      </c>
      <c r="M14">
        <v>238</v>
      </c>
      <c r="N14">
        <v>193</v>
      </c>
      <c r="O14">
        <v>202</v>
      </c>
      <c r="P14">
        <v>278</v>
      </c>
      <c r="Q14">
        <v>147</v>
      </c>
      <c r="R14">
        <v>141</v>
      </c>
      <c r="S14">
        <v>68</v>
      </c>
      <c r="T14">
        <v>75</v>
      </c>
      <c r="U14">
        <v>102</v>
      </c>
      <c r="V14">
        <v>99</v>
      </c>
      <c r="W14">
        <v>88</v>
      </c>
      <c r="X14">
        <v>50</v>
      </c>
      <c r="Y14">
        <v>89</v>
      </c>
      <c r="Z14">
        <v>120</v>
      </c>
      <c r="AA14">
        <v>101</v>
      </c>
      <c r="AB14">
        <v>114</v>
      </c>
      <c r="AC14">
        <v>110</v>
      </c>
      <c r="AD14">
        <v>106</v>
      </c>
      <c r="AE14">
        <v>136</v>
      </c>
    </row>
    <row r="15" spans="1:31" x14ac:dyDescent="0.3">
      <c r="A15" t="s">
        <v>241</v>
      </c>
      <c r="B15" t="s">
        <v>148</v>
      </c>
      <c r="C15" t="s">
        <v>0</v>
      </c>
      <c r="D15" t="s">
        <v>149</v>
      </c>
      <c r="E15" t="s">
        <v>123</v>
      </c>
      <c r="F15">
        <v>265</v>
      </c>
      <c r="G15">
        <v>198</v>
      </c>
      <c r="H15">
        <v>271</v>
      </c>
      <c r="I15">
        <v>339</v>
      </c>
      <c r="J15">
        <v>405</v>
      </c>
      <c r="K15">
        <v>451</v>
      </c>
      <c r="L15">
        <v>475</v>
      </c>
      <c r="M15">
        <v>278</v>
      </c>
      <c r="N15">
        <v>241</v>
      </c>
      <c r="O15">
        <v>236</v>
      </c>
      <c r="P15">
        <v>330</v>
      </c>
      <c r="Q15">
        <v>180</v>
      </c>
      <c r="R15">
        <v>186</v>
      </c>
      <c r="S15">
        <v>126</v>
      </c>
      <c r="T15">
        <v>121</v>
      </c>
      <c r="U15">
        <v>146</v>
      </c>
      <c r="V15">
        <v>139</v>
      </c>
      <c r="W15">
        <v>126</v>
      </c>
      <c r="X15">
        <v>91</v>
      </c>
      <c r="Y15">
        <v>114</v>
      </c>
      <c r="Z15">
        <v>176</v>
      </c>
      <c r="AA15">
        <v>188</v>
      </c>
      <c r="AB15">
        <v>168</v>
      </c>
      <c r="AC15">
        <v>161</v>
      </c>
      <c r="AD15">
        <v>164</v>
      </c>
      <c r="AE15">
        <v>176</v>
      </c>
    </row>
    <row r="16" spans="1:31" x14ac:dyDescent="0.3">
      <c r="A16" t="s">
        <v>241</v>
      </c>
      <c r="B16" t="s">
        <v>150</v>
      </c>
      <c r="C16" t="s">
        <v>0</v>
      </c>
      <c r="D16" t="s">
        <v>151</v>
      </c>
      <c r="E16" t="s">
        <v>123</v>
      </c>
      <c r="F16">
        <v>46</v>
      </c>
      <c r="G16">
        <v>55</v>
      </c>
      <c r="H16">
        <v>62</v>
      </c>
      <c r="I16">
        <v>72</v>
      </c>
      <c r="J16">
        <v>49</v>
      </c>
      <c r="K16">
        <v>51</v>
      </c>
      <c r="L16">
        <v>54</v>
      </c>
      <c r="M16">
        <v>40</v>
      </c>
      <c r="N16">
        <v>48</v>
      </c>
      <c r="O16">
        <v>34</v>
      </c>
      <c r="P16">
        <v>52</v>
      </c>
      <c r="Q16">
        <v>33</v>
      </c>
      <c r="R16">
        <v>45</v>
      </c>
      <c r="S16">
        <v>58</v>
      </c>
      <c r="T16">
        <v>46</v>
      </c>
      <c r="U16">
        <v>44</v>
      </c>
      <c r="V16">
        <v>40</v>
      </c>
      <c r="W16">
        <v>38</v>
      </c>
      <c r="X16">
        <v>41</v>
      </c>
      <c r="Y16">
        <v>25</v>
      </c>
      <c r="Z16">
        <v>56</v>
      </c>
      <c r="AA16">
        <v>87</v>
      </c>
      <c r="AB16">
        <v>54</v>
      </c>
      <c r="AC16">
        <v>51</v>
      </c>
      <c r="AD16">
        <v>58</v>
      </c>
      <c r="AE16">
        <v>40</v>
      </c>
    </row>
    <row r="17" spans="1:31" x14ac:dyDescent="0.3">
      <c r="A17" t="s">
        <v>241</v>
      </c>
      <c r="B17" t="s">
        <v>152</v>
      </c>
      <c r="C17" t="s">
        <v>0</v>
      </c>
      <c r="D17" t="s">
        <v>153</v>
      </c>
      <c r="E17" t="s">
        <v>123</v>
      </c>
      <c r="F17">
        <v>108</v>
      </c>
      <c r="G17">
        <v>152</v>
      </c>
      <c r="H17">
        <v>135</v>
      </c>
      <c r="I17">
        <v>130</v>
      </c>
      <c r="J17">
        <v>110</v>
      </c>
      <c r="K17">
        <v>122</v>
      </c>
      <c r="L17">
        <v>115</v>
      </c>
      <c r="M17">
        <v>92</v>
      </c>
      <c r="N17">
        <v>130</v>
      </c>
      <c r="O17">
        <v>77</v>
      </c>
      <c r="P17">
        <v>93</v>
      </c>
      <c r="Q17">
        <v>111</v>
      </c>
      <c r="R17">
        <v>123</v>
      </c>
      <c r="S17">
        <v>182</v>
      </c>
      <c r="T17">
        <v>205</v>
      </c>
      <c r="U17">
        <v>75</v>
      </c>
      <c r="V17">
        <v>117</v>
      </c>
      <c r="W17">
        <v>120</v>
      </c>
      <c r="X17">
        <v>88</v>
      </c>
      <c r="Y17">
        <v>129</v>
      </c>
      <c r="Z17">
        <v>103</v>
      </c>
      <c r="AA17">
        <v>92</v>
      </c>
      <c r="AB17">
        <v>75</v>
      </c>
      <c r="AC17">
        <v>114</v>
      </c>
      <c r="AD17">
        <v>151</v>
      </c>
      <c r="AE17">
        <v>112</v>
      </c>
    </row>
    <row r="18" spans="1:31" x14ac:dyDescent="0.3">
      <c r="A18" t="s">
        <v>241</v>
      </c>
      <c r="B18" t="s">
        <v>154</v>
      </c>
      <c r="C18" t="s">
        <v>0</v>
      </c>
      <c r="D18" t="s">
        <v>155</v>
      </c>
      <c r="E18" t="s">
        <v>123</v>
      </c>
      <c r="F18">
        <v>34</v>
      </c>
      <c r="G18">
        <v>40</v>
      </c>
      <c r="H18">
        <v>39</v>
      </c>
      <c r="I18">
        <v>40</v>
      </c>
      <c r="J18">
        <v>36</v>
      </c>
      <c r="K18">
        <v>27</v>
      </c>
      <c r="L18">
        <v>49</v>
      </c>
      <c r="M18">
        <v>37</v>
      </c>
      <c r="N18">
        <v>37</v>
      </c>
      <c r="O18">
        <v>37</v>
      </c>
      <c r="P18">
        <v>43</v>
      </c>
      <c r="Q18">
        <v>38</v>
      </c>
      <c r="R18">
        <v>36</v>
      </c>
      <c r="S18">
        <v>44</v>
      </c>
      <c r="T18">
        <v>45</v>
      </c>
      <c r="U18">
        <v>43</v>
      </c>
      <c r="V18">
        <v>62</v>
      </c>
      <c r="W18">
        <v>45</v>
      </c>
      <c r="X18">
        <v>112</v>
      </c>
      <c r="Y18">
        <v>40</v>
      </c>
      <c r="Z18">
        <v>33</v>
      </c>
      <c r="AA18">
        <v>49</v>
      </c>
      <c r="AB18">
        <v>114</v>
      </c>
      <c r="AC18">
        <v>151</v>
      </c>
      <c r="AD18">
        <v>74</v>
      </c>
      <c r="AE18">
        <v>73</v>
      </c>
    </row>
    <row r="19" spans="1:31" x14ac:dyDescent="0.3">
      <c r="A19" t="s">
        <v>241</v>
      </c>
      <c r="B19" t="s">
        <v>156</v>
      </c>
      <c r="C19" t="s">
        <v>0</v>
      </c>
      <c r="D19" t="s">
        <v>157</v>
      </c>
      <c r="E19" t="s">
        <v>123</v>
      </c>
      <c r="F19">
        <v>76</v>
      </c>
      <c r="G19">
        <v>78</v>
      </c>
      <c r="H19">
        <v>103</v>
      </c>
      <c r="I19">
        <v>108</v>
      </c>
      <c r="J19">
        <v>109</v>
      </c>
      <c r="K19">
        <v>104</v>
      </c>
      <c r="L19">
        <v>111</v>
      </c>
      <c r="M19">
        <v>122</v>
      </c>
      <c r="N19">
        <v>79</v>
      </c>
      <c r="O19">
        <v>67</v>
      </c>
      <c r="P19">
        <v>82</v>
      </c>
      <c r="Q19">
        <v>83</v>
      </c>
      <c r="R19">
        <v>84</v>
      </c>
      <c r="S19">
        <v>83</v>
      </c>
      <c r="T19">
        <v>44</v>
      </c>
      <c r="U19">
        <v>47</v>
      </c>
      <c r="V19">
        <v>61</v>
      </c>
      <c r="W19">
        <v>41</v>
      </c>
      <c r="X19">
        <v>23</v>
      </c>
      <c r="Y19">
        <v>35</v>
      </c>
      <c r="Z19">
        <v>44</v>
      </c>
      <c r="AA19">
        <v>64</v>
      </c>
      <c r="AB19">
        <v>75</v>
      </c>
      <c r="AC19">
        <v>84</v>
      </c>
      <c r="AD19">
        <v>82</v>
      </c>
      <c r="AE19">
        <v>85</v>
      </c>
    </row>
    <row r="20" spans="1:31" x14ac:dyDescent="0.3">
      <c r="A20" t="s">
        <v>241</v>
      </c>
      <c r="B20" t="s">
        <v>158</v>
      </c>
      <c r="C20" t="s">
        <v>0</v>
      </c>
      <c r="D20" t="s">
        <v>159</v>
      </c>
      <c r="E20" t="s">
        <v>123</v>
      </c>
      <c r="F20">
        <v>199</v>
      </c>
      <c r="G20">
        <v>194</v>
      </c>
      <c r="H20">
        <v>295</v>
      </c>
      <c r="I20">
        <v>181</v>
      </c>
      <c r="J20">
        <v>170</v>
      </c>
      <c r="K20">
        <v>255</v>
      </c>
      <c r="L20">
        <v>233</v>
      </c>
      <c r="M20">
        <v>314</v>
      </c>
      <c r="N20">
        <v>246</v>
      </c>
      <c r="O20">
        <v>308</v>
      </c>
      <c r="P20">
        <v>323</v>
      </c>
      <c r="Q20">
        <v>282</v>
      </c>
      <c r="R20">
        <v>326</v>
      </c>
      <c r="S20">
        <v>496</v>
      </c>
      <c r="T20">
        <v>776</v>
      </c>
      <c r="U20">
        <v>593</v>
      </c>
      <c r="V20">
        <v>519</v>
      </c>
      <c r="W20">
        <v>614</v>
      </c>
      <c r="X20">
        <v>701</v>
      </c>
      <c r="Y20">
        <v>950</v>
      </c>
      <c r="Z20">
        <v>1135</v>
      </c>
      <c r="AA20">
        <v>1281</v>
      </c>
      <c r="AB20">
        <v>1296</v>
      </c>
      <c r="AC20">
        <v>958</v>
      </c>
      <c r="AD20">
        <v>748</v>
      </c>
      <c r="AE20">
        <v>1181</v>
      </c>
    </row>
    <row r="21" spans="1:31" x14ac:dyDescent="0.3">
      <c r="A21" t="s">
        <v>241</v>
      </c>
      <c r="B21" t="s">
        <v>160</v>
      </c>
      <c r="C21" t="s">
        <v>0</v>
      </c>
      <c r="D21" t="s">
        <v>161</v>
      </c>
      <c r="E21" t="s">
        <v>123</v>
      </c>
      <c r="F21">
        <v>232</v>
      </c>
      <c r="G21">
        <v>234</v>
      </c>
      <c r="H21">
        <v>336</v>
      </c>
      <c r="I21">
        <v>217</v>
      </c>
      <c r="J21">
        <v>216</v>
      </c>
      <c r="K21">
        <v>295</v>
      </c>
      <c r="L21">
        <v>270</v>
      </c>
      <c r="M21">
        <v>369</v>
      </c>
      <c r="N21">
        <v>298</v>
      </c>
      <c r="O21">
        <v>343</v>
      </c>
      <c r="P21">
        <v>373</v>
      </c>
      <c r="Q21">
        <v>335</v>
      </c>
      <c r="R21">
        <v>423</v>
      </c>
      <c r="S21">
        <v>572</v>
      </c>
      <c r="T21">
        <v>881</v>
      </c>
      <c r="U21">
        <v>662</v>
      </c>
      <c r="V21">
        <v>615</v>
      </c>
      <c r="W21">
        <v>774</v>
      </c>
      <c r="X21">
        <v>806</v>
      </c>
      <c r="Y21">
        <v>1033</v>
      </c>
      <c r="Z21">
        <v>1229</v>
      </c>
      <c r="AA21">
        <v>1393</v>
      </c>
      <c r="AB21">
        <v>1423</v>
      </c>
      <c r="AC21">
        <v>1076</v>
      </c>
      <c r="AD21">
        <v>853</v>
      </c>
      <c r="AE21">
        <v>1325</v>
      </c>
    </row>
    <row r="22" spans="1:31" x14ac:dyDescent="0.3">
      <c r="A22" t="s">
        <v>241</v>
      </c>
      <c r="B22" t="s">
        <v>162</v>
      </c>
      <c r="C22" t="s">
        <v>0</v>
      </c>
      <c r="D22" t="s">
        <v>163</v>
      </c>
      <c r="E22" t="s">
        <v>123</v>
      </c>
      <c r="F22">
        <v>33</v>
      </c>
      <c r="G22">
        <v>40</v>
      </c>
      <c r="H22">
        <v>41</v>
      </c>
      <c r="I22">
        <v>36</v>
      </c>
      <c r="J22">
        <v>46</v>
      </c>
      <c r="K22">
        <v>40</v>
      </c>
      <c r="L22">
        <v>37</v>
      </c>
      <c r="M22">
        <v>55</v>
      </c>
      <c r="N22">
        <v>52</v>
      </c>
      <c r="O22">
        <v>35</v>
      </c>
      <c r="P22">
        <v>50</v>
      </c>
      <c r="Q22">
        <v>53</v>
      </c>
      <c r="R22">
        <v>97</v>
      </c>
      <c r="S22">
        <v>76</v>
      </c>
      <c r="T22">
        <v>105</v>
      </c>
      <c r="U22">
        <v>69</v>
      </c>
      <c r="V22">
        <v>96</v>
      </c>
      <c r="W22">
        <v>160</v>
      </c>
      <c r="X22">
        <v>105</v>
      </c>
      <c r="Y22">
        <v>83</v>
      </c>
      <c r="Z22">
        <v>94</v>
      </c>
      <c r="AA22">
        <v>112</v>
      </c>
      <c r="AB22">
        <v>127</v>
      </c>
      <c r="AC22">
        <v>118</v>
      </c>
      <c r="AD22">
        <v>105</v>
      </c>
      <c r="AE22">
        <v>144</v>
      </c>
    </row>
    <row r="23" spans="1:31" x14ac:dyDescent="0.3">
      <c r="A23" t="s">
        <v>241</v>
      </c>
      <c r="B23" t="s">
        <v>164</v>
      </c>
      <c r="C23" t="s">
        <v>0</v>
      </c>
      <c r="D23" t="s">
        <v>165</v>
      </c>
      <c r="E23" t="s">
        <v>123</v>
      </c>
      <c r="F23">
        <v>135</v>
      </c>
      <c r="G23">
        <v>164</v>
      </c>
      <c r="H23">
        <v>196</v>
      </c>
      <c r="I23">
        <v>171</v>
      </c>
      <c r="J23">
        <v>251</v>
      </c>
      <c r="K23">
        <v>297</v>
      </c>
      <c r="L23">
        <v>278</v>
      </c>
      <c r="M23">
        <v>280</v>
      </c>
      <c r="N23">
        <v>338</v>
      </c>
      <c r="O23">
        <v>335</v>
      </c>
      <c r="P23">
        <v>397</v>
      </c>
      <c r="Q23">
        <v>428</v>
      </c>
      <c r="R23">
        <v>498</v>
      </c>
      <c r="S23">
        <v>555</v>
      </c>
      <c r="T23">
        <v>377</v>
      </c>
      <c r="U23">
        <v>312</v>
      </c>
      <c r="V23">
        <v>465</v>
      </c>
      <c r="W23">
        <v>484</v>
      </c>
      <c r="X23">
        <v>467</v>
      </c>
      <c r="Y23">
        <v>451</v>
      </c>
      <c r="Z23">
        <v>441</v>
      </c>
      <c r="AA23">
        <v>564</v>
      </c>
      <c r="AB23">
        <v>638</v>
      </c>
      <c r="AC23">
        <v>763</v>
      </c>
      <c r="AD23">
        <v>865</v>
      </c>
      <c r="AE23">
        <v>854</v>
      </c>
    </row>
    <row r="24" spans="1:31" x14ac:dyDescent="0.3">
      <c r="A24" t="s">
        <v>241</v>
      </c>
      <c r="B24" t="s">
        <v>166</v>
      </c>
      <c r="C24" t="s">
        <v>0</v>
      </c>
      <c r="D24" t="s">
        <v>167</v>
      </c>
      <c r="E24" t="s">
        <v>123</v>
      </c>
      <c r="F24">
        <v>229</v>
      </c>
      <c r="G24">
        <v>287</v>
      </c>
      <c r="H24">
        <v>449</v>
      </c>
      <c r="I24">
        <v>440</v>
      </c>
      <c r="J24">
        <v>438</v>
      </c>
      <c r="K24">
        <v>429</v>
      </c>
      <c r="L24">
        <v>437</v>
      </c>
      <c r="M24">
        <v>431</v>
      </c>
      <c r="N24">
        <v>433</v>
      </c>
      <c r="O24">
        <v>335</v>
      </c>
      <c r="P24">
        <v>362</v>
      </c>
      <c r="Q24">
        <v>316</v>
      </c>
      <c r="R24">
        <v>451</v>
      </c>
      <c r="S24">
        <v>491</v>
      </c>
      <c r="T24">
        <v>471</v>
      </c>
      <c r="U24">
        <v>375</v>
      </c>
      <c r="V24">
        <v>563</v>
      </c>
      <c r="W24">
        <v>686</v>
      </c>
      <c r="X24">
        <v>537</v>
      </c>
      <c r="Y24">
        <v>625</v>
      </c>
      <c r="Z24">
        <v>496</v>
      </c>
      <c r="AA24">
        <v>768</v>
      </c>
      <c r="AB24">
        <v>807</v>
      </c>
      <c r="AC24">
        <v>902</v>
      </c>
      <c r="AD24">
        <v>855</v>
      </c>
      <c r="AE24">
        <v>826</v>
      </c>
    </row>
    <row r="25" spans="1:31" x14ac:dyDescent="0.3">
      <c r="A25" t="s">
        <v>241</v>
      </c>
      <c r="B25" t="s">
        <v>168</v>
      </c>
      <c r="C25" t="s">
        <v>0</v>
      </c>
      <c r="D25" t="s">
        <v>169</v>
      </c>
      <c r="E25" t="s">
        <v>123</v>
      </c>
      <c r="F25">
        <v>32</v>
      </c>
      <c r="G25">
        <v>37</v>
      </c>
      <c r="H25">
        <v>60</v>
      </c>
      <c r="I25">
        <v>69</v>
      </c>
      <c r="J25">
        <v>64</v>
      </c>
      <c r="K25">
        <v>60</v>
      </c>
      <c r="L25">
        <v>61</v>
      </c>
      <c r="M25">
        <v>60</v>
      </c>
      <c r="N25">
        <v>58</v>
      </c>
      <c r="O25">
        <v>54</v>
      </c>
      <c r="P25">
        <v>43</v>
      </c>
      <c r="Q25">
        <v>58</v>
      </c>
      <c r="R25">
        <v>43</v>
      </c>
      <c r="S25">
        <v>39</v>
      </c>
      <c r="T25">
        <v>61</v>
      </c>
      <c r="U25">
        <v>67</v>
      </c>
      <c r="V25">
        <v>117</v>
      </c>
      <c r="W25">
        <v>87</v>
      </c>
      <c r="X25">
        <v>66</v>
      </c>
      <c r="Y25">
        <v>88</v>
      </c>
      <c r="Z25">
        <v>66</v>
      </c>
      <c r="AA25">
        <v>120</v>
      </c>
      <c r="AB25">
        <v>94</v>
      </c>
      <c r="AC25">
        <v>113</v>
      </c>
      <c r="AD25">
        <v>129</v>
      </c>
      <c r="AE25">
        <v>133</v>
      </c>
    </row>
    <row r="26" spans="1:31" x14ac:dyDescent="0.3">
      <c r="A26" t="s">
        <v>241</v>
      </c>
      <c r="B26" t="s">
        <v>170</v>
      </c>
      <c r="C26" t="s">
        <v>0</v>
      </c>
      <c r="D26" t="s">
        <v>171</v>
      </c>
      <c r="E26" t="s">
        <v>123</v>
      </c>
      <c r="F26">
        <v>82</v>
      </c>
      <c r="G26">
        <v>120</v>
      </c>
      <c r="H26">
        <v>217</v>
      </c>
      <c r="I26">
        <v>180</v>
      </c>
      <c r="J26">
        <v>162</v>
      </c>
      <c r="K26">
        <v>175</v>
      </c>
      <c r="L26">
        <v>178</v>
      </c>
      <c r="M26">
        <v>180</v>
      </c>
      <c r="N26">
        <v>160</v>
      </c>
      <c r="O26">
        <v>119</v>
      </c>
      <c r="P26">
        <v>131</v>
      </c>
      <c r="Q26">
        <v>92</v>
      </c>
      <c r="R26">
        <v>222</v>
      </c>
      <c r="S26">
        <v>259</v>
      </c>
      <c r="T26">
        <v>209</v>
      </c>
      <c r="U26">
        <v>154</v>
      </c>
      <c r="V26">
        <v>242</v>
      </c>
      <c r="W26">
        <v>302</v>
      </c>
      <c r="X26">
        <v>244</v>
      </c>
      <c r="Y26">
        <v>292</v>
      </c>
      <c r="Z26">
        <v>204</v>
      </c>
      <c r="AA26">
        <v>356</v>
      </c>
      <c r="AB26">
        <v>436</v>
      </c>
      <c r="AC26">
        <v>467</v>
      </c>
      <c r="AD26">
        <v>412</v>
      </c>
      <c r="AE26">
        <v>365</v>
      </c>
    </row>
    <row r="27" spans="1:31" x14ac:dyDescent="0.3">
      <c r="A27" t="s">
        <v>241</v>
      </c>
      <c r="B27" t="s">
        <v>172</v>
      </c>
      <c r="C27" t="s">
        <v>0</v>
      </c>
      <c r="D27" t="s">
        <v>173</v>
      </c>
      <c r="E27" t="s">
        <v>123</v>
      </c>
      <c r="F27">
        <v>115</v>
      </c>
      <c r="G27">
        <v>130</v>
      </c>
      <c r="H27">
        <v>172</v>
      </c>
      <c r="I27">
        <v>191</v>
      </c>
      <c r="J27">
        <v>212</v>
      </c>
      <c r="K27">
        <v>194</v>
      </c>
      <c r="L27">
        <v>198</v>
      </c>
      <c r="M27">
        <v>191</v>
      </c>
      <c r="N27">
        <v>215</v>
      </c>
      <c r="O27">
        <v>162</v>
      </c>
      <c r="P27">
        <v>188</v>
      </c>
      <c r="Q27">
        <v>166</v>
      </c>
      <c r="R27">
        <v>186</v>
      </c>
      <c r="S27">
        <v>193</v>
      </c>
      <c r="T27">
        <v>201</v>
      </c>
      <c r="U27">
        <v>154</v>
      </c>
      <c r="V27">
        <v>204</v>
      </c>
      <c r="W27">
        <v>297</v>
      </c>
      <c r="X27">
        <v>227</v>
      </c>
      <c r="Y27">
        <v>245</v>
      </c>
      <c r="Z27">
        <v>226</v>
      </c>
      <c r="AA27">
        <v>292</v>
      </c>
      <c r="AB27">
        <v>277</v>
      </c>
      <c r="AC27">
        <v>322</v>
      </c>
      <c r="AD27">
        <v>314</v>
      </c>
      <c r="AE27">
        <v>328</v>
      </c>
    </row>
    <row r="28" spans="1:31" x14ac:dyDescent="0.3">
      <c r="A28" t="s">
        <v>241</v>
      </c>
      <c r="B28" t="s">
        <v>174</v>
      </c>
      <c r="C28" t="s">
        <v>0</v>
      </c>
      <c r="D28" t="s">
        <v>175</v>
      </c>
      <c r="E28" t="s">
        <v>123</v>
      </c>
      <c r="F28">
        <v>155</v>
      </c>
      <c r="G28">
        <v>169</v>
      </c>
      <c r="H28">
        <v>190</v>
      </c>
      <c r="I28">
        <v>241</v>
      </c>
      <c r="J28">
        <v>196</v>
      </c>
      <c r="K28">
        <v>203</v>
      </c>
      <c r="L28">
        <v>205</v>
      </c>
      <c r="M28">
        <v>229</v>
      </c>
      <c r="N28">
        <v>267</v>
      </c>
      <c r="O28">
        <v>223</v>
      </c>
      <c r="P28">
        <v>205</v>
      </c>
      <c r="Q28">
        <v>170</v>
      </c>
      <c r="R28">
        <v>184</v>
      </c>
      <c r="S28">
        <v>184</v>
      </c>
      <c r="T28">
        <v>242</v>
      </c>
      <c r="U28">
        <v>205</v>
      </c>
      <c r="V28">
        <v>270</v>
      </c>
      <c r="W28">
        <v>195</v>
      </c>
      <c r="X28">
        <v>158</v>
      </c>
      <c r="Y28">
        <v>254</v>
      </c>
      <c r="Z28">
        <v>187</v>
      </c>
      <c r="AA28">
        <v>268</v>
      </c>
      <c r="AB28">
        <v>210</v>
      </c>
      <c r="AC28">
        <v>248</v>
      </c>
      <c r="AD28">
        <v>323</v>
      </c>
      <c r="AE28">
        <v>270</v>
      </c>
    </row>
    <row r="29" spans="1:31" x14ac:dyDescent="0.3">
      <c r="A29" t="s">
        <v>241</v>
      </c>
      <c r="B29" t="s">
        <v>176</v>
      </c>
      <c r="C29" t="s">
        <v>0</v>
      </c>
      <c r="D29" t="s">
        <v>177</v>
      </c>
      <c r="E29" t="s">
        <v>123</v>
      </c>
      <c r="F29">
        <v>91</v>
      </c>
      <c r="G29">
        <v>95</v>
      </c>
      <c r="H29">
        <v>110</v>
      </c>
      <c r="I29">
        <v>148</v>
      </c>
      <c r="J29">
        <v>94</v>
      </c>
      <c r="K29">
        <v>104</v>
      </c>
      <c r="L29">
        <v>106</v>
      </c>
      <c r="M29">
        <v>125</v>
      </c>
      <c r="N29">
        <v>153</v>
      </c>
      <c r="O29">
        <v>137</v>
      </c>
      <c r="P29">
        <v>118</v>
      </c>
      <c r="Q29">
        <v>83</v>
      </c>
      <c r="R29">
        <v>75</v>
      </c>
      <c r="S29">
        <v>98</v>
      </c>
      <c r="T29">
        <v>85</v>
      </c>
      <c r="U29">
        <v>81</v>
      </c>
      <c r="V29">
        <v>111</v>
      </c>
      <c r="W29">
        <v>76</v>
      </c>
      <c r="X29">
        <v>65</v>
      </c>
      <c r="Y29">
        <v>95</v>
      </c>
      <c r="Z29">
        <v>32</v>
      </c>
      <c r="AA29">
        <v>70</v>
      </c>
      <c r="AB29">
        <v>67</v>
      </c>
      <c r="AC29">
        <v>72</v>
      </c>
      <c r="AD29">
        <v>108</v>
      </c>
      <c r="AE29">
        <v>78</v>
      </c>
    </row>
    <row r="30" spans="1:31" x14ac:dyDescent="0.3">
      <c r="A30" t="s">
        <v>241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  <c r="M30">
        <v>7</v>
      </c>
      <c r="N30">
        <v>7</v>
      </c>
      <c r="O30">
        <v>8</v>
      </c>
      <c r="P30">
        <v>10</v>
      </c>
      <c r="Q30">
        <v>20</v>
      </c>
      <c r="R30">
        <v>19</v>
      </c>
      <c r="S30">
        <v>16</v>
      </c>
      <c r="T30">
        <v>7</v>
      </c>
      <c r="U30">
        <v>4</v>
      </c>
      <c r="V30">
        <v>27</v>
      </c>
      <c r="W30">
        <v>30</v>
      </c>
      <c r="X30">
        <v>24</v>
      </c>
      <c r="Y30">
        <v>10</v>
      </c>
      <c r="Z30">
        <v>18</v>
      </c>
      <c r="AA30">
        <v>21</v>
      </c>
      <c r="AB30">
        <v>8</v>
      </c>
      <c r="AC30">
        <v>23</v>
      </c>
      <c r="AD30">
        <v>24</v>
      </c>
      <c r="AE30">
        <v>13</v>
      </c>
    </row>
    <row r="31" spans="1:31" x14ac:dyDescent="0.3">
      <c r="A31" t="s">
        <v>241</v>
      </c>
      <c r="B31" t="s">
        <v>180</v>
      </c>
      <c r="C31" t="s">
        <v>0</v>
      </c>
      <c r="D31" t="s">
        <v>181</v>
      </c>
      <c r="E31" t="s">
        <v>123</v>
      </c>
      <c r="F31">
        <v>7</v>
      </c>
      <c r="G31">
        <v>10</v>
      </c>
      <c r="H31">
        <v>10</v>
      </c>
      <c r="I31">
        <v>16</v>
      </c>
      <c r="J31">
        <v>14</v>
      </c>
      <c r="K31">
        <v>7</v>
      </c>
      <c r="L31">
        <v>13</v>
      </c>
      <c r="M31">
        <v>5</v>
      </c>
      <c r="N31">
        <v>5</v>
      </c>
      <c r="O31">
        <v>6</v>
      </c>
      <c r="P31">
        <v>8</v>
      </c>
      <c r="Q31">
        <v>11</v>
      </c>
      <c r="R31">
        <v>12</v>
      </c>
      <c r="S31">
        <v>12</v>
      </c>
      <c r="T31">
        <v>14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2</v>
      </c>
      <c r="AB31">
        <v>4</v>
      </c>
      <c r="AC31">
        <v>4</v>
      </c>
      <c r="AD31">
        <v>5</v>
      </c>
      <c r="AE31">
        <v>4</v>
      </c>
    </row>
    <row r="32" spans="1:31" x14ac:dyDescent="0.3">
      <c r="A32" t="s">
        <v>241</v>
      </c>
      <c r="B32" t="s">
        <v>182</v>
      </c>
      <c r="C32" t="s">
        <v>0</v>
      </c>
      <c r="D32" t="s">
        <v>183</v>
      </c>
      <c r="E32" t="s">
        <v>123</v>
      </c>
      <c r="F32">
        <v>51</v>
      </c>
      <c r="G32">
        <v>55</v>
      </c>
      <c r="H32">
        <v>52</v>
      </c>
      <c r="I32">
        <v>58</v>
      </c>
      <c r="J32">
        <v>63</v>
      </c>
      <c r="K32">
        <v>66</v>
      </c>
      <c r="L32">
        <v>55</v>
      </c>
      <c r="M32">
        <v>65</v>
      </c>
      <c r="N32">
        <v>84</v>
      </c>
      <c r="O32">
        <v>68</v>
      </c>
      <c r="P32">
        <v>68</v>
      </c>
      <c r="Q32">
        <v>55</v>
      </c>
      <c r="R32">
        <v>76</v>
      </c>
      <c r="S32">
        <v>56</v>
      </c>
      <c r="T32">
        <v>132</v>
      </c>
      <c r="U32">
        <v>114</v>
      </c>
      <c r="V32">
        <v>129</v>
      </c>
      <c r="W32">
        <v>87</v>
      </c>
      <c r="X32">
        <v>63</v>
      </c>
      <c r="Y32">
        <v>141</v>
      </c>
      <c r="Z32">
        <v>127</v>
      </c>
      <c r="AA32">
        <v>164</v>
      </c>
      <c r="AB32">
        <v>121</v>
      </c>
      <c r="AC32">
        <v>137</v>
      </c>
      <c r="AD32">
        <v>176</v>
      </c>
      <c r="AE32">
        <v>164</v>
      </c>
    </row>
    <row r="33" spans="1:31" x14ac:dyDescent="0.3">
      <c r="A33" t="s">
        <v>241</v>
      </c>
      <c r="B33" t="s">
        <v>184</v>
      </c>
      <c r="C33" t="s">
        <v>0</v>
      </c>
      <c r="D33" t="s">
        <v>185</v>
      </c>
      <c r="E33" t="s">
        <v>123</v>
      </c>
      <c r="F33">
        <v>6</v>
      </c>
      <c r="G33">
        <v>9</v>
      </c>
      <c r="H33">
        <v>18</v>
      </c>
      <c r="I33">
        <v>19</v>
      </c>
      <c r="J33">
        <v>25</v>
      </c>
      <c r="K33">
        <v>26</v>
      </c>
      <c r="L33">
        <v>24</v>
      </c>
      <c r="M33">
        <v>27</v>
      </c>
      <c r="N33">
        <v>18</v>
      </c>
      <c r="O33">
        <v>4</v>
      </c>
      <c r="P33">
        <v>1</v>
      </c>
      <c r="Q33">
        <v>1</v>
      </c>
      <c r="R33">
        <v>2</v>
      </c>
      <c r="S33">
        <v>2</v>
      </c>
      <c r="T33">
        <v>4</v>
      </c>
      <c r="U33">
        <v>5</v>
      </c>
      <c r="V33">
        <v>2</v>
      </c>
      <c r="W33">
        <v>2</v>
      </c>
      <c r="X33">
        <v>5</v>
      </c>
      <c r="Y33">
        <v>7</v>
      </c>
      <c r="Z33">
        <v>9</v>
      </c>
      <c r="AA33">
        <v>11</v>
      </c>
      <c r="AB33">
        <v>10</v>
      </c>
      <c r="AC33">
        <v>12</v>
      </c>
      <c r="AD33">
        <v>10</v>
      </c>
      <c r="AE33">
        <v>11</v>
      </c>
    </row>
    <row r="34" spans="1:31" x14ac:dyDescent="0.3">
      <c r="A34" t="s">
        <v>241</v>
      </c>
      <c r="B34" t="s">
        <v>186</v>
      </c>
      <c r="C34" t="s">
        <v>0</v>
      </c>
      <c r="D34" t="s">
        <v>187</v>
      </c>
      <c r="E34" t="s">
        <v>123</v>
      </c>
      <c r="F34">
        <v>34</v>
      </c>
      <c r="G34">
        <v>47</v>
      </c>
      <c r="H34">
        <v>68</v>
      </c>
      <c r="I34">
        <v>85</v>
      </c>
      <c r="J34">
        <v>68</v>
      </c>
      <c r="K34">
        <v>70</v>
      </c>
      <c r="L34">
        <v>66</v>
      </c>
      <c r="M34">
        <v>66</v>
      </c>
      <c r="N34">
        <v>75</v>
      </c>
      <c r="O34">
        <v>63</v>
      </c>
      <c r="P34">
        <v>75</v>
      </c>
      <c r="Q34">
        <v>92</v>
      </c>
      <c r="R34">
        <v>89</v>
      </c>
      <c r="S34">
        <v>100</v>
      </c>
      <c r="T34">
        <v>80</v>
      </c>
      <c r="U34">
        <v>60</v>
      </c>
      <c r="V34">
        <v>87</v>
      </c>
      <c r="W34">
        <v>99</v>
      </c>
      <c r="X34">
        <v>83</v>
      </c>
      <c r="Y34">
        <v>92</v>
      </c>
      <c r="Z34">
        <v>99</v>
      </c>
      <c r="AA34">
        <v>131</v>
      </c>
      <c r="AB34">
        <v>119</v>
      </c>
      <c r="AC34">
        <v>162</v>
      </c>
      <c r="AD34">
        <v>162</v>
      </c>
      <c r="AE34">
        <v>146</v>
      </c>
    </row>
    <row r="35" spans="1:31" x14ac:dyDescent="0.3">
      <c r="A35" t="s">
        <v>241</v>
      </c>
      <c r="B35" t="s">
        <v>188</v>
      </c>
      <c r="C35" t="s">
        <v>0</v>
      </c>
      <c r="D35" t="s">
        <v>189</v>
      </c>
      <c r="E35" t="s">
        <v>123</v>
      </c>
      <c r="F35">
        <v>126</v>
      </c>
      <c r="G35">
        <v>192</v>
      </c>
      <c r="H35">
        <v>266</v>
      </c>
      <c r="I35">
        <v>254</v>
      </c>
      <c r="J35">
        <v>241</v>
      </c>
      <c r="K35">
        <v>353</v>
      </c>
      <c r="L35">
        <v>410</v>
      </c>
      <c r="M35">
        <v>369</v>
      </c>
      <c r="N35">
        <v>204</v>
      </c>
      <c r="O35">
        <v>211</v>
      </c>
      <c r="P35">
        <v>199</v>
      </c>
      <c r="Q35">
        <v>169</v>
      </c>
      <c r="R35">
        <v>171</v>
      </c>
      <c r="S35">
        <v>218</v>
      </c>
      <c r="T35">
        <v>196</v>
      </c>
      <c r="U35">
        <v>228</v>
      </c>
      <c r="V35">
        <v>269</v>
      </c>
      <c r="W35">
        <v>325</v>
      </c>
      <c r="X35">
        <v>282</v>
      </c>
      <c r="Y35">
        <v>271</v>
      </c>
      <c r="Z35">
        <v>283</v>
      </c>
      <c r="AA35">
        <v>310</v>
      </c>
      <c r="AB35">
        <v>280</v>
      </c>
      <c r="AC35">
        <v>315</v>
      </c>
      <c r="AD35">
        <v>295</v>
      </c>
      <c r="AE35">
        <v>386</v>
      </c>
    </row>
    <row r="36" spans="1:31" x14ac:dyDescent="0.3">
      <c r="A36" t="s">
        <v>241</v>
      </c>
      <c r="B36" t="s">
        <v>190</v>
      </c>
      <c r="C36" t="s">
        <v>0</v>
      </c>
      <c r="D36" t="s">
        <v>191</v>
      </c>
      <c r="E36" t="s">
        <v>123</v>
      </c>
      <c r="F36">
        <v>30</v>
      </c>
      <c r="G36">
        <v>43</v>
      </c>
      <c r="H36">
        <v>77</v>
      </c>
      <c r="I36">
        <v>62</v>
      </c>
      <c r="J36">
        <v>14</v>
      </c>
      <c r="K36">
        <v>57</v>
      </c>
      <c r="L36">
        <v>56</v>
      </c>
      <c r="M36">
        <v>44</v>
      </c>
      <c r="N36">
        <v>38</v>
      </c>
      <c r="O36">
        <v>29</v>
      </c>
      <c r="P36">
        <v>39</v>
      </c>
      <c r="Q36">
        <v>27</v>
      </c>
      <c r="R36">
        <v>24</v>
      </c>
      <c r="S36">
        <v>24</v>
      </c>
      <c r="T36">
        <v>28</v>
      </c>
      <c r="U36">
        <v>45</v>
      </c>
      <c r="V36">
        <v>39</v>
      </c>
      <c r="W36">
        <v>56</v>
      </c>
      <c r="X36">
        <v>40</v>
      </c>
      <c r="Y36">
        <v>39</v>
      </c>
      <c r="Z36">
        <v>46</v>
      </c>
      <c r="AA36">
        <v>48</v>
      </c>
      <c r="AB36">
        <v>49</v>
      </c>
      <c r="AC36">
        <v>32</v>
      </c>
      <c r="AD36">
        <v>22</v>
      </c>
      <c r="AE36">
        <v>17</v>
      </c>
    </row>
    <row r="37" spans="1:31" x14ac:dyDescent="0.3">
      <c r="A37" t="s">
        <v>241</v>
      </c>
      <c r="B37" t="s">
        <v>192</v>
      </c>
      <c r="C37" t="s">
        <v>0</v>
      </c>
      <c r="D37" t="s">
        <v>193</v>
      </c>
      <c r="E37" t="s">
        <v>123</v>
      </c>
      <c r="F37">
        <v>69</v>
      </c>
      <c r="G37">
        <v>123</v>
      </c>
      <c r="H37">
        <v>145</v>
      </c>
      <c r="I37">
        <v>132</v>
      </c>
      <c r="J37">
        <v>150</v>
      </c>
      <c r="K37">
        <v>204</v>
      </c>
      <c r="L37">
        <v>215</v>
      </c>
      <c r="M37">
        <v>233</v>
      </c>
      <c r="N37">
        <v>87</v>
      </c>
      <c r="O37">
        <v>119</v>
      </c>
      <c r="P37">
        <v>87</v>
      </c>
      <c r="Q37">
        <v>78</v>
      </c>
      <c r="R37">
        <v>81</v>
      </c>
      <c r="S37">
        <v>144</v>
      </c>
      <c r="T37">
        <v>143</v>
      </c>
      <c r="U37">
        <v>136</v>
      </c>
      <c r="V37">
        <v>174</v>
      </c>
      <c r="W37">
        <v>165</v>
      </c>
      <c r="X37">
        <v>152</v>
      </c>
      <c r="Y37">
        <v>154</v>
      </c>
      <c r="Z37">
        <v>144</v>
      </c>
      <c r="AA37">
        <v>185</v>
      </c>
      <c r="AB37">
        <v>180</v>
      </c>
      <c r="AC37">
        <v>185</v>
      </c>
      <c r="AD37">
        <v>193</v>
      </c>
      <c r="AE37">
        <v>272</v>
      </c>
    </row>
    <row r="38" spans="1:31" x14ac:dyDescent="0.3">
      <c r="A38" t="s">
        <v>241</v>
      </c>
      <c r="B38" t="s">
        <v>194</v>
      </c>
      <c r="C38" t="s">
        <v>0</v>
      </c>
      <c r="D38" t="s">
        <v>195</v>
      </c>
      <c r="E38" t="s">
        <v>123</v>
      </c>
      <c r="F38">
        <v>27</v>
      </c>
      <c r="G38">
        <v>26</v>
      </c>
      <c r="H38">
        <v>44</v>
      </c>
      <c r="I38">
        <v>60</v>
      </c>
      <c r="J38">
        <v>77</v>
      </c>
      <c r="K38">
        <v>92</v>
      </c>
      <c r="L38">
        <v>139</v>
      </c>
      <c r="M38">
        <v>92</v>
      </c>
      <c r="N38">
        <v>79</v>
      </c>
      <c r="O38">
        <v>63</v>
      </c>
      <c r="P38">
        <v>73</v>
      </c>
      <c r="Q38">
        <v>64</v>
      </c>
      <c r="R38">
        <v>66</v>
      </c>
      <c r="S38">
        <v>50</v>
      </c>
      <c r="T38">
        <v>25</v>
      </c>
      <c r="U38">
        <v>47</v>
      </c>
      <c r="V38">
        <v>56</v>
      </c>
      <c r="W38">
        <v>104</v>
      </c>
      <c r="X38">
        <v>90</v>
      </c>
      <c r="Y38">
        <v>78</v>
      </c>
      <c r="Z38">
        <v>93</v>
      </c>
      <c r="AA38">
        <v>77</v>
      </c>
      <c r="AB38">
        <v>51</v>
      </c>
      <c r="AC38">
        <v>98</v>
      </c>
      <c r="AD38">
        <v>80</v>
      </c>
      <c r="AE38">
        <v>97</v>
      </c>
    </row>
    <row r="39" spans="1:31" x14ac:dyDescent="0.3">
      <c r="A39" t="s">
        <v>241</v>
      </c>
      <c r="B39" t="s">
        <v>196</v>
      </c>
      <c r="C39" t="s">
        <v>0</v>
      </c>
      <c r="D39" t="s">
        <v>197</v>
      </c>
      <c r="E39" t="s">
        <v>123</v>
      </c>
      <c r="F39">
        <v>10</v>
      </c>
      <c r="G39">
        <v>38</v>
      </c>
      <c r="H39">
        <v>5</v>
      </c>
      <c r="I39">
        <v>11</v>
      </c>
      <c r="J39">
        <v>14</v>
      </c>
      <c r="K39">
        <v>10</v>
      </c>
      <c r="L39">
        <v>6</v>
      </c>
      <c r="M39">
        <v>114</v>
      </c>
      <c r="N39">
        <v>10</v>
      </c>
      <c r="O39">
        <v>4</v>
      </c>
      <c r="P39">
        <v>9</v>
      </c>
      <c r="Q39">
        <v>60</v>
      </c>
      <c r="R39">
        <v>33</v>
      </c>
      <c r="S39">
        <v>42</v>
      </c>
      <c r="T39">
        <v>26</v>
      </c>
      <c r="U39">
        <v>-55</v>
      </c>
      <c r="V39">
        <v>-33</v>
      </c>
      <c r="W39">
        <v>23</v>
      </c>
      <c r="X39">
        <v>19</v>
      </c>
      <c r="Y39">
        <v>10</v>
      </c>
      <c r="Z39">
        <v>9</v>
      </c>
      <c r="AA39">
        <v>9</v>
      </c>
      <c r="AB39">
        <v>57</v>
      </c>
      <c r="AC39">
        <v>34</v>
      </c>
      <c r="AD39">
        <v>53</v>
      </c>
      <c r="AE39">
        <v>42</v>
      </c>
    </row>
    <row r="40" spans="1:31" x14ac:dyDescent="0.3">
      <c r="A40" t="s">
        <v>241</v>
      </c>
      <c r="B40" t="s">
        <v>198</v>
      </c>
      <c r="C40" t="s">
        <v>0</v>
      </c>
      <c r="D40" t="s">
        <v>199</v>
      </c>
      <c r="E40" t="s">
        <v>123</v>
      </c>
      <c r="F40">
        <v>23</v>
      </c>
      <c r="G40">
        <v>28</v>
      </c>
      <c r="H40">
        <v>33</v>
      </c>
      <c r="I40">
        <v>19</v>
      </c>
      <c r="J40">
        <v>22</v>
      </c>
      <c r="K40">
        <v>54</v>
      </c>
      <c r="L40">
        <v>40</v>
      </c>
      <c r="M40">
        <v>64</v>
      </c>
      <c r="N40">
        <v>102</v>
      </c>
      <c r="O40">
        <v>78</v>
      </c>
      <c r="P40">
        <v>114</v>
      </c>
      <c r="Q40">
        <v>114</v>
      </c>
      <c r="R40">
        <v>86</v>
      </c>
      <c r="S40">
        <v>159</v>
      </c>
      <c r="T40">
        <v>152</v>
      </c>
      <c r="U40">
        <v>80</v>
      </c>
      <c r="V40">
        <v>78</v>
      </c>
      <c r="W40">
        <v>84</v>
      </c>
      <c r="X40">
        <v>96</v>
      </c>
      <c r="Y40">
        <v>103</v>
      </c>
      <c r="Z40">
        <v>119</v>
      </c>
      <c r="AA40">
        <v>132</v>
      </c>
      <c r="AB40">
        <v>164</v>
      </c>
      <c r="AC40">
        <v>294</v>
      </c>
      <c r="AD40">
        <v>258</v>
      </c>
      <c r="AE40">
        <v>241</v>
      </c>
    </row>
    <row r="41" spans="1:31" x14ac:dyDescent="0.3">
      <c r="A41" t="s">
        <v>241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241</v>
      </c>
      <c r="B42" t="s">
        <v>202</v>
      </c>
      <c r="C42" t="s">
        <v>0</v>
      </c>
      <c r="D42" t="s">
        <v>203</v>
      </c>
      <c r="E42" t="s">
        <v>123</v>
      </c>
      <c r="F42">
        <v>96</v>
      </c>
      <c r="G42">
        <v>114</v>
      </c>
      <c r="H42">
        <v>136</v>
      </c>
      <c r="I42">
        <v>147</v>
      </c>
      <c r="J42">
        <v>149</v>
      </c>
      <c r="K42">
        <v>156</v>
      </c>
      <c r="L42">
        <v>155</v>
      </c>
      <c r="M42">
        <v>178</v>
      </c>
      <c r="N42">
        <v>160</v>
      </c>
      <c r="O42">
        <v>168</v>
      </c>
      <c r="P42">
        <v>154</v>
      </c>
      <c r="Q42">
        <v>125</v>
      </c>
      <c r="R42">
        <v>213</v>
      </c>
      <c r="S42">
        <v>159</v>
      </c>
      <c r="T42">
        <v>104</v>
      </c>
      <c r="U42">
        <v>155</v>
      </c>
      <c r="V42">
        <v>186</v>
      </c>
      <c r="W42">
        <v>211</v>
      </c>
      <c r="X42">
        <v>179</v>
      </c>
      <c r="Y42">
        <v>198</v>
      </c>
      <c r="Z42">
        <v>183</v>
      </c>
      <c r="AA42">
        <v>182</v>
      </c>
      <c r="AB42">
        <v>198</v>
      </c>
      <c r="AC42">
        <v>236</v>
      </c>
      <c r="AD42">
        <v>273</v>
      </c>
      <c r="AE42">
        <v>270</v>
      </c>
    </row>
    <row r="43" spans="1:31" x14ac:dyDescent="0.3">
      <c r="A43" t="s">
        <v>241</v>
      </c>
      <c r="B43" t="s">
        <v>204</v>
      </c>
      <c r="C43" t="s">
        <v>0</v>
      </c>
      <c r="D43" t="s">
        <v>205</v>
      </c>
      <c r="E43" t="s">
        <v>123</v>
      </c>
      <c r="F43">
        <v>178</v>
      </c>
      <c r="G43">
        <v>266</v>
      </c>
      <c r="H43">
        <v>252</v>
      </c>
      <c r="I43">
        <v>286</v>
      </c>
      <c r="J43">
        <v>297</v>
      </c>
      <c r="K43">
        <v>332</v>
      </c>
      <c r="L43">
        <v>284</v>
      </c>
      <c r="M43">
        <v>367</v>
      </c>
      <c r="N43">
        <v>364</v>
      </c>
      <c r="O43">
        <v>352</v>
      </c>
      <c r="P43">
        <v>360</v>
      </c>
      <c r="Q43">
        <v>318</v>
      </c>
      <c r="R43">
        <v>426</v>
      </c>
      <c r="S43">
        <v>462</v>
      </c>
      <c r="T43">
        <v>290</v>
      </c>
      <c r="U43">
        <v>314</v>
      </c>
      <c r="V43">
        <v>408</v>
      </c>
      <c r="W43">
        <v>448</v>
      </c>
      <c r="X43">
        <v>405</v>
      </c>
      <c r="Y43">
        <v>479</v>
      </c>
      <c r="Z43">
        <v>373</v>
      </c>
      <c r="AA43">
        <v>436</v>
      </c>
      <c r="AB43">
        <v>453</v>
      </c>
      <c r="AC43">
        <v>567</v>
      </c>
      <c r="AD43">
        <v>641</v>
      </c>
      <c r="AE43">
        <v>602</v>
      </c>
    </row>
    <row r="44" spans="1:31" x14ac:dyDescent="0.3">
      <c r="A44" t="s">
        <v>241</v>
      </c>
      <c r="B44" t="s">
        <v>206</v>
      </c>
      <c r="C44" t="s">
        <v>0</v>
      </c>
      <c r="D44" t="s">
        <v>207</v>
      </c>
      <c r="E44" t="s">
        <v>123</v>
      </c>
      <c r="F44">
        <v>3492</v>
      </c>
      <c r="G44">
        <v>4297</v>
      </c>
      <c r="H44">
        <v>4819</v>
      </c>
      <c r="I44">
        <v>4899</v>
      </c>
      <c r="J44">
        <v>4472</v>
      </c>
      <c r="K44">
        <v>4873</v>
      </c>
      <c r="L44">
        <v>5616</v>
      </c>
      <c r="M44">
        <v>5188</v>
      </c>
      <c r="N44">
        <v>4895</v>
      </c>
      <c r="O44">
        <v>4537</v>
      </c>
      <c r="P44">
        <v>4675</v>
      </c>
      <c r="Q44">
        <v>4363</v>
      </c>
      <c r="R44">
        <v>5473</v>
      </c>
      <c r="S44">
        <v>5749</v>
      </c>
      <c r="T44">
        <v>4947</v>
      </c>
      <c r="U44">
        <v>4031</v>
      </c>
      <c r="V44">
        <v>4831</v>
      </c>
      <c r="W44">
        <v>5465</v>
      </c>
      <c r="X44">
        <v>5012</v>
      </c>
      <c r="Y44">
        <v>5336</v>
      </c>
      <c r="Z44">
        <v>5612</v>
      </c>
      <c r="AA44">
        <v>6587</v>
      </c>
      <c r="AB44">
        <v>7585</v>
      </c>
      <c r="AC44">
        <v>7106</v>
      </c>
      <c r="AD44">
        <v>6970</v>
      </c>
      <c r="AE44">
        <v>7204</v>
      </c>
    </row>
    <row r="45" spans="1:31" x14ac:dyDescent="0.3">
      <c r="A45" t="s">
        <v>241</v>
      </c>
      <c r="B45" t="s">
        <v>208</v>
      </c>
      <c r="C45" t="s">
        <v>0</v>
      </c>
      <c r="D45" t="s">
        <v>209</v>
      </c>
      <c r="E45" t="s">
        <v>123</v>
      </c>
      <c r="F45">
        <v>3229</v>
      </c>
      <c r="G45">
        <v>4068</v>
      </c>
      <c r="H45">
        <v>4509</v>
      </c>
      <c r="I45">
        <v>4590</v>
      </c>
      <c r="J45">
        <v>4147</v>
      </c>
      <c r="K45">
        <v>4570</v>
      </c>
      <c r="L45">
        <v>5296</v>
      </c>
      <c r="M45">
        <v>4838</v>
      </c>
      <c r="N45">
        <v>4530</v>
      </c>
      <c r="O45">
        <v>4176</v>
      </c>
      <c r="P45">
        <v>4327</v>
      </c>
      <c r="Q45">
        <v>3982</v>
      </c>
      <c r="R45">
        <v>5036</v>
      </c>
      <c r="S45">
        <v>5370</v>
      </c>
      <c r="T45">
        <v>4571</v>
      </c>
      <c r="U45">
        <v>3686</v>
      </c>
      <c r="V45">
        <v>4437</v>
      </c>
      <c r="W45">
        <v>5087</v>
      </c>
      <c r="X45">
        <v>4624</v>
      </c>
      <c r="Y45">
        <v>4959</v>
      </c>
      <c r="Z45">
        <v>5258</v>
      </c>
      <c r="AA45">
        <v>6274</v>
      </c>
      <c r="AB45">
        <v>7235</v>
      </c>
      <c r="AC45">
        <v>6660</v>
      </c>
      <c r="AD45">
        <v>6520</v>
      </c>
      <c r="AE45">
        <v>6852</v>
      </c>
    </row>
    <row r="46" spans="1:31" x14ac:dyDescent="0.3">
      <c r="A46" t="s">
        <v>241</v>
      </c>
      <c r="B46" t="s">
        <v>210</v>
      </c>
      <c r="C46" t="s">
        <v>0</v>
      </c>
      <c r="D46" t="s">
        <v>211</v>
      </c>
      <c r="E46" t="s">
        <v>123</v>
      </c>
      <c r="F46">
        <v>82</v>
      </c>
      <c r="G46">
        <v>152</v>
      </c>
      <c r="H46">
        <v>116</v>
      </c>
      <c r="I46">
        <v>139</v>
      </c>
      <c r="J46">
        <v>148</v>
      </c>
      <c r="K46">
        <v>176</v>
      </c>
      <c r="L46">
        <v>129</v>
      </c>
      <c r="M46">
        <v>189</v>
      </c>
      <c r="N46">
        <v>204</v>
      </c>
      <c r="O46">
        <v>184</v>
      </c>
      <c r="P46">
        <v>206</v>
      </c>
      <c r="Q46">
        <v>193</v>
      </c>
      <c r="R46">
        <v>213</v>
      </c>
      <c r="S46">
        <v>303</v>
      </c>
      <c r="T46">
        <v>186</v>
      </c>
      <c r="U46">
        <v>159</v>
      </c>
      <c r="V46">
        <v>222</v>
      </c>
      <c r="W46">
        <v>237</v>
      </c>
      <c r="X46">
        <v>226</v>
      </c>
      <c r="Y46">
        <v>281</v>
      </c>
      <c r="Z46">
        <v>190</v>
      </c>
      <c r="AA46">
        <v>254</v>
      </c>
      <c r="AB46">
        <v>255</v>
      </c>
      <c r="AC46">
        <v>331</v>
      </c>
      <c r="AD46">
        <v>368</v>
      </c>
      <c r="AE46">
        <v>332</v>
      </c>
    </row>
    <row r="47" spans="1:31" x14ac:dyDescent="0.3">
      <c r="A47" t="s">
        <v>241</v>
      </c>
      <c r="B47" t="s">
        <v>212</v>
      </c>
      <c r="C47" t="s">
        <v>0</v>
      </c>
      <c r="D47" t="s">
        <v>213</v>
      </c>
      <c r="E47" t="s">
        <v>123</v>
      </c>
      <c r="F47">
        <v>555</v>
      </c>
      <c r="G47">
        <v>660</v>
      </c>
      <c r="H47">
        <v>725</v>
      </c>
      <c r="I47">
        <v>879</v>
      </c>
      <c r="J47">
        <v>760</v>
      </c>
      <c r="K47">
        <v>719</v>
      </c>
      <c r="L47">
        <v>523</v>
      </c>
      <c r="M47">
        <v>576</v>
      </c>
      <c r="N47">
        <v>634</v>
      </c>
      <c r="O47">
        <v>686</v>
      </c>
      <c r="P47">
        <v>772</v>
      </c>
      <c r="Q47">
        <v>538</v>
      </c>
      <c r="R47">
        <v>592</v>
      </c>
      <c r="S47">
        <v>750</v>
      </c>
      <c r="T47">
        <v>631</v>
      </c>
      <c r="U47">
        <v>531</v>
      </c>
      <c r="V47">
        <v>609</v>
      </c>
      <c r="W47">
        <v>824</v>
      </c>
      <c r="X47">
        <v>812</v>
      </c>
      <c r="Y47">
        <v>739</v>
      </c>
      <c r="Z47">
        <v>571</v>
      </c>
      <c r="AA47">
        <v>629</v>
      </c>
      <c r="AB47">
        <v>799</v>
      </c>
      <c r="AC47">
        <v>923</v>
      </c>
      <c r="AD47">
        <v>1015</v>
      </c>
      <c r="AE47">
        <v>1253</v>
      </c>
    </row>
    <row r="48" spans="1:31" x14ac:dyDescent="0.3">
      <c r="A48" t="s">
        <v>241</v>
      </c>
      <c r="B48" t="s">
        <v>214</v>
      </c>
      <c r="C48" t="s">
        <v>0</v>
      </c>
      <c r="D48" t="s">
        <v>215</v>
      </c>
      <c r="E48" t="s">
        <v>123</v>
      </c>
      <c r="F48">
        <v>742</v>
      </c>
      <c r="G48">
        <v>876</v>
      </c>
      <c r="H48">
        <v>979</v>
      </c>
      <c r="I48">
        <v>1127</v>
      </c>
      <c r="J48">
        <v>1013</v>
      </c>
      <c r="K48">
        <v>1023</v>
      </c>
      <c r="L48">
        <v>859</v>
      </c>
      <c r="M48">
        <v>957</v>
      </c>
      <c r="N48">
        <v>985</v>
      </c>
      <c r="O48">
        <v>1008</v>
      </c>
      <c r="P48">
        <v>1102</v>
      </c>
      <c r="Q48">
        <v>898</v>
      </c>
      <c r="R48">
        <v>974</v>
      </c>
      <c r="S48">
        <v>1105</v>
      </c>
      <c r="T48">
        <v>1005</v>
      </c>
      <c r="U48">
        <v>889</v>
      </c>
      <c r="V48">
        <v>1033</v>
      </c>
      <c r="W48">
        <v>1281</v>
      </c>
      <c r="X48">
        <v>1255</v>
      </c>
      <c r="Y48">
        <v>1165</v>
      </c>
      <c r="Z48">
        <v>1040</v>
      </c>
      <c r="AA48">
        <v>1099</v>
      </c>
      <c r="AB48">
        <v>1285</v>
      </c>
      <c r="AC48">
        <v>1418</v>
      </c>
      <c r="AD48">
        <v>1566</v>
      </c>
      <c r="AE48">
        <v>1807</v>
      </c>
    </row>
    <row r="49" spans="1:31" x14ac:dyDescent="0.3">
      <c r="A49" t="s">
        <v>241</v>
      </c>
      <c r="B49" t="s">
        <v>216</v>
      </c>
      <c r="C49" t="s">
        <v>0</v>
      </c>
      <c r="D49" t="s">
        <v>217</v>
      </c>
      <c r="E49" t="s">
        <v>123</v>
      </c>
      <c r="F49">
        <v>128</v>
      </c>
      <c r="G49">
        <v>128</v>
      </c>
      <c r="H49">
        <v>148</v>
      </c>
      <c r="I49">
        <v>144</v>
      </c>
      <c r="J49">
        <v>148</v>
      </c>
      <c r="K49">
        <v>166</v>
      </c>
      <c r="L49">
        <v>186</v>
      </c>
      <c r="M49">
        <v>207</v>
      </c>
      <c r="N49">
        <v>191</v>
      </c>
      <c r="O49">
        <v>175</v>
      </c>
      <c r="P49">
        <v>149</v>
      </c>
      <c r="Q49">
        <v>139</v>
      </c>
      <c r="R49">
        <v>139</v>
      </c>
      <c r="S49">
        <v>127</v>
      </c>
      <c r="T49">
        <v>156</v>
      </c>
      <c r="U49">
        <v>128</v>
      </c>
      <c r="V49">
        <v>171</v>
      </c>
      <c r="W49">
        <v>161</v>
      </c>
      <c r="X49">
        <v>151</v>
      </c>
      <c r="Y49">
        <v>150</v>
      </c>
      <c r="Z49">
        <v>153</v>
      </c>
      <c r="AA49">
        <v>164</v>
      </c>
      <c r="AB49">
        <v>181</v>
      </c>
      <c r="AC49">
        <v>159</v>
      </c>
      <c r="AD49">
        <v>205</v>
      </c>
      <c r="AE49">
        <v>194</v>
      </c>
    </row>
    <row r="50" spans="1:31" x14ac:dyDescent="0.3">
      <c r="A50" t="s">
        <v>241</v>
      </c>
      <c r="B50" t="s">
        <v>218</v>
      </c>
      <c r="C50" t="s">
        <v>0</v>
      </c>
      <c r="D50" t="s">
        <v>219</v>
      </c>
      <c r="E50" t="s">
        <v>123</v>
      </c>
      <c r="F50">
        <v>59</v>
      </c>
      <c r="G50">
        <v>88</v>
      </c>
      <c r="H50">
        <v>106</v>
      </c>
      <c r="I50">
        <v>104</v>
      </c>
      <c r="J50">
        <v>105</v>
      </c>
      <c r="K50">
        <v>138</v>
      </c>
      <c r="L50">
        <v>150</v>
      </c>
      <c r="M50">
        <v>174</v>
      </c>
      <c r="N50">
        <v>160</v>
      </c>
      <c r="O50">
        <v>147</v>
      </c>
      <c r="P50">
        <v>181</v>
      </c>
      <c r="Q50">
        <v>221</v>
      </c>
      <c r="R50">
        <v>243</v>
      </c>
      <c r="S50">
        <v>228</v>
      </c>
      <c r="T50">
        <v>218</v>
      </c>
      <c r="U50">
        <v>230</v>
      </c>
      <c r="V50">
        <v>253</v>
      </c>
      <c r="W50">
        <v>296</v>
      </c>
      <c r="X50">
        <v>292</v>
      </c>
      <c r="Y50">
        <v>276</v>
      </c>
      <c r="Z50">
        <v>316</v>
      </c>
      <c r="AA50">
        <v>306</v>
      </c>
      <c r="AB50">
        <v>305</v>
      </c>
      <c r="AC50">
        <v>336</v>
      </c>
      <c r="AD50">
        <v>346</v>
      </c>
      <c r="AE50">
        <v>360</v>
      </c>
    </row>
    <row r="51" spans="1:31" x14ac:dyDescent="0.3">
      <c r="A51" t="s">
        <v>241</v>
      </c>
      <c r="B51" t="s">
        <v>220</v>
      </c>
      <c r="C51" t="s">
        <v>0</v>
      </c>
      <c r="D51" t="s">
        <v>221</v>
      </c>
      <c r="E51" t="s">
        <v>123</v>
      </c>
      <c r="F51">
        <v>47</v>
      </c>
      <c r="G51">
        <v>72</v>
      </c>
      <c r="H51">
        <v>91</v>
      </c>
      <c r="I51">
        <v>91</v>
      </c>
      <c r="J51">
        <v>92</v>
      </c>
      <c r="K51">
        <v>120</v>
      </c>
      <c r="L51">
        <v>125</v>
      </c>
      <c r="M51">
        <v>150</v>
      </c>
      <c r="N51">
        <v>138</v>
      </c>
      <c r="O51">
        <v>124</v>
      </c>
      <c r="P51">
        <v>157</v>
      </c>
      <c r="Q51">
        <v>188</v>
      </c>
      <c r="R51">
        <v>207</v>
      </c>
      <c r="S51">
        <v>192</v>
      </c>
      <c r="T51">
        <v>179</v>
      </c>
      <c r="U51">
        <v>193</v>
      </c>
      <c r="V51">
        <v>213</v>
      </c>
      <c r="W51">
        <v>250</v>
      </c>
      <c r="X51">
        <v>245</v>
      </c>
      <c r="Y51">
        <v>223</v>
      </c>
      <c r="Z51">
        <v>262</v>
      </c>
      <c r="AA51">
        <v>243</v>
      </c>
      <c r="AB51">
        <v>265</v>
      </c>
      <c r="AC51">
        <v>281</v>
      </c>
      <c r="AD51">
        <v>274</v>
      </c>
      <c r="AE51">
        <v>298</v>
      </c>
    </row>
    <row r="52" spans="1:31" x14ac:dyDescent="0.3">
      <c r="A52" t="s">
        <v>241</v>
      </c>
      <c r="B52" t="s">
        <v>222</v>
      </c>
      <c r="C52" t="s">
        <v>0</v>
      </c>
      <c r="D52" t="s">
        <v>223</v>
      </c>
      <c r="E52" t="s">
        <v>123</v>
      </c>
      <c r="F52">
        <v>12</v>
      </c>
      <c r="G52">
        <v>16</v>
      </c>
      <c r="H52">
        <v>15</v>
      </c>
      <c r="I52">
        <v>13</v>
      </c>
      <c r="J52">
        <v>13</v>
      </c>
      <c r="K52">
        <v>18</v>
      </c>
      <c r="L52">
        <v>25</v>
      </c>
      <c r="M52">
        <v>24</v>
      </c>
      <c r="N52">
        <v>22</v>
      </c>
      <c r="O52">
        <v>23</v>
      </c>
      <c r="P52">
        <v>24</v>
      </c>
      <c r="Q52">
        <v>33</v>
      </c>
      <c r="R52">
        <v>36</v>
      </c>
      <c r="S52">
        <v>36</v>
      </c>
      <c r="T52">
        <v>39</v>
      </c>
      <c r="U52">
        <v>37</v>
      </c>
      <c r="V52">
        <v>40</v>
      </c>
      <c r="W52">
        <v>46</v>
      </c>
      <c r="X52">
        <v>47</v>
      </c>
      <c r="Y52">
        <v>53</v>
      </c>
      <c r="Z52">
        <v>54</v>
      </c>
      <c r="AA52">
        <v>63</v>
      </c>
      <c r="AB52">
        <v>40</v>
      </c>
      <c r="AC52">
        <v>55</v>
      </c>
      <c r="AD52">
        <v>72</v>
      </c>
      <c r="AE52">
        <v>62</v>
      </c>
    </row>
    <row r="53" spans="1:31" x14ac:dyDescent="0.3">
      <c r="A53" t="s">
        <v>241</v>
      </c>
      <c r="B53" t="s">
        <v>224</v>
      </c>
      <c r="C53" t="s">
        <v>0</v>
      </c>
      <c r="D53" t="s">
        <v>225</v>
      </c>
      <c r="E53" t="s">
        <v>123</v>
      </c>
      <c r="F53">
        <v>22</v>
      </c>
      <c r="G53">
        <v>46</v>
      </c>
      <c r="H53">
        <v>71</v>
      </c>
      <c r="I53">
        <v>57</v>
      </c>
      <c r="J53">
        <v>-12</v>
      </c>
      <c r="K53">
        <v>57</v>
      </c>
      <c r="L53">
        <v>58</v>
      </c>
      <c r="M53">
        <v>50</v>
      </c>
      <c r="N53">
        <v>53</v>
      </c>
      <c r="O53">
        <v>54</v>
      </c>
      <c r="P53">
        <v>54</v>
      </c>
      <c r="Q53">
        <v>59</v>
      </c>
      <c r="R53">
        <v>63</v>
      </c>
      <c r="S53">
        <v>57</v>
      </c>
      <c r="T53">
        <v>59</v>
      </c>
      <c r="U53">
        <v>51</v>
      </c>
      <c r="V53">
        <v>66</v>
      </c>
      <c r="W53">
        <v>80</v>
      </c>
      <c r="X53">
        <v>79</v>
      </c>
      <c r="Y53">
        <v>84</v>
      </c>
      <c r="Z53">
        <v>85</v>
      </c>
      <c r="AA53">
        <v>120</v>
      </c>
      <c r="AB53">
        <v>115</v>
      </c>
      <c r="AC53">
        <v>136</v>
      </c>
      <c r="AD53">
        <v>135</v>
      </c>
      <c r="AE53">
        <v>128</v>
      </c>
    </row>
    <row r="54" spans="1:31" x14ac:dyDescent="0.3">
      <c r="A54" t="s">
        <v>241</v>
      </c>
      <c r="B54" t="s">
        <v>226</v>
      </c>
      <c r="C54" t="s">
        <v>0</v>
      </c>
      <c r="D54" t="s">
        <v>227</v>
      </c>
      <c r="E54" t="s">
        <v>123</v>
      </c>
      <c r="F54">
        <v>59</v>
      </c>
      <c r="G54">
        <v>89</v>
      </c>
      <c r="H54">
        <v>126</v>
      </c>
      <c r="I54">
        <v>111</v>
      </c>
      <c r="J54">
        <v>40</v>
      </c>
      <c r="K54">
        <v>111</v>
      </c>
      <c r="L54">
        <v>113</v>
      </c>
      <c r="M54">
        <v>104</v>
      </c>
      <c r="N54">
        <v>120</v>
      </c>
      <c r="O54">
        <v>108</v>
      </c>
      <c r="P54">
        <v>110</v>
      </c>
      <c r="Q54">
        <v>118</v>
      </c>
      <c r="R54">
        <v>139</v>
      </c>
      <c r="S54">
        <v>142</v>
      </c>
      <c r="T54">
        <v>143</v>
      </c>
      <c r="U54">
        <v>120</v>
      </c>
      <c r="V54">
        <v>153</v>
      </c>
      <c r="W54">
        <v>145</v>
      </c>
      <c r="X54">
        <v>140</v>
      </c>
      <c r="Y54">
        <v>148</v>
      </c>
      <c r="Z54">
        <v>174</v>
      </c>
      <c r="AA54">
        <v>205</v>
      </c>
      <c r="AB54">
        <v>200</v>
      </c>
      <c r="AC54">
        <v>217</v>
      </c>
      <c r="AD54">
        <v>231</v>
      </c>
      <c r="AE54">
        <v>228</v>
      </c>
    </row>
    <row r="55" spans="1:31" x14ac:dyDescent="0.3">
      <c r="A55" t="s">
        <v>241</v>
      </c>
      <c r="B55" t="s">
        <v>228</v>
      </c>
      <c r="C55" t="s">
        <v>0</v>
      </c>
      <c r="D55" t="s">
        <v>229</v>
      </c>
      <c r="E55" t="s">
        <v>123</v>
      </c>
      <c r="F55">
        <v>37</v>
      </c>
      <c r="G55">
        <v>43</v>
      </c>
      <c r="H55">
        <v>55</v>
      </c>
      <c r="I55">
        <v>54</v>
      </c>
      <c r="J55">
        <v>52</v>
      </c>
      <c r="K55">
        <v>54</v>
      </c>
      <c r="L55">
        <v>55</v>
      </c>
      <c r="M55">
        <v>54</v>
      </c>
      <c r="N55">
        <v>67</v>
      </c>
      <c r="O55">
        <v>54</v>
      </c>
      <c r="P55">
        <v>56</v>
      </c>
      <c r="Q55">
        <v>59</v>
      </c>
      <c r="R55">
        <v>76</v>
      </c>
      <c r="S55">
        <v>85</v>
      </c>
      <c r="T55">
        <v>84</v>
      </c>
      <c r="U55">
        <v>69</v>
      </c>
      <c r="V55">
        <v>87</v>
      </c>
      <c r="W55">
        <v>65</v>
      </c>
      <c r="X55">
        <v>61</v>
      </c>
      <c r="Y55">
        <v>64</v>
      </c>
      <c r="Z55">
        <v>89</v>
      </c>
      <c r="AA55">
        <v>85</v>
      </c>
      <c r="AB55">
        <v>85</v>
      </c>
      <c r="AC55">
        <v>81</v>
      </c>
      <c r="AD55">
        <v>96</v>
      </c>
      <c r="AE55">
        <v>100</v>
      </c>
    </row>
    <row r="56" spans="1:31" x14ac:dyDescent="0.3">
      <c r="A56" t="s">
        <v>241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241</v>
      </c>
      <c r="B57" t="s">
        <v>232</v>
      </c>
      <c r="C57" t="s">
        <v>0</v>
      </c>
      <c r="D57" t="s">
        <v>233</v>
      </c>
      <c r="E57" t="s">
        <v>123</v>
      </c>
      <c r="F57">
        <v>4257</v>
      </c>
      <c r="G57">
        <v>5201</v>
      </c>
      <c r="H57">
        <v>5831</v>
      </c>
      <c r="I57">
        <v>6045</v>
      </c>
      <c r="J57">
        <v>5507</v>
      </c>
      <c r="K57">
        <v>5950</v>
      </c>
      <c r="L57">
        <v>6515</v>
      </c>
      <c r="M57">
        <v>6209</v>
      </c>
      <c r="N57">
        <v>5982</v>
      </c>
      <c r="O57">
        <v>5623</v>
      </c>
      <c r="P57">
        <v>5891</v>
      </c>
      <c r="Q57">
        <v>5375</v>
      </c>
      <c r="R57">
        <v>6533</v>
      </c>
      <c r="S57">
        <v>7013</v>
      </c>
      <c r="T57">
        <v>6104</v>
      </c>
      <c r="U57">
        <v>5000</v>
      </c>
      <c r="V57">
        <v>5942</v>
      </c>
      <c r="W57">
        <v>6830</v>
      </c>
      <c r="X57">
        <v>6363</v>
      </c>
      <c r="Y57">
        <v>6604</v>
      </c>
      <c r="Z57">
        <v>6771</v>
      </c>
      <c r="AA57">
        <v>7818</v>
      </c>
      <c r="AB57">
        <v>9034</v>
      </c>
      <c r="AC57">
        <v>8818</v>
      </c>
      <c r="AD57">
        <v>8794</v>
      </c>
      <c r="AE57">
        <v>9252</v>
      </c>
    </row>
    <row r="58" spans="1:31" x14ac:dyDescent="0.3">
      <c r="A58" t="s">
        <v>241</v>
      </c>
      <c r="B58" t="s">
        <v>234</v>
      </c>
      <c r="C58" t="s">
        <v>0</v>
      </c>
      <c r="D58" t="s">
        <v>235</v>
      </c>
      <c r="E58" t="s">
        <v>123</v>
      </c>
      <c r="F58">
        <v>4257</v>
      </c>
      <c r="G58">
        <v>5201</v>
      </c>
      <c r="H58">
        <v>5831</v>
      </c>
      <c r="I58">
        <v>6045</v>
      </c>
      <c r="J58">
        <v>5507</v>
      </c>
      <c r="K58">
        <v>5950</v>
      </c>
      <c r="L58">
        <v>6515</v>
      </c>
      <c r="M58">
        <v>6209</v>
      </c>
      <c r="N58">
        <v>5982</v>
      </c>
      <c r="O58">
        <v>5623</v>
      </c>
      <c r="P58">
        <v>5891</v>
      </c>
      <c r="Q58">
        <v>5375</v>
      </c>
      <c r="R58">
        <v>6533</v>
      </c>
      <c r="S58">
        <v>7013</v>
      </c>
      <c r="T58">
        <v>6104</v>
      </c>
      <c r="U58">
        <v>5000</v>
      </c>
      <c r="V58">
        <v>5942</v>
      </c>
      <c r="W58">
        <v>6830</v>
      </c>
      <c r="X58">
        <v>6363</v>
      </c>
      <c r="Y58">
        <v>6604</v>
      </c>
      <c r="Z58">
        <v>6771</v>
      </c>
      <c r="AA58">
        <v>7818</v>
      </c>
      <c r="AB58">
        <v>9034</v>
      </c>
      <c r="AC58">
        <v>8818</v>
      </c>
      <c r="AD58">
        <v>8794</v>
      </c>
      <c r="AE58">
        <v>9252</v>
      </c>
    </row>
    <row r="59" spans="1:31" x14ac:dyDescent="0.3">
      <c r="A59" t="s">
        <v>241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242</v>
      </c>
      <c r="B2" t="s">
        <v>121</v>
      </c>
      <c r="C2" t="s">
        <v>0</v>
      </c>
      <c r="D2" t="s">
        <v>122</v>
      </c>
      <c r="E2" t="s">
        <v>123</v>
      </c>
      <c r="F2">
        <v>392</v>
      </c>
      <c r="G2">
        <v>460</v>
      </c>
      <c r="H2">
        <v>600</v>
      </c>
      <c r="I2">
        <v>676</v>
      </c>
      <c r="J2">
        <v>692</v>
      </c>
      <c r="K2">
        <v>692</v>
      </c>
      <c r="L2">
        <v>755</v>
      </c>
      <c r="M2">
        <v>752</v>
      </c>
      <c r="N2">
        <v>719</v>
      </c>
      <c r="O2">
        <v>662</v>
      </c>
      <c r="P2">
        <v>768</v>
      </c>
      <c r="Q2">
        <v>815</v>
      </c>
      <c r="R2">
        <v>960</v>
      </c>
      <c r="S2">
        <v>935</v>
      </c>
      <c r="T2">
        <v>919</v>
      </c>
      <c r="U2">
        <v>860</v>
      </c>
      <c r="V2">
        <v>878</v>
      </c>
      <c r="W2">
        <v>903</v>
      </c>
      <c r="X2">
        <v>970</v>
      </c>
      <c r="Y2">
        <v>951</v>
      </c>
      <c r="Z2">
        <v>673</v>
      </c>
      <c r="AA2">
        <v>797</v>
      </c>
      <c r="AB2">
        <v>854</v>
      </c>
      <c r="AC2">
        <v>857</v>
      </c>
      <c r="AD2">
        <v>934</v>
      </c>
      <c r="AE2">
        <v>978</v>
      </c>
    </row>
    <row r="3" spans="1:31" x14ac:dyDescent="0.3">
      <c r="A3" t="s">
        <v>242</v>
      </c>
      <c r="B3" t="s">
        <v>124</v>
      </c>
      <c r="C3" t="s">
        <v>0</v>
      </c>
      <c r="D3" t="s">
        <v>125</v>
      </c>
      <c r="E3" t="s">
        <v>123</v>
      </c>
      <c r="F3">
        <v>11</v>
      </c>
      <c r="G3">
        <v>12</v>
      </c>
      <c r="H3">
        <v>11</v>
      </c>
      <c r="I3">
        <v>12</v>
      </c>
      <c r="J3">
        <v>25</v>
      </c>
      <c r="K3">
        <v>47</v>
      </c>
      <c r="L3">
        <v>35</v>
      </c>
      <c r="M3">
        <v>21</v>
      </c>
      <c r="N3">
        <v>37</v>
      </c>
      <c r="O3">
        <v>21</v>
      </c>
      <c r="P3">
        <v>30</v>
      </c>
      <c r="Q3">
        <v>37</v>
      </c>
      <c r="R3">
        <v>233</v>
      </c>
      <c r="S3">
        <v>273</v>
      </c>
      <c r="T3">
        <v>135</v>
      </c>
      <c r="U3">
        <v>126</v>
      </c>
      <c r="V3">
        <v>197</v>
      </c>
      <c r="W3">
        <v>151</v>
      </c>
      <c r="X3">
        <v>83</v>
      </c>
      <c r="Y3">
        <v>93</v>
      </c>
      <c r="Z3">
        <v>182</v>
      </c>
      <c r="AA3">
        <v>99</v>
      </c>
      <c r="AB3">
        <v>132</v>
      </c>
      <c r="AC3">
        <v>153</v>
      </c>
      <c r="AD3">
        <v>174</v>
      </c>
      <c r="AE3">
        <v>161</v>
      </c>
    </row>
    <row r="4" spans="1:31" x14ac:dyDescent="0.3">
      <c r="A4" t="s">
        <v>242</v>
      </c>
      <c r="B4" t="s">
        <v>126</v>
      </c>
      <c r="C4" t="s">
        <v>0</v>
      </c>
      <c r="D4" t="s">
        <v>127</v>
      </c>
      <c r="E4" t="s">
        <v>123</v>
      </c>
      <c r="F4">
        <v>756</v>
      </c>
      <c r="G4">
        <v>632</v>
      </c>
      <c r="H4">
        <v>646</v>
      </c>
      <c r="I4">
        <v>653</v>
      </c>
      <c r="J4">
        <v>621</v>
      </c>
      <c r="K4">
        <v>616</v>
      </c>
      <c r="L4">
        <v>650</v>
      </c>
      <c r="M4">
        <v>751</v>
      </c>
      <c r="N4">
        <v>563</v>
      </c>
      <c r="O4">
        <v>492</v>
      </c>
      <c r="P4">
        <v>548</v>
      </c>
      <c r="Q4">
        <v>666</v>
      </c>
      <c r="R4">
        <v>759</v>
      </c>
      <c r="S4">
        <v>691</v>
      </c>
      <c r="T4">
        <v>567</v>
      </c>
      <c r="U4">
        <v>397</v>
      </c>
      <c r="V4">
        <v>462</v>
      </c>
      <c r="W4">
        <v>400</v>
      </c>
      <c r="X4">
        <v>396</v>
      </c>
      <c r="Y4">
        <v>520</v>
      </c>
      <c r="Z4">
        <v>595</v>
      </c>
      <c r="AA4">
        <v>780</v>
      </c>
      <c r="AB4">
        <v>790</v>
      </c>
      <c r="AC4">
        <v>827</v>
      </c>
      <c r="AD4">
        <v>742</v>
      </c>
      <c r="AE4">
        <v>772</v>
      </c>
    </row>
    <row r="5" spans="1:31" x14ac:dyDescent="0.3">
      <c r="A5" t="s">
        <v>242</v>
      </c>
      <c r="B5" t="s">
        <v>128</v>
      </c>
      <c r="C5" t="s">
        <v>0</v>
      </c>
      <c r="D5" t="s">
        <v>129</v>
      </c>
      <c r="E5" t="s">
        <v>123</v>
      </c>
      <c r="F5">
        <v>74</v>
      </c>
      <c r="G5">
        <v>96</v>
      </c>
      <c r="H5">
        <v>87</v>
      </c>
      <c r="I5">
        <v>65</v>
      </c>
      <c r="J5">
        <v>62</v>
      </c>
      <c r="K5">
        <v>90</v>
      </c>
      <c r="L5">
        <v>115</v>
      </c>
      <c r="M5">
        <v>134</v>
      </c>
      <c r="N5">
        <v>80</v>
      </c>
      <c r="O5">
        <v>58</v>
      </c>
      <c r="P5">
        <v>117</v>
      </c>
      <c r="Q5">
        <v>103</v>
      </c>
      <c r="R5">
        <v>127</v>
      </c>
      <c r="S5">
        <v>106</v>
      </c>
      <c r="T5">
        <v>57</v>
      </c>
      <c r="U5">
        <v>53</v>
      </c>
      <c r="V5">
        <v>90</v>
      </c>
      <c r="W5">
        <v>141</v>
      </c>
      <c r="X5">
        <v>110</v>
      </c>
      <c r="Y5">
        <v>163</v>
      </c>
      <c r="Z5">
        <v>123</v>
      </c>
      <c r="AA5">
        <v>226</v>
      </c>
      <c r="AB5">
        <v>97</v>
      </c>
      <c r="AC5">
        <v>93</v>
      </c>
      <c r="AD5">
        <v>120</v>
      </c>
      <c r="AE5">
        <v>149</v>
      </c>
    </row>
    <row r="6" spans="1:31" x14ac:dyDescent="0.3">
      <c r="A6" t="s">
        <v>242</v>
      </c>
      <c r="B6" t="s">
        <v>130</v>
      </c>
      <c r="C6" t="s">
        <v>0</v>
      </c>
      <c r="D6" t="s">
        <v>131</v>
      </c>
      <c r="E6" t="s">
        <v>123</v>
      </c>
      <c r="F6">
        <v>12</v>
      </c>
      <c r="G6">
        <v>2</v>
      </c>
      <c r="H6">
        <v>9</v>
      </c>
      <c r="I6">
        <v>10</v>
      </c>
      <c r="J6">
        <v>7</v>
      </c>
      <c r="K6">
        <v>5</v>
      </c>
      <c r="L6">
        <v>7</v>
      </c>
      <c r="M6">
        <v>5</v>
      </c>
      <c r="N6">
        <v>5</v>
      </c>
      <c r="O6">
        <v>0</v>
      </c>
      <c r="P6">
        <v>2</v>
      </c>
      <c r="Q6">
        <v>8</v>
      </c>
      <c r="R6">
        <v>2</v>
      </c>
      <c r="S6">
        <v>4</v>
      </c>
      <c r="T6">
        <v>-7</v>
      </c>
      <c r="U6">
        <v>-2</v>
      </c>
      <c r="V6">
        <v>3</v>
      </c>
      <c r="W6">
        <v>14</v>
      </c>
      <c r="X6">
        <v>1</v>
      </c>
      <c r="Y6">
        <v>5</v>
      </c>
      <c r="Z6">
        <v>6</v>
      </c>
      <c r="AA6">
        <v>0</v>
      </c>
      <c r="AB6">
        <v>4</v>
      </c>
      <c r="AC6">
        <v>7</v>
      </c>
      <c r="AD6">
        <v>6</v>
      </c>
      <c r="AE6">
        <v>-2</v>
      </c>
    </row>
    <row r="7" spans="1:31" x14ac:dyDescent="0.3">
      <c r="A7" t="s">
        <v>242</v>
      </c>
      <c r="B7" t="s">
        <v>132</v>
      </c>
      <c r="C7" t="s">
        <v>0</v>
      </c>
      <c r="D7" t="s">
        <v>133</v>
      </c>
      <c r="E7" t="s">
        <v>123</v>
      </c>
      <c r="F7">
        <v>275</v>
      </c>
      <c r="G7">
        <v>181</v>
      </c>
      <c r="H7">
        <v>179</v>
      </c>
      <c r="I7">
        <v>148</v>
      </c>
      <c r="J7">
        <v>147</v>
      </c>
      <c r="K7">
        <v>192</v>
      </c>
      <c r="L7">
        <v>174</v>
      </c>
      <c r="M7">
        <v>143</v>
      </c>
      <c r="N7">
        <v>97</v>
      </c>
      <c r="O7">
        <v>126</v>
      </c>
      <c r="P7">
        <v>144</v>
      </c>
      <c r="Q7">
        <v>113</v>
      </c>
      <c r="R7">
        <v>194</v>
      </c>
      <c r="S7">
        <v>125</v>
      </c>
      <c r="T7">
        <v>32</v>
      </c>
      <c r="U7">
        <v>19</v>
      </c>
      <c r="V7">
        <v>53</v>
      </c>
      <c r="W7">
        <v>65</v>
      </c>
      <c r="X7">
        <v>75</v>
      </c>
      <c r="Y7">
        <v>43</v>
      </c>
      <c r="Z7">
        <v>71</v>
      </c>
      <c r="AA7">
        <v>235</v>
      </c>
      <c r="AB7">
        <v>160</v>
      </c>
      <c r="AC7">
        <v>198</v>
      </c>
      <c r="AD7">
        <v>155</v>
      </c>
      <c r="AE7">
        <v>134</v>
      </c>
    </row>
    <row r="8" spans="1:31" x14ac:dyDescent="0.3">
      <c r="A8" t="s">
        <v>242</v>
      </c>
      <c r="B8" t="s">
        <v>134</v>
      </c>
      <c r="C8" t="s">
        <v>0</v>
      </c>
      <c r="D8" t="s">
        <v>135</v>
      </c>
      <c r="E8" t="s">
        <v>123</v>
      </c>
      <c r="F8">
        <v>8</v>
      </c>
      <c r="G8">
        <v>11</v>
      </c>
      <c r="H8">
        <v>20</v>
      </c>
      <c r="I8">
        <v>14</v>
      </c>
      <c r="J8">
        <v>39</v>
      </c>
      <c r="K8">
        <v>25</v>
      </c>
      <c r="L8">
        <v>15</v>
      </c>
      <c r="M8">
        <v>24</v>
      </c>
      <c r="N8">
        <v>36</v>
      </c>
      <c r="O8">
        <v>37</v>
      </c>
      <c r="P8">
        <v>68</v>
      </c>
      <c r="Q8">
        <v>61</v>
      </c>
      <c r="R8">
        <v>174</v>
      </c>
      <c r="S8">
        <v>57</v>
      </c>
      <c r="T8">
        <v>136</v>
      </c>
      <c r="U8">
        <v>52</v>
      </c>
      <c r="V8">
        <v>32</v>
      </c>
      <c r="W8">
        <v>46</v>
      </c>
      <c r="X8">
        <v>61</v>
      </c>
      <c r="Y8">
        <v>57</v>
      </c>
      <c r="Z8">
        <v>79</v>
      </c>
      <c r="AA8">
        <v>-7</v>
      </c>
      <c r="AB8">
        <v>55</v>
      </c>
      <c r="AC8">
        <v>50</v>
      </c>
      <c r="AD8">
        <v>45</v>
      </c>
      <c r="AE8">
        <v>14</v>
      </c>
    </row>
    <row r="9" spans="1:31" x14ac:dyDescent="0.3">
      <c r="A9" t="s">
        <v>242</v>
      </c>
      <c r="B9" t="s">
        <v>136</v>
      </c>
      <c r="C9" t="s">
        <v>0</v>
      </c>
      <c r="D9" t="s">
        <v>137</v>
      </c>
      <c r="E9" t="s">
        <v>123</v>
      </c>
      <c r="F9">
        <v>83</v>
      </c>
      <c r="G9">
        <v>34</v>
      </c>
      <c r="H9">
        <v>49</v>
      </c>
      <c r="I9">
        <v>57</v>
      </c>
      <c r="J9">
        <v>42</v>
      </c>
      <c r="K9">
        <v>30</v>
      </c>
      <c r="L9">
        <v>43</v>
      </c>
      <c r="M9">
        <v>69</v>
      </c>
      <c r="N9">
        <v>37</v>
      </c>
      <c r="O9">
        <v>57</v>
      </c>
      <c r="P9">
        <v>8</v>
      </c>
      <c r="Q9">
        <v>52</v>
      </c>
      <c r="R9">
        <v>20</v>
      </c>
      <c r="S9">
        <v>54</v>
      </c>
      <c r="T9">
        <v>133</v>
      </c>
      <c r="U9">
        <v>43</v>
      </c>
      <c r="V9">
        <v>29</v>
      </c>
      <c r="W9">
        <v>38</v>
      </c>
      <c r="X9">
        <v>35</v>
      </c>
      <c r="Y9">
        <v>41</v>
      </c>
      <c r="Z9">
        <v>69</v>
      </c>
      <c r="AA9">
        <v>76</v>
      </c>
      <c r="AB9">
        <v>178</v>
      </c>
      <c r="AC9">
        <v>94</v>
      </c>
      <c r="AD9">
        <v>82</v>
      </c>
      <c r="AE9">
        <v>57</v>
      </c>
    </row>
    <row r="10" spans="1:31" x14ac:dyDescent="0.3">
      <c r="A10" t="s">
        <v>242</v>
      </c>
      <c r="B10" t="s">
        <v>138</v>
      </c>
      <c r="C10" t="s">
        <v>0</v>
      </c>
      <c r="D10" t="s">
        <v>139</v>
      </c>
      <c r="E10" t="s">
        <v>123</v>
      </c>
      <c r="F10">
        <v>88</v>
      </c>
      <c r="G10">
        <v>37</v>
      </c>
      <c r="H10">
        <v>53</v>
      </c>
      <c r="I10">
        <v>63</v>
      </c>
      <c r="J10">
        <v>50</v>
      </c>
      <c r="K10">
        <v>39</v>
      </c>
      <c r="L10">
        <v>46</v>
      </c>
      <c r="M10">
        <v>86</v>
      </c>
      <c r="N10">
        <v>47</v>
      </c>
      <c r="O10">
        <v>68</v>
      </c>
      <c r="P10">
        <v>8</v>
      </c>
      <c r="Q10">
        <v>62</v>
      </c>
      <c r="R10">
        <v>24</v>
      </c>
      <c r="S10">
        <v>60</v>
      </c>
      <c r="T10">
        <v>142</v>
      </c>
      <c r="U10">
        <v>49</v>
      </c>
      <c r="V10">
        <v>34</v>
      </c>
      <c r="W10">
        <v>62</v>
      </c>
      <c r="X10">
        <v>104</v>
      </c>
      <c r="Y10">
        <v>62</v>
      </c>
      <c r="Z10">
        <v>85</v>
      </c>
      <c r="AA10">
        <v>87</v>
      </c>
      <c r="AB10">
        <v>196</v>
      </c>
      <c r="AC10">
        <v>116</v>
      </c>
      <c r="AD10">
        <v>103</v>
      </c>
      <c r="AE10">
        <v>87</v>
      </c>
    </row>
    <row r="11" spans="1:31" x14ac:dyDescent="0.3">
      <c r="A11" t="s">
        <v>242</v>
      </c>
      <c r="B11" t="s">
        <v>140</v>
      </c>
      <c r="C11" t="s">
        <v>0</v>
      </c>
      <c r="D11" t="s">
        <v>141</v>
      </c>
      <c r="E11" t="s">
        <v>123</v>
      </c>
      <c r="F11">
        <v>5</v>
      </c>
      <c r="G11">
        <v>3</v>
      </c>
      <c r="H11">
        <v>4</v>
      </c>
      <c r="I11">
        <v>6</v>
      </c>
      <c r="J11">
        <v>8</v>
      </c>
      <c r="K11">
        <v>9</v>
      </c>
      <c r="L11">
        <v>3</v>
      </c>
      <c r="M11">
        <v>17</v>
      </c>
      <c r="N11">
        <v>10</v>
      </c>
      <c r="O11">
        <v>11</v>
      </c>
      <c r="P11">
        <v>0</v>
      </c>
      <c r="Q11">
        <v>10</v>
      </c>
      <c r="R11">
        <v>4</v>
      </c>
      <c r="S11">
        <v>6</v>
      </c>
      <c r="T11">
        <v>9</v>
      </c>
      <c r="U11">
        <v>6</v>
      </c>
      <c r="V11">
        <v>5</v>
      </c>
      <c r="W11">
        <v>24</v>
      </c>
      <c r="X11">
        <v>69</v>
      </c>
      <c r="Y11">
        <v>21</v>
      </c>
      <c r="Z11">
        <v>16</v>
      </c>
      <c r="AA11">
        <v>11</v>
      </c>
      <c r="AB11">
        <v>18</v>
      </c>
      <c r="AC11">
        <v>22</v>
      </c>
      <c r="AD11">
        <v>21</v>
      </c>
      <c r="AE11">
        <v>30</v>
      </c>
    </row>
    <row r="12" spans="1:31" x14ac:dyDescent="0.3">
      <c r="A12" t="s">
        <v>242</v>
      </c>
      <c r="B12" t="s">
        <v>142</v>
      </c>
      <c r="C12" t="s">
        <v>0</v>
      </c>
      <c r="D12" t="s">
        <v>143</v>
      </c>
      <c r="E12" t="s">
        <v>123</v>
      </c>
      <c r="F12">
        <v>34</v>
      </c>
      <c r="G12">
        <v>18</v>
      </c>
      <c r="H12">
        <v>37</v>
      </c>
      <c r="I12">
        <v>64</v>
      </c>
      <c r="J12">
        <v>64</v>
      </c>
      <c r="K12">
        <v>19</v>
      </c>
      <c r="L12">
        <v>35</v>
      </c>
      <c r="M12">
        <v>37</v>
      </c>
      <c r="N12">
        <v>40</v>
      </c>
      <c r="O12">
        <v>44</v>
      </c>
      <c r="P12">
        <v>54</v>
      </c>
      <c r="Q12">
        <v>67</v>
      </c>
      <c r="R12">
        <v>18</v>
      </c>
      <c r="S12">
        <v>41</v>
      </c>
      <c r="T12">
        <v>29</v>
      </c>
      <c r="U12">
        <v>33</v>
      </c>
      <c r="V12">
        <v>42</v>
      </c>
      <c r="W12">
        <v>36</v>
      </c>
      <c r="X12">
        <v>26</v>
      </c>
      <c r="Y12">
        <v>23</v>
      </c>
      <c r="Z12">
        <v>38</v>
      </c>
      <c r="AA12">
        <v>49</v>
      </c>
      <c r="AB12">
        <v>37</v>
      </c>
      <c r="AC12">
        <v>58</v>
      </c>
      <c r="AD12">
        <v>54</v>
      </c>
      <c r="AE12">
        <v>76</v>
      </c>
    </row>
    <row r="13" spans="1:31" x14ac:dyDescent="0.3">
      <c r="A13" t="s">
        <v>242</v>
      </c>
      <c r="B13" t="s">
        <v>144</v>
      </c>
      <c r="C13" t="s">
        <v>0</v>
      </c>
      <c r="D13" t="s">
        <v>145</v>
      </c>
      <c r="E13" t="s">
        <v>123</v>
      </c>
      <c r="F13">
        <v>91</v>
      </c>
      <c r="G13">
        <v>135</v>
      </c>
      <c r="H13">
        <v>125</v>
      </c>
      <c r="I13">
        <v>100</v>
      </c>
      <c r="J13">
        <v>89</v>
      </c>
      <c r="K13">
        <v>76</v>
      </c>
      <c r="L13">
        <v>99</v>
      </c>
      <c r="M13">
        <v>227</v>
      </c>
      <c r="N13">
        <v>157</v>
      </c>
      <c r="O13">
        <v>104</v>
      </c>
      <c r="P13">
        <v>69</v>
      </c>
      <c r="Q13">
        <v>84</v>
      </c>
      <c r="R13">
        <v>99</v>
      </c>
      <c r="S13">
        <v>181</v>
      </c>
      <c r="T13">
        <v>123</v>
      </c>
      <c r="U13">
        <v>82</v>
      </c>
      <c r="V13">
        <v>158</v>
      </c>
      <c r="W13">
        <v>139</v>
      </c>
      <c r="X13">
        <v>56</v>
      </c>
      <c r="Y13">
        <v>87</v>
      </c>
      <c r="Z13">
        <v>79</v>
      </c>
      <c r="AA13">
        <v>68</v>
      </c>
      <c r="AB13">
        <v>96</v>
      </c>
      <c r="AC13">
        <v>116</v>
      </c>
      <c r="AD13">
        <v>111</v>
      </c>
      <c r="AE13">
        <v>98</v>
      </c>
    </row>
    <row r="14" spans="1:31" x14ac:dyDescent="0.3">
      <c r="A14" t="s">
        <v>242</v>
      </c>
      <c r="B14" t="s">
        <v>146</v>
      </c>
      <c r="C14" t="s">
        <v>0</v>
      </c>
      <c r="D14" t="s">
        <v>147</v>
      </c>
      <c r="E14" t="s">
        <v>123</v>
      </c>
      <c r="F14">
        <v>49</v>
      </c>
      <c r="G14">
        <v>90</v>
      </c>
      <c r="H14">
        <v>25</v>
      </c>
      <c r="I14">
        <v>67</v>
      </c>
      <c r="J14">
        <v>79</v>
      </c>
      <c r="K14">
        <v>67</v>
      </c>
      <c r="L14">
        <v>74</v>
      </c>
      <c r="M14">
        <v>10</v>
      </c>
      <c r="N14">
        <v>16</v>
      </c>
      <c r="O14">
        <v>10</v>
      </c>
      <c r="P14">
        <v>21</v>
      </c>
      <c r="Q14">
        <v>73</v>
      </c>
      <c r="R14">
        <v>5</v>
      </c>
      <c r="S14">
        <v>23</v>
      </c>
      <c r="T14">
        <v>-23</v>
      </c>
      <c r="U14">
        <v>43</v>
      </c>
      <c r="V14">
        <v>7</v>
      </c>
      <c r="W14">
        <v>-197</v>
      </c>
      <c r="X14">
        <v>-58</v>
      </c>
      <c r="Y14">
        <v>7</v>
      </c>
      <c r="Z14">
        <v>10</v>
      </c>
      <c r="AA14">
        <v>-2</v>
      </c>
      <c r="AB14">
        <v>13</v>
      </c>
      <c r="AC14">
        <v>18</v>
      </c>
      <c r="AD14">
        <v>25</v>
      </c>
      <c r="AE14">
        <v>58</v>
      </c>
    </row>
    <row r="15" spans="1:31" x14ac:dyDescent="0.3">
      <c r="A15" t="s">
        <v>242</v>
      </c>
      <c r="B15" t="s">
        <v>148</v>
      </c>
      <c r="C15" t="s">
        <v>0</v>
      </c>
      <c r="D15" t="s">
        <v>149</v>
      </c>
      <c r="E15" t="s">
        <v>123</v>
      </c>
      <c r="F15">
        <v>68</v>
      </c>
      <c r="G15">
        <v>101</v>
      </c>
      <c r="H15">
        <v>41</v>
      </c>
      <c r="I15">
        <v>75</v>
      </c>
      <c r="J15">
        <v>91</v>
      </c>
      <c r="K15">
        <v>74</v>
      </c>
      <c r="L15">
        <v>90</v>
      </c>
      <c r="M15">
        <v>25</v>
      </c>
      <c r="N15">
        <v>24</v>
      </c>
      <c r="O15">
        <v>20</v>
      </c>
      <c r="P15">
        <v>18</v>
      </c>
      <c r="Q15">
        <v>91</v>
      </c>
      <c r="R15">
        <v>45</v>
      </c>
      <c r="S15">
        <v>49</v>
      </c>
      <c r="T15">
        <v>-8</v>
      </c>
      <c r="U15">
        <v>64</v>
      </c>
      <c r="V15">
        <v>13</v>
      </c>
      <c r="W15">
        <v>-186</v>
      </c>
      <c r="X15">
        <v>-54</v>
      </c>
      <c r="Y15">
        <v>22</v>
      </c>
      <c r="Z15">
        <v>49</v>
      </c>
      <c r="AA15">
        <v>8</v>
      </c>
      <c r="AB15">
        <v>16</v>
      </c>
      <c r="AC15">
        <v>52</v>
      </c>
      <c r="AD15">
        <v>76</v>
      </c>
      <c r="AE15">
        <v>92</v>
      </c>
    </row>
    <row r="16" spans="1:31" x14ac:dyDescent="0.3">
      <c r="A16" t="s">
        <v>242</v>
      </c>
      <c r="B16" t="s">
        <v>150</v>
      </c>
      <c r="C16" t="s">
        <v>0</v>
      </c>
      <c r="D16" t="s">
        <v>151</v>
      </c>
      <c r="E16" t="s">
        <v>123</v>
      </c>
      <c r="F16">
        <v>19</v>
      </c>
      <c r="G16">
        <v>11</v>
      </c>
      <c r="H16">
        <v>16</v>
      </c>
      <c r="I16">
        <v>8</v>
      </c>
      <c r="J16">
        <v>12</v>
      </c>
      <c r="K16">
        <v>7</v>
      </c>
      <c r="L16">
        <v>16</v>
      </c>
      <c r="M16">
        <v>15</v>
      </c>
      <c r="N16">
        <v>8</v>
      </c>
      <c r="O16">
        <v>10</v>
      </c>
      <c r="P16">
        <v>-3</v>
      </c>
      <c r="Q16">
        <v>18</v>
      </c>
      <c r="R16">
        <v>40</v>
      </c>
      <c r="S16">
        <v>26</v>
      </c>
      <c r="T16">
        <v>15</v>
      </c>
      <c r="U16">
        <v>21</v>
      </c>
      <c r="V16">
        <v>6</v>
      </c>
      <c r="W16">
        <v>11</v>
      </c>
      <c r="X16">
        <v>4</v>
      </c>
      <c r="Y16">
        <v>15</v>
      </c>
      <c r="Z16">
        <v>39</v>
      </c>
      <c r="AA16">
        <v>10</v>
      </c>
      <c r="AB16">
        <v>3</v>
      </c>
      <c r="AC16">
        <v>34</v>
      </c>
      <c r="AD16">
        <v>51</v>
      </c>
      <c r="AE16">
        <v>34</v>
      </c>
    </row>
    <row r="17" spans="1:31" x14ac:dyDescent="0.3">
      <c r="A17" t="s">
        <v>242</v>
      </c>
      <c r="B17" t="s">
        <v>152</v>
      </c>
      <c r="C17" t="s">
        <v>0</v>
      </c>
      <c r="D17" t="s">
        <v>153</v>
      </c>
      <c r="E17" t="s">
        <v>123</v>
      </c>
      <c r="F17">
        <v>62</v>
      </c>
      <c r="G17">
        <v>27</v>
      </c>
      <c r="H17">
        <v>53</v>
      </c>
      <c r="I17">
        <v>47</v>
      </c>
      <c r="J17">
        <v>28</v>
      </c>
      <c r="K17">
        <v>31</v>
      </c>
      <c r="L17">
        <v>42</v>
      </c>
      <c r="M17">
        <v>51</v>
      </c>
      <c r="N17">
        <v>58</v>
      </c>
      <c r="O17">
        <v>13</v>
      </c>
      <c r="P17">
        <v>28</v>
      </c>
      <c r="Q17">
        <v>38</v>
      </c>
      <c r="R17">
        <v>38</v>
      </c>
      <c r="S17">
        <v>26</v>
      </c>
      <c r="T17">
        <v>37</v>
      </c>
      <c r="U17">
        <v>33</v>
      </c>
      <c r="V17">
        <v>38</v>
      </c>
      <c r="W17">
        <v>44</v>
      </c>
      <c r="X17">
        <v>23</v>
      </c>
      <c r="Y17">
        <v>49</v>
      </c>
      <c r="Z17">
        <v>46</v>
      </c>
      <c r="AA17">
        <v>51</v>
      </c>
      <c r="AB17">
        <v>88</v>
      </c>
      <c r="AC17">
        <v>87</v>
      </c>
      <c r="AD17">
        <v>68</v>
      </c>
      <c r="AE17">
        <v>64</v>
      </c>
    </row>
    <row r="18" spans="1:31" x14ac:dyDescent="0.3">
      <c r="A18" t="s">
        <v>242</v>
      </c>
      <c r="B18" t="s">
        <v>154</v>
      </c>
      <c r="C18" t="s">
        <v>0</v>
      </c>
      <c r="D18" t="s">
        <v>155</v>
      </c>
      <c r="E18" t="s">
        <v>123</v>
      </c>
      <c r="F18">
        <v>25</v>
      </c>
      <c r="G18">
        <v>12</v>
      </c>
      <c r="H18">
        <v>6</v>
      </c>
      <c r="I18">
        <v>26</v>
      </c>
      <c r="J18">
        <v>14</v>
      </c>
      <c r="K18">
        <v>13</v>
      </c>
      <c r="L18">
        <v>15</v>
      </c>
      <c r="M18">
        <v>17</v>
      </c>
      <c r="N18">
        <v>7</v>
      </c>
      <c r="O18">
        <v>13</v>
      </c>
      <c r="P18">
        <v>21</v>
      </c>
      <c r="Q18">
        <v>39</v>
      </c>
      <c r="R18">
        <v>23</v>
      </c>
      <c r="S18">
        <v>24</v>
      </c>
      <c r="T18">
        <v>13</v>
      </c>
      <c r="U18">
        <v>4</v>
      </c>
      <c r="V18">
        <v>-6</v>
      </c>
      <c r="W18">
        <v>22</v>
      </c>
      <c r="X18">
        <v>-18</v>
      </c>
      <c r="Y18">
        <v>3</v>
      </c>
      <c r="Z18">
        <v>10</v>
      </c>
      <c r="AA18">
        <v>15</v>
      </c>
      <c r="AB18">
        <v>34</v>
      </c>
      <c r="AC18">
        <v>36</v>
      </c>
      <c r="AD18">
        <v>3</v>
      </c>
      <c r="AE18">
        <v>28</v>
      </c>
    </row>
    <row r="19" spans="1:31" x14ac:dyDescent="0.3">
      <c r="A19" t="s">
        <v>242</v>
      </c>
      <c r="B19" t="s">
        <v>156</v>
      </c>
      <c r="C19" t="s">
        <v>0</v>
      </c>
      <c r="D19" t="s">
        <v>157</v>
      </c>
      <c r="E19" t="s">
        <v>123</v>
      </c>
      <c r="F19">
        <v>19</v>
      </c>
      <c r="G19">
        <v>12</v>
      </c>
      <c r="H19">
        <v>36</v>
      </c>
      <c r="I19">
        <v>41</v>
      </c>
      <c r="J19">
        <v>30</v>
      </c>
      <c r="K19">
        <v>52</v>
      </c>
      <c r="L19">
        <v>12</v>
      </c>
      <c r="M19">
        <v>2</v>
      </c>
      <c r="N19">
        <v>12</v>
      </c>
      <c r="O19">
        <v>9</v>
      </c>
      <c r="P19">
        <v>19</v>
      </c>
      <c r="Q19">
        <v>0</v>
      </c>
      <c r="R19">
        <v>15</v>
      </c>
      <c r="S19">
        <v>18</v>
      </c>
      <c r="T19">
        <v>13</v>
      </c>
      <c r="U19">
        <v>10</v>
      </c>
      <c r="V19">
        <v>5</v>
      </c>
      <c r="W19">
        <v>17</v>
      </c>
      <c r="X19">
        <v>12</v>
      </c>
      <c r="Y19">
        <v>6</v>
      </c>
      <c r="Z19">
        <v>9</v>
      </c>
      <c r="AA19">
        <v>48</v>
      </c>
      <c r="AB19">
        <v>7</v>
      </c>
      <c r="AC19">
        <v>14</v>
      </c>
      <c r="AD19">
        <v>1</v>
      </c>
      <c r="AE19">
        <v>32</v>
      </c>
    </row>
    <row r="20" spans="1:31" x14ac:dyDescent="0.3">
      <c r="A20" t="s">
        <v>242</v>
      </c>
      <c r="B20" t="s">
        <v>158</v>
      </c>
      <c r="C20" t="s">
        <v>0</v>
      </c>
      <c r="D20" t="s">
        <v>159</v>
      </c>
      <c r="E20" t="s">
        <v>123</v>
      </c>
      <c r="F20">
        <v>354</v>
      </c>
      <c r="G20">
        <v>368</v>
      </c>
      <c r="H20">
        <v>402</v>
      </c>
      <c r="I20">
        <v>371</v>
      </c>
      <c r="J20">
        <v>307</v>
      </c>
      <c r="K20">
        <v>368</v>
      </c>
      <c r="L20">
        <v>498</v>
      </c>
      <c r="M20">
        <v>414</v>
      </c>
      <c r="N20">
        <v>404</v>
      </c>
      <c r="O20">
        <v>665</v>
      </c>
      <c r="P20">
        <v>561</v>
      </c>
      <c r="Q20">
        <v>587</v>
      </c>
      <c r="R20">
        <v>657</v>
      </c>
      <c r="S20">
        <v>876</v>
      </c>
      <c r="T20">
        <v>763</v>
      </c>
      <c r="U20">
        <v>701</v>
      </c>
      <c r="V20">
        <v>924</v>
      </c>
      <c r="W20">
        <v>900</v>
      </c>
      <c r="X20">
        <v>1028</v>
      </c>
      <c r="Y20">
        <v>1185</v>
      </c>
      <c r="Z20">
        <v>1096</v>
      </c>
      <c r="AA20">
        <v>1457</v>
      </c>
      <c r="AB20">
        <v>1415</v>
      </c>
      <c r="AC20">
        <v>1173</v>
      </c>
      <c r="AD20">
        <v>1189</v>
      </c>
      <c r="AE20">
        <v>982</v>
      </c>
    </row>
    <row r="21" spans="1:31" x14ac:dyDescent="0.3">
      <c r="A21" t="s">
        <v>242</v>
      </c>
      <c r="B21" t="s">
        <v>160</v>
      </c>
      <c r="C21" t="s">
        <v>0</v>
      </c>
      <c r="D21" t="s">
        <v>161</v>
      </c>
      <c r="E21" t="s">
        <v>123</v>
      </c>
      <c r="F21">
        <v>556</v>
      </c>
      <c r="G21">
        <v>579</v>
      </c>
      <c r="H21">
        <v>640</v>
      </c>
      <c r="I21">
        <v>603</v>
      </c>
      <c r="J21">
        <v>552</v>
      </c>
      <c r="K21">
        <v>641</v>
      </c>
      <c r="L21">
        <v>725</v>
      </c>
      <c r="M21">
        <v>721</v>
      </c>
      <c r="N21">
        <v>740</v>
      </c>
      <c r="O21">
        <v>985</v>
      </c>
      <c r="P21">
        <v>907</v>
      </c>
      <c r="Q21">
        <v>1023</v>
      </c>
      <c r="R21">
        <v>1080</v>
      </c>
      <c r="S21">
        <v>1375</v>
      </c>
      <c r="T21">
        <v>1228</v>
      </c>
      <c r="U21">
        <v>1257</v>
      </c>
      <c r="V21">
        <v>1387</v>
      </c>
      <c r="W21">
        <v>1263</v>
      </c>
      <c r="X21">
        <v>1445</v>
      </c>
      <c r="Y21">
        <v>1628</v>
      </c>
      <c r="Z21">
        <v>1470</v>
      </c>
      <c r="AA21">
        <v>1932</v>
      </c>
      <c r="AB21">
        <v>1848</v>
      </c>
      <c r="AC21">
        <v>1768</v>
      </c>
      <c r="AD21">
        <v>1681</v>
      </c>
      <c r="AE21">
        <v>1771</v>
      </c>
    </row>
    <row r="22" spans="1:31" x14ac:dyDescent="0.3">
      <c r="A22" t="s">
        <v>242</v>
      </c>
      <c r="B22" t="s">
        <v>162</v>
      </c>
      <c r="C22" t="s">
        <v>0</v>
      </c>
      <c r="D22" t="s">
        <v>163</v>
      </c>
      <c r="E22" t="s">
        <v>123</v>
      </c>
      <c r="F22">
        <v>202</v>
      </c>
      <c r="G22">
        <v>211</v>
      </c>
      <c r="H22">
        <v>238</v>
      </c>
      <c r="I22">
        <v>232</v>
      </c>
      <c r="J22">
        <v>245</v>
      </c>
      <c r="K22">
        <v>273</v>
      </c>
      <c r="L22">
        <v>227</v>
      </c>
      <c r="M22">
        <v>307</v>
      </c>
      <c r="N22">
        <v>336</v>
      </c>
      <c r="O22">
        <v>320</v>
      </c>
      <c r="P22">
        <v>346</v>
      </c>
      <c r="Q22">
        <v>436</v>
      </c>
      <c r="R22">
        <v>423</v>
      </c>
      <c r="S22">
        <v>499</v>
      </c>
      <c r="T22">
        <v>465</v>
      </c>
      <c r="U22">
        <v>556</v>
      </c>
      <c r="V22">
        <v>463</v>
      </c>
      <c r="W22">
        <v>363</v>
      </c>
      <c r="X22">
        <v>417</v>
      </c>
      <c r="Y22">
        <v>443</v>
      </c>
      <c r="Z22">
        <v>374</v>
      </c>
      <c r="AA22">
        <v>475</v>
      </c>
      <c r="AB22">
        <v>433</v>
      </c>
      <c r="AC22">
        <v>595</v>
      </c>
      <c r="AD22">
        <v>492</v>
      </c>
      <c r="AE22">
        <v>789</v>
      </c>
    </row>
    <row r="23" spans="1:31" x14ac:dyDescent="0.3">
      <c r="A23" t="s">
        <v>242</v>
      </c>
      <c r="B23" t="s">
        <v>164</v>
      </c>
      <c r="C23" t="s">
        <v>0</v>
      </c>
      <c r="D23" t="s">
        <v>165</v>
      </c>
      <c r="E23" t="s">
        <v>123</v>
      </c>
      <c r="F23">
        <v>22</v>
      </c>
      <c r="G23">
        <v>18</v>
      </c>
      <c r="H23">
        <v>38</v>
      </c>
      <c r="I23">
        <v>36</v>
      </c>
      <c r="J23">
        <v>48</v>
      </c>
      <c r="K23">
        <v>54</v>
      </c>
      <c r="L23">
        <v>47</v>
      </c>
      <c r="M23">
        <v>54</v>
      </c>
      <c r="N23">
        <v>54</v>
      </c>
      <c r="O23">
        <v>66</v>
      </c>
      <c r="P23">
        <v>64</v>
      </c>
      <c r="Q23">
        <v>80</v>
      </c>
      <c r="R23">
        <v>107</v>
      </c>
      <c r="S23">
        <v>123</v>
      </c>
      <c r="T23">
        <v>113</v>
      </c>
      <c r="U23">
        <v>135</v>
      </c>
      <c r="V23">
        <v>102</v>
      </c>
      <c r="W23">
        <v>138</v>
      </c>
      <c r="X23">
        <v>91</v>
      </c>
      <c r="Y23">
        <v>135</v>
      </c>
      <c r="Z23">
        <v>125</v>
      </c>
      <c r="AA23">
        <v>114</v>
      </c>
      <c r="AB23">
        <v>134</v>
      </c>
      <c r="AC23">
        <v>144</v>
      </c>
      <c r="AD23">
        <v>164</v>
      </c>
      <c r="AE23">
        <v>240</v>
      </c>
    </row>
    <row r="24" spans="1:31" x14ac:dyDescent="0.3">
      <c r="A24" t="s">
        <v>242</v>
      </c>
      <c r="B24" t="s">
        <v>166</v>
      </c>
      <c r="C24" t="s">
        <v>0</v>
      </c>
      <c r="D24" t="s">
        <v>167</v>
      </c>
      <c r="E24" t="s">
        <v>123</v>
      </c>
      <c r="F24">
        <v>168</v>
      </c>
      <c r="G24">
        <v>274</v>
      </c>
      <c r="H24">
        <v>264</v>
      </c>
      <c r="I24">
        <v>243</v>
      </c>
      <c r="J24">
        <v>283</v>
      </c>
      <c r="K24">
        <v>293</v>
      </c>
      <c r="L24">
        <v>200</v>
      </c>
      <c r="M24">
        <v>237</v>
      </c>
      <c r="N24">
        <v>305</v>
      </c>
      <c r="O24">
        <v>366</v>
      </c>
      <c r="P24">
        <v>264</v>
      </c>
      <c r="Q24">
        <v>108</v>
      </c>
      <c r="R24">
        <v>372</v>
      </c>
      <c r="S24">
        <v>339</v>
      </c>
      <c r="T24">
        <v>308</v>
      </c>
      <c r="U24">
        <v>262</v>
      </c>
      <c r="V24">
        <v>248</v>
      </c>
      <c r="W24">
        <v>387</v>
      </c>
      <c r="X24">
        <v>349</v>
      </c>
      <c r="Y24">
        <v>264</v>
      </c>
      <c r="Z24">
        <v>119</v>
      </c>
      <c r="AA24">
        <v>405</v>
      </c>
      <c r="AB24">
        <v>500</v>
      </c>
      <c r="AC24">
        <v>521</v>
      </c>
      <c r="AD24">
        <v>416</v>
      </c>
      <c r="AE24">
        <v>380</v>
      </c>
    </row>
    <row r="25" spans="1:31" x14ac:dyDescent="0.3">
      <c r="A25" t="s">
        <v>242</v>
      </c>
      <c r="B25" t="s">
        <v>168</v>
      </c>
      <c r="C25" t="s">
        <v>0</v>
      </c>
      <c r="D25" t="s">
        <v>169</v>
      </c>
      <c r="E25" t="s">
        <v>123</v>
      </c>
      <c r="F25">
        <v>15</v>
      </c>
      <c r="G25">
        <v>16</v>
      </c>
      <c r="H25">
        <v>28</v>
      </c>
      <c r="I25">
        <v>26</v>
      </c>
      <c r="J25">
        <v>43</v>
      </c>
      <c r="K25">
        <v>20</v>
      </c>
      <c r="L25">
        <v>22</v>
      </c>
      <c r="M25">
        <v>22</v>
      </c>
      <c r="N25">
        <v>32</v>
      </c>
      <c r="O25">
        <v>52</v>
      </c>
      <c r="P25">
        <v>54</v>
      </c>
      <c r="Q25">
        <v>57</v>
      </c>
      <c r="R25">
        <v>45</v>
      </c>
      <c r="S25">
        <v>61</v>
      </c>
      <c r="T25">
        <v>44</v>
      </c>
      <c r="U25">
        <v>49</v>
      </c>
      <c r="V25">
        <v>2</v>
      </c>
      <c r="W25">
        <v>43</v>
      </c>
      <c r="X25">
        <v>37</v>
      </c>
      <c r="Y25">
        <v>20</v>
      </c>
      <c r="Z25">
        <v>25</v>
      </c>
      <c r="AA25">
        <v>41</v>
      </c>
      <c r="AB25">
        <v>29</v>
      </c>
      <c r="AC25">
        <v>61</v>
      </c>
      <c r="AD25">
        <v>73</v>
      </c>
      <c r="AE25">
        <v>40</v>
      </c>
    </row>
    <row r="26" spans="1:31" x14ac:dyDescent="0.3">
      <c r="A26" t="s">
        <v>242</v>
      </c>
      <c r="B26" t="s">
        <v>170</v>
      </c>
      <c r="C26" t="s">
        <v>0</v>
      </c>
      <c r="D26" t="s">
        <v>171</v>
      </c>
      <c r="E26" t="s">
        <v>123</v>
      </c>
      <c r="F26">
        <v>25</v>
      </c>
      <c r="G26">
        <v>176</v>
      </c>
      <c r="H26">
        <v>119</v>
      </c>
      <c r="I26">
        <v>109</v>
      </c>
      <c r="J26">
        <v>116</v>
      </c>
      <c r="K26">
        <v>115</v>
      </c>
      <c r="L26">
        <v>71</v>
      </c>
      <c r="M26">
        <v>80</v>
      </c>
      <c r="N26">
        <v>70</v>
      </c>
      <c r="O26">
        <v>70</v>
      </c>
      <c r="P26">
        <v>101</v>
      </c>
      <c r="Q26">
        <v>-19</v>
      </c>
      <c r="R26">
        <v>164</v>
      </c>
      <c r="S26">
        <v>127</v>
      </c>
      <c r="T26">
        <v>46</v>
      </c>
      <c r="U26">
        <v>31</v>
      </c>
      <c r="V26">
        <v>129</v>
      </c>
      <c r="W26">
        <v>161</v>
      </c>
      <c r="X26">
        <v>112</v>
      </c>
      <c r="Y26">
        <v>144</v>
      </c>
      <c r="Z26">
        <v>-78</v>
      </c>
      <c r="AA26">
        <v>185</v>
      </c>
      <c r="AB26">
        <v>225</v>
      </c>
      <c r="AC26">
        <v>253</v>
      </c>
      <c r="AD26">
        <v>134</v>
      </c>
      <c r="AE26">
        <v>93</v>
      </c>
    </row>
    <row r="27" spans="1:31" x14ac:dyDescent="0.3">
      <c r="A27" t="s">
        <v>242</v>
      </c>
      <c r="B27" t="s">
        <v>172</v>
      </c>
      <c r="C27" t="s">
        <v>0</v>
      </c>
      <c r="D27" t="s">
        <v>173</v>
      </c>
      <c r="E27" t="s">
        <v>123</v>
      </c>
      <c r="F27">
        <v>128</v>
      </c>
      <c r="G27">
        <v>82</v>
      </c>
      <c r="H27">
        <v>117</v>
      </c>
      <c r="I27">
        <v>108</v>
      </c>
      <c r="J27">
        <v>124</v>
      </c>
      <c r="K27">
        <v>158</v>
      </c>
      <c r="L27">
        <v>107</v>
      </c>
      <c r="M27">
        <v>135</v>
      </c>
      <c r="N27">
        <v>203</v>
      </c>
      <c r="O27">
        <v>244</v>
      </c>
      <c r="P27">
        <v>109</v>
      </c>
      <c r="Q27">
        <v>70</v>
      </c>
      <c r="R27">
        <v>163</v>
      </c>
      <c r="S27">
        <v>151</v>
      </c>
      <c r="T27">
        <v>218</v>
      </c>
      <c r="U27">
        <v>182</v>
      </c>
      <c r="V27">
        <v>117</v>
      </c>
      <c r="W27">
        <v>183</v>
      </c>
      <c r="X27">
        <v>200</v>
      </c>
      <c r="Y27">
        <v>100</v>
      </c>
      <c r="Z27">
        <v>172</v>
      </c>
      <c r="AA27">
        <v>179</v>
      </c>
      <c r="AB27">
        <v>246</v>
      </c>
      <c r="AC27">
        <v>207</v>
      </c>
      <c r="AD27">
        <v>209</v>
      </c>
      <c r="AE27">
        <v>247</v>
      </c>
    </row>
    <row r="28" spans="1:31" x14ac:dyDescent="0.3">
      <c r="A28" t="s">
        <v>242</v>
      </c>
      <c r="B28" t="s">
        <v>174</v>
      </c>
      <c r="C28" t="s">
        <v>0</v>
      </c>
      <c r="D28" t="s">
        <v>175</v>
      </c>
      <c r="E28" t="s">
        <v>123</v>
      </c>
      <c r="F28">
        <v>187</v>
      </c>
      <c r="G28">
        <v>238</v>
      </c>
      <c r="H28">
        <v>223</v>
      </c>
      <c r="I28">
        <v>341</v>
      </c>
      <c r="J28">
        <v>252</v>
      </c>
      <c r="K28">
        <v>222</v>
      </c>
      <c r="L28">
        <v>198</v>
      </c>
      <c r="M28">
        <v>198</v>
      </c>
      <c r="N28">
        <v>247</v>
      </c>
      <c r="O28">
        <v>233</v>
      </c>
      <c r="P28">
        <v>141</v>
      </c>
      <c r="Q28">
        <v>279</v>
      </c>
      <c r="R28">
        <v>307</v>
      </c>
      <c r="S28">
        <v>455</v>
      </c>
      <c r="T28">
        <v>299</v>
      </c>
      <c r="U28">
        <v>268</v>
      </c>
      <c r="V28">
        <v>279</v>
      </c>
      <c r="W28">
        <v>253</v>
      </c>
      <c r="X28">
        <v>256</v>
      </c>
      <c r="Y28">
        <v>224</v>
      </c>
      <c r="Z28">
        <v>262</v>
      </c>
      <c r="AA28">
        <v>336</v>
      </c>
      <c r="AB28">
        <v>453</v>
      </c>
      <c r="AC28">
        <v>553</v>
      </c>
      <c r="AD28">
        <v>516</v>
      </c>
      <c r="AE28">
        <v>524</v>
      </c>
    </row>
    <row r="29" spans="1:31" x14ac:dyDescent="0.3">
      <c r="A29" t="s">
        <v>242</v>
      </c>
      <c r="B29" t="s">
        <v>176</v>
      </c>
      <c r="C29" t="s">
        <v>0</v>
      </c>
      <c r="D29" t="s">
        <v>177</v>
      </c>
      <c r="E29" t="s">
        <v>123</v>
      </c>
      <c r="F29">
        <v>25</v>
      </c>
      <c r="G29">
        <v>85</v>
      </c>
      <c r="H29">
        <v>70</v>
      </c>
      <c r="I29">
        <v>54</v>
      </c>
      <c r="J29">
        <v>68</v>
      </c>
      <c r="K29">
        <v>59</v>
      </c>
      <c r="L29">
        <v>55</v>
      </c>
      <c r="M29">
        <v>49</v>
      </c>
      <c r="N29">
        <v>46</v>
      </c>
      <c r="O29">
        <v>42</v>
      </c>
      <c r="P29">
        <v>66</v>
      </c>
      <c r="Q29">
        <v>90</v>
      </c>
      <c r="R29">
        <v>65</v>
      </c>
      <c r="S29">
        <v>117</v>
      </c>
      <c r="T29">
        <v>110</v>
      </c>
      <c r="U29">
        <v>74</v>
      </c>
      <c r="V29">
        <v>123</v>
      </c>
      <c r="W29">
        <v>52</v>
      </c>
      <c r="X29">
        <v>98</v>
      </c>
      <c r="Y29">
        <v>53</v>
      </c>
      <c r="Z29">
        <v>104</v>
      </c>
      <c r="AA29">
        <v>67</v>
      </c>
      <c r="AB29">
        <v>42</v>
      </c>
      <c r="AC29">
        <v>89</v>
      </c>
      <c r="AD29">
        <v>137</v>
      </c>
      <c r="AE29">
        <v>166</v>
      </c>
    </row>
    <row r="30" spans="1:31" x14ac:dyDescent="0.3">
      <c r="A30" t="s">
        <v>242</v>
      </c>
      <c r="B30" t="s">
        <v>178</v>
      </c>
      <c r="C30" t="s">
        <v>0</v>
      </c>
      <c r="D30" t="s">
        <v>179</v>
      </c>
      <c r="E30" t="s">
        <v>123</v>
      </c>
      <c r="F30">
        <v>2</v>
      </c>
      <c r="G30">
        <v>-6</v>
      </c>
      <c r="H30">
        <v>-7</v>
      </c>
      <c r="I30">
        <v>6</v>
      </c>
      <c r="J30">
        <v>2</v>
      </c>
      <c r="K30">
        <v>1</v>
      </c>
      <c r="L30">
        <v>3</v>
      </c>
      <c r="M30">
        <v>4</v>
      </c>
      <c r="N30">
        <v>-6</v>
      </c>
      <c r="O30">
        <v>2</v>
      </c>
      <c r="P30">
        <v>0</v>
      </c>
      <c r="Q30">
        <v>3</v>
      </c>
      <c r="R30">
        <v>3</v>
      </c>
      <c r="S30">
        <v>1</v>
      </c>
      <c r="T30">
        <v>3</v>
      </c>
      <c r="U30">
        <v>10</v>
      </c>
      <c r="V30">
        <v>5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16</v>
      </c>
      <c r="AD30">
        <v>3</v>
      </c>
      <c r="AE30">
        <v>3</v>
      </c>
    </row>
    <row r="31" spans="1:31" x14ac:dyDescent="0.3">
      <c r="A31" t="s">
        <v>242</v>
      </c>
      <c r="B31" t="s">
        <v>180</v>
      </c>
      <c r="C31" t="s">
        <v>0</v>
      </c>
      <c r="D31" t="s">
        <v>181</v>
      </c>
      <c r="E31" t="s">
        <v>123</v>
      </c>
      <c r="F31">
        <v>4</v>
      </c>
      <c r="G31">
        <v>11</v>
      </c>
      <c r="H31">
        <v>10</v>
      </c>
      <c r="I31">
        <v>16</v>
      </c>
      <c r="J31">
        <v>21</v>
      </c>
      <c r="K31">
        <v>4</v>
      </c>
      <c r="L31">
        <v>-2</v>
      </c>
      <c r="M31">
        <v>-1</v>
      </c>
      <c r="N31">
        <v>0</v>
      </c>
      <c r="O31">
        <v>0</v>
      </c>
      <c r="P31">
        <v>0</v>
      </c>
      <c r="Q31">
        <v>2</v>
      </c>
      <c r="R31">
        <v>-3</v>
      </c>
      <c r="S31">
        <v>17</v>
      </c>
      <c r="T31">
        <v>-42</v>
      </c>
      <c r="U31">
        <v>2</v>
      </c>
      <c r="V31">
        <v>1</v>
      </c>
      <c r="W31">
        <v>1</v>
      </c>
      <c r="X31">
        <v>0</v>
      </c>
      <c r="Y31">
        <v>1</v>
      </c>
      <c r="Z31">
        <v>-12</v>
      </c>
      <c r="AA31">
        <v>24</v>
      </c>
      <c r="AB31">
        <v>7</v>
      </c>
      <c r="AC31">
        <v>10</v>
      </c>
      <c r="AD31">
        <v>9</v>
      </c>
      <c r="AE31">
        <v>0</v>
      </c>
    </row>
    <row r="32" spans="1:31" x14ac:dyDescent="0.3">
      <c r="A32" t="s">
        <v>242</v>
      </c>
      <c r="B32" t="s">
        <v>182</v>
      </c>
      <c r="C32" t="s">
        <v>0</v>
      </c>
      <c r="D32" t="s">
        <v>183</v>
      </c>
      <c r="E32" t="s">
        <v>123</v>
      </c>
      <c r="F32">
        <v>149</v>
      </c>
      <c r="G32">
        <v>134</v>
      </c>
      <c r="H32">
        <v>129</v>
      </c>
      <c r="I32">
        <v>229</v>
      </c>
      <c r="J32">
        <v>147</v>
      </c>
      <c r="K32">
        <v>140</v>
      </c>
      <c r="L32">
        <v>132</v>
      </c>
      <c r="M32">
        <v>142</v>
      </c>
      <c r="N32">
        <v>200</v>
      </c>
      <c r="O32">
        <v>183</v>
      </c>
      <c r="P32">
        <v>70</v>
      </c>
      <c r="Q32">
        <v>183</v>
      </c>
      <c r="R32">
        <v>246</v>
      </c>
      <c r="S32">
        <v>279</v>
      </c>
      <c r="T32">
        <v>190</v>
      </c>
      <c r="U32">
        <v>176</v>
      </c>
      <c r="V32">
        <v>144</v>
      </c>
      <c r="W32">
        <v>161</v>
      </c>
      <c r="X32">
        <v>154</v>
      </c>
      <c r="Y32">
        <v>155</v>
      </c>
      <c r="Z32">
        <v>238</v>
      </c>
      <c r="AA32">
        <v>279</v>
      </c>
      <c r="AB32">
        <v>403</v>
      </c>
      <c r="AC32">
        <v>438</v>
      </c>
      <c r="AD32">
        <v>367</v>
      </c>
      <c r="AE32">
        <v>355</v>
      </c>
    </row>
    <row r="33" spans="1:31" x14ac:dyDescent="0.3">
      <c r="A33" t="s">
        <v>242</v>
      </c>
      <c r="B33" t="s">
        <v>184</v>
      </c>
      <c r="C33" t="s">
        <v>0</v>
      </c>
      <c r="D33" t="s">
        <v>185</v>
      </c>
      <c r="E33" t="s">
        <v>123</v>
      </c>
      <c r="F33">
        <v>7</v>
      </c>
      <c r="G33">
        <v>14</v>
      </c>
      <c r="H33">
        <v>21</v>
      </c>
      <c r="I33">
        <v>36</v>
      </c>
      <c r="J33">
        <v>14</v>
      </c>
      <c r="K33">
        <v>18</v>
      </c>
      <c r="L33">
        <v>10</v>
      </c>
      <c r="M33">
        <v>4</v>
      </c>
      <c r="N33">
        <v>7</v>
      </c>
      <c r="O33">
        <v>6</v>
      </c>
      <c r="P33">
        <v>5</v>
      </c>
      <c r="Q33">
        <v>1</v>
      </c>
      <c r="R33">
        <v>-4</v>
      </c>
      <c r="S33">
        <v>41</v>
      </c>
      <c r="T33">
        <v>38</v>
      </c>
      <c r="U33">
        <v>6</v>
      </c>
      <c r="V33">
        <v>6</v>
      </c>
      <c r="W33">
        <v>38</v>
      </c>
      <c r="X33">
        <v>1</v>
      </c>
      <c r="Y33">
        <v>14</v>
      </c>
      <c r="Z33">
        <v>-69</v>
      </c>
      <c r="AA33">
        <v>-35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242</v>
      </c>
      <c r="B34" t="s">
        <v>186</v>
      </c>
      <c r="C34" t="s">
        <v>0</v>
      </c>
      <c r="D34" t="s">
        <v>187</v>
      </c>
      <c r="E34" t="s">
        <v>123</v>
      </c>
      <c r="F34">
        <v>29</v>
      </c>
      <c r="G34">
        <v>33</v>
      </c>
      <c r="H34">
        <v>41</v>
      </c>
      <c r="I34">
        <v>28</v>
      </c>
      <c r="J34">
        <v>38</v>
      </c>
      <c r="K34">
        <v>32</v>
      </c>
      <c r="L34">
        <v>18</v>
      </c>
      <c r="M34">
        <v>51</v>
      </c>
      <c r="N34">
        <v>19</v>
      </c>
      <c r="O34">
        <v>40</v>
      </c>
      <c r="P34">
        <v>42</v>
      </c>
      <c r="Q34">
        <v>71</v>
      </c>
      <c r="R34">
        <v>73</v>
      </c>
      <c r="S34">
        <v>74</v>
      </c>
      <c r="T34">
        <v>78</v>
      </c>
      <c r="U34">
        <v>89</v>
      </c>
      <c r="V34">
        <v>53</v>
      </c>
      <c r="W34">
        <v>64</v>
      </c>
      <c r="X34">
        <v>39</v>
      </c>
      <c r="Y34">
        <v>49</v>
      </c>
      <c r="Z34">
        <v>58</v>
      </c>
      <c r="AA34">
        <v>78</v>
      </c>
      <c r="AB34">
        <v>103</v>
      </c>
      <c r="AC34">
        <v>104</v>
      </c>
      <c r="AD34">
        <v>93</v>
      </c>
      <c r="AE34">
        <v>125</v>
      </c>
    </row>
    <row r="35" spans="1:31" x14ac:dyDescent="0.3">
      <c r="A35" t="s">
        <v>242</v>
      </c>
      <c r="B35" t="s">
        <v>188</v>
      </c>
      <c r="C35" t="s">
        <v>0</v>
      </c>
      <c r="D35" t="s">
        <v>189</v>
      </c>
      <c r="E35" t="s">
        <v>123</v>
      </c>
      <c r="F35">
        <v>341</v>
      </c>
      <c r="G35">
        <v>373</v>
      </c>
      <c r="H35">
        <v>388</v>
      </c>
      <c r="I35">
        <v>379</v>
      </c>
      <c r="J35">
        <v>495</v>
      </c>
      <c r="K35">
        <v>512</v>
      </c>
      <c r="L35">
        <v>523</v>
      </c>
      <c r="M35">
        <v>421</v>
      </c>
      <c r="N35">
        <v>334</v>
      </c>
      <c r="O35">
        <v>113</v>
      </c>
      <c r="P35">
        <v>98</v>
      </c>
      <c r="Q35">
        <v>150</v>
      </c>
      <c r="R35">
        <v>149</v>
      </c>
      <c r="S35">
        <v>155</v>
      </c>
      <c r="T35">
        <v>155</v>
      </c>
      <c r="U35">
        <v>180</v>
      </c>
      <c r="V35">
        <v>189</v>
      </c>
      <c r="W35">
        <v>148</v>
      </c>
      <c r="X35">
        <v>226</v>
      </c>
      <c r="Y35">
        <v>437</v>
      </c>
      <c r="Z35">
        <v>400</v>
      </c>
      <c r="AA35">
        <v>229</v>
      </c>
      <c r="AB35">
        <v>272</v>
      </c>
      <c r="AC35">
        <v>330</v>
      </c>
      <c r="AD35">
        <v>334</v>
      </c>
      <c r="AE35">
        <v>618</v>
      </c>
    </row>
    <row r="36" spans="1:31" x14ac:dyDescent="0.3">
      <c r="A36" t="s">
        <v>242</v>
      </c>
      <c r="B36" t="s">
        <v>190</v>
      </c>
      <c r="C36" t="s">
        <v>0</v>
      </c>
      <c r="D36" t="s">
        <v>191</v>
      </c>
      <c r="E36" t="s">
        <v>123</v>
      </c>
      <c r="F36">
        <v>12</v>
      </c>
      <c r="G36">
        <v>8</v>
      </c>
      <c r="H36">
        <v>32</v>
      </c>
      <c r="I36">
        <v>33</v>
      </c>
      <c r="J36">
        <v>21</v>
      </c>
      <c r="K36">
        <v>13</v>
      </c>
      <c r="L36">
        <v>4</v>
      </c>
      <c r="M36">
        <v>11</v>
      </c>
      <c r="N36">
        <v>14</v>
      </c>
      <c r="O36">
        <v>14</v>
      </c>
      <c r="P36">
        <v>14</v>
      </c>
      <c r="Q36">
        <v>9</v>
      </c>
      <c r="R36">
        <v>15</v>
      </c>
      <c r="S36">
        <v>-5</v>
      </c>
      <c r="T36">
        <v>13</v>
      </c>
      <c r="U36">
        <v>13</v>
      </c>
      <c r="V36">
        <v>18</v>
      </c>
      <c r="W36">
        <v>-6</v>
      </c>
      <c r="X36">
        <v>28</v>
      </c>
      <c r="Y36">
        <v>-107</v>
      </c>
      <c r="Z36">
        <v>9</v>
      </c>
      <c r="AA36">
        <v>-2</v>
      </c>
      <c r="AB36">
        <v>29</v>
      </c>
      <c r="AC36">
        <v>26</v>
      </c>
      <c r="AD36">
        <v>23</v>
      </c>
      <c r="AE36">
        <v>2</v>
      </c>
    </row>
    <row r="37" spans="1:31" x14ac:dyDescent="0.3">
      <c r="A37" t="s">
        <v>242</v>
      </c>
      <c r="B37" t="s">
        <v>192</v>
      </c>
      <c r="C37" t="s">
        <v>0</v>
      </c>
      <c r="D37" t="s">
        <v>193</v>
      </c>
      <c r="E37" t="s">
        <v>123</v>
      </c>
      <c r="F37">
        <v>328</v>
      </c>
      <c r="G37">
        <v>361</v>
      </c>
      <c r="H37">
        <v>354</v>
      </c>
      <c r="I37">
        <v>341</v>
      </c>
      <c r="J37">
        <v>472</v>
      </c>
      <c r="K37">
        <v>492</v>
      </c>
      <c r="L37">
        <v>516</v>
      </c>
      <c r="M37">
        <v>409</v>
      </c>
      <c r="N37">
        <v>320</v>
      </c>
      <c r="O37">
        <v>150</v>
      </c>
      <c r="P37">
        <v>83</v>
      </c>
      <c r="Q37">
        <v>137</v>
      </c>
      <c r="R37">
        <v>131</v>
      </c>
      <c r="S37">
        <v>158</v>
      </c>
      <c r="T37">
        <v>139</v>
      </c>
      <c r="U37">
        <v>164</v>
      </c>
      <c r="V37">
        <v>145</v>
      </c>
      <c r="W37">
        <v>136</v>
      </c>
      <c r="X37">
        <v>186</v>
      </c>
      <c r="Y37">
        <v>140</v>
      </c>
      <c r="Z37">
        <v>201</v>
      </c>
      <c r="AA37">
        <v>215</v>
      </c>
      <c r="AB37">
        <v>224</v>
      </c>
      <c r="AC37">
        <v>200</v>
      </c>
      <c r="AD37">
        <v>127</v>
      </c>
      <c r="AE37">
        <v>207</v>
      </c>
    </row>
    <row r="38" spans="1:31" x14ac:dyDescent="0.3">
      <c r="A38" t="s">
        <v>242</v>
      </c>
      <c r="B38" t="s">
        <v>194</v>
      </c>
      <c r="C38" t="s">
        <v>0</v>
      </c>
      <c r="D38" t="s">
        <v>195</v>
      </c>
      <c r="E38" t="s">
        <v>123</v>
      </c>
      <c r="F38">
        <v>1</v>
      </c>
      <c r="G38">
        <v>4</v>
      </c>
      <c r="H38">
        <v>2</v>
      </c>
      <c r="I38">
        <v>5</v>
      </c>
      <c r="J38">
        <v>2</v>
      </c>
      <c r="K38">
        <v>7</v>
      </c>
      <c r="L38">
        <v>3</v>
      </c>
      <c r="M38">
        <v>1</v>
      </c>
      <c r="N38">
        <v>0</v>
      </c>
      <c r="O38">
        <v>-51</v>
      </c>
      <c r="P38">
        <v>1</v>
      </c>
      <c r="Q38">
        <v>4</v>
      </c>
      <c r="R38">
        <v>3</v>
      </c>
      <c r="S38">
        <v>2</v>
      </c>
      <c r="T38">
        <v>3</v>
      </c>
      <c r="U38">
        <v>3</v>
      </c>
      <c r="V38">
        <v>26</v>
      </c>
      <c r="W38">
        <v>18</v>
      </c>
      <c r="X38">
        <v>12</v>
      </c>
      <c r="Y38">
        <v>404</v>
      </c>
      <c r="Z38">
        <v>190</v>
      </c>
      <c r="AA38">
        <v>16</v>
      </c>
      <c r="AB38">
        <v>19</v>
      </c>
      <c r="AC38">
        <v>104</v>
      </c>
      <c r="AD38">
        <v>184</v>
      </c>
      <c r="AE38">
        <v>409</v>
      </c>
    </row>
    <row r="39" spans="1:31" x14ac:dyDescent="0.3">
      <c r="A39" t="s">
        <v>242</v>
      </c>
      <c r="B39" t="s">
        <v>196</v>
      </c>
      <c r="C39" t="s">
        <v>0</v>
      </c>
      <c r="D39" t="s">
        <v>197</v>
      </c>
      <c r="E39" t="s">
        <v>123</v>
      </c>
      <c r="F39">
        <v>-203</v>
      </c>
      <c r="G39">
        <v>-154</v>
      </c>
      <c r="H39">
        <v>-225</v>
      </c>
      <c r="I39">
        <v>-51</v>
      </c>
      <c r="J39">
        <v>-46</v>
      </c>
      <c r="K39">
        <v>15</v>
      </c>
      <c r="L39">
        <v>-48</v>
      </c>
      <c r="M39">
        <v>-37</v>
      </c>
      <c r="N39">
        <v>-62</v>
      </c>
      <c r="O39">
        <v>-103</v>
      </c>
      <c r="P39">
        <v>-20</v>
      </c>
      <c r="Q39">
        <v>-23</v>
      </c>
      <c r="R39">
        <v>54</v>
      </c>
      <c r="S39">
        <v>57</v>
      </c>
      <c r="T39">
        <v>96</v>
      </c>
      <c r="U39">
        <v>1</v>
      </c>
      <c r="V39">
        <v>13</v>
      </c>
      <c r="W39">
        <v>18</v>
      </c>
      <c r="X39">
        <v>14</v>
      </c>
      <c r="Y39">
        <v>31</v>
      </c>
      <c r="Z39">
        <v>23</v>
      </c>
      <c r="AA39">
        <v>126</v>
      </c>
      <c r="AB39">
        <v>2</v>
      </c>
      <c r="AC39">
        <v>-6</v>
      </c>
      <c r="AD39">
        <v>7</v>
      </c>
      <c r="AE39">
        <v>-1</v>
      </c>
    </row>
    <row r="40" spans="1:31" x14ac:dyDescent="0.3">
      <c r="A40" t="s">
        <v>242</v>
      </c>
      <c r="B40" t="s">
        <v>198</v>
      </c>
      <c r="C40" t="s">
        <v>0</v>
      </c>
      <c r="D40" t="s">
        <v>199</v>
      </c>
      <c r="E40" t="s">
        <v>123</v>
      </c>
      <c r="F40">
        <v>413</v>
      </c>
      <c r="G40">
        <v>871</v>
      </c>
      <c r="H40">
        <v>690</v>
      </c>
      <c r="I40">
        <v>1301</v>
      </c>
      <c r="J40">
        <v>1680</v>
      </c>
      <c r="K40">
        <v>2585</v>
      </c>
      <c r="L40">
        <v>3479</v>
      </c>
      <c r="M40">
        <v>2973</v>
      </c>
      <c r="N40">
        <v>2561</v>
      </c>
      <c r="O40">
        <v>2985</v>
      </c>
      <c r="P40">
        <v>3772</v>
      </c>
      <c r="Q40">
        <v>3943</v>
      </c>
      <c r="R40">
        <v>5731</v>
      </c>
      <c r="S40">
        <v>6538</v>
      </c>
      <c r="T40">
        <v>4529</v>
      </c>
      <c r="U40">
        <v>3855</v>
      </c>
      <c r="V40">
        <v>4512</v>
      </c>
      <c r="W40">
        <v>4784</v>
      </c>
      <c r="X40">
        <v>4414</v>
      </c>
      <c r="Y40">
        <v>3700</v>
      </c>
      <c r="Z40">
        <v>4397</v>
      </c>
      <c r="AA40">
        <v>4436</v>
      </c>
      <c r="AB40">
        <v>4964</v>
      </c>
      <c r="AC40">
        <v>5727</v>
      </c>
      <c r="AD40">
        <v>6492</v>
      </c>
      <c r="AE40">
        <v>5985</v>
      </c>
    </row>
    <row r="41" spans="1:31" x14ac:dyDescent="0.3">
      <c r="A41" t="s">
        <v>242</v>
      </c>
      <c r="B41" t="s">
        <v>200</v>
      </c>
      <c r="C41" t="s">
        <v>0</v>
      </c>
      <c r="D41" t="s">
        <v>201</v>
      </c>
      <c r="E41" t="s">
        <v>123</v>
      </c>
      <c r="F41">
        <v>62</v>
      </c>
      <c r="G41">
        <v>57</v>
      </c>
      <c r="H41">
        <v>76</v>
      </c>
      <c r="I41">
        <v>86</v>
      </c>
      <c r="J41">
        <v>93</v>
      </c>
      <c r="K41">
        <v>123</v>
      </c>
      <c r="L41">
        <v>117</v>
      </c>
      <c r="M41">
        <v>130</v>
      </c>
      <c r="N41">
        <v>162</v>
      </c>
      <c r="O41">
        <v>165</v>
      </c>
      <c r="P41">
        <v>235</v>
      </c>
      <c r="Q41">
        <v>255</v>
      </c>
      <c r="R41">
        <v>241</v>
      </c>
      <c r="S41">
        <v>227</v>
      </c>
      <c r="T41">
        <v>176</v>
      </c>
      <c r="U41">
        <v>252</v>
      </c>
      <c r="V41">
        <v>298</v>
      </c>
      <c r="W41">
        <v>284</v>
      </c>
      <c r="X41">
        <v>307</v>
      </c>
      <c r="Y41">
        <v>386</v>
      </c>
      <c r="Z41">
        <v>423</v>
      </c>
      <c r="AA41">
        <v>428</v>
      </c>
      <c r="AB41">
        <v>418</v>
      </c>
      <c r="AC41">
        <v>411</v>
      </c>
      <c r="AD41">
        <v>411</v>
      </c>
      <c r="AE41">
        <v>382</v>
      </c>
    </row>
    <row r="42" spans="1:31" x14ac:dyDescent="0.3">
      <c r="A42" t="s">
        <v>242</v>
      </c>
      <c r="B42" t="s">
        <v>202</v>
      </c>
      <c r="C42" t="s">
        <v>0</v>
      </c>
      <c r="D42" t="s">
        <v>203</v>
      </c>
      <c r="E42" t="s">
        <v>123</v>
      </c>
      <c r="F42">
        <v>6</v>
      </c>
      <c r="G42">
        <v>14</v>
      </c>
      <c r="H42">
        <v>28</v>
      </c>
      <c r="I42">
        <v>33</v>
      </c>
      <c r="J42">
        <v>34</v>
      </c>
      <c r="K42">
        <v>42</v>
      </c>
      <c r="L42">
        <v>26</v>
      </c>
      <c r="M42">
        <v>32</v>
      </c>
      <c r="N42">
        <v>27</v>
      </c>
      <c r="O42">
        <v>24</v>
      </c>
      <c r="P42">
        <v>44</v>
      </c>
      <c r="Q42">
        <v>40</v>
      </c>
      <c r="R42">
        <v>83</v>
      </c>
      <c r="S42">
        <v>58</v>
      </c>
      <c r="T42">
        <v>50</v>
      </c>
      <c r="U42">
        <v>112</v>
      </c>
      <c r="V42">
        <v>113</v>
      </c>
      <c r="W42">
        <v>39</v>
      </c>
      <c r="X42">
        <v>-9</v>
      </c>
      <c r="Y42">
        <v>42</v>
      </c>
      <c r="Z42">
        <v>76</v>
      </c>
      <c r="AA42">
        <v>37</v>
      </c>
      <c r="AB42">
        <v>73</v>
      </c>
      <c r="AC42">
        <v>95</v>
      </c>
      <c r="AD42">
        <v>133</v>
      </c>
      <c r="AE42">
        <v>98</v>
      </c>
    </row>
    <row r="43" spans="1:31" x14ac:dyDescent="0.3">
      <c r="A43" t="s">
        <v>242</v>
      </c>
      <c r="B43" t="s">
        <v>204</v>
      </c>
      <c r="C43" t="s">
        <v>0</v>
      </c>
      <c r="D43" t="s">
        <v>205</v>
      </c>
      <c r="E43" t="s">
        <v>123</v>
      </c>
      <c r="F43">
        <v>47</v>
      </c>
      <c r="G43">
        <v>75</v>
      </c>
      <c r="H43">
        <v>48</v>
      </c>
      <c r="I43">
        <v>78</v>
      </c>
      <c r="J43">
        <v>77</v>
      </c>
      <c r="K43">
        <v>106</v>
      </c>
      <c r="L43">
        <v>102</v>
      </c>
      <c r="M43">
        <v>107</v>
      </c>
      <c r="N43">
        <v>101</v>
      </c>
      <c r="O43">
        <v>92</v>
      </c>
      <c r="P43">
        <v>88</v>
      </c>
      <c r="Q43">
        <v>81</v>
      </c>
      <c r="R43">
        <v>137</v>
      </c>
      <c r="S43">
        <v>135</v>
      </c>
      <c r="T43">
        <v>123</v>
      </c>
      <c r="U43">
        <v>228</v>
      </c>
      <c r="V43">
        <v>186</v>
      </c>
      <c r="W43">
        <v>73</v>
      </c>
      <c r="X43">
        <v>51</v>
      </c>
      <c r="Y43">
        <v>49</v>
      </c>
      <c r="Z43">
        <v>141</v>
      </c>
      <c r="AA43">
        <v>91</v>
      </c>
      <c r="AB43">
        <v>124</v>
      </c>
      <c r="AC43">
        <v>204</v>
      </c>
      <c r="AD43">
        <v>223</v>
      </c>
      <c r="AE43">
        <v>189</v>
      </c>
    </row>
    <row r="44" spans="1:31" x14ac:dyDescent="0.3">
      <c r="A44" t="s">
        <v>242</v>
      </c>
      <c r="B44" t="s">
        <v>206</v>
      </c>
      <c r="C44" t="s">
        <v>0</v>
      </c>
      <c r="D44" t="s">
        <v>207</v>
      </c>
      <c r="E44" t="s">
        <v>123</v>
      </c>
      <c r="F44">
        <v>2549</v>
      </c>
      <c r="G44">
        <v>2830</v>
      </c>
      <c r="H44">
        <v>3009</v>
      </c>
      <c r="I44">
        <v>3336</v>
      </c>
      <c r="J44">
        <v>3388</v>
      </c>
      <c r="K44">
        <v>3557</v>
      </c>
      <c r="L44">
        <v>3529</v>
      </c>
      <c r="M44">
        <v>3612</v>
      </c>
      <c r="N44">
        <v>3468</v>
      </c>
      <c r="O44">
        <v>3369</v>
      </c>
      <c r="P44">
        <v>3298</v>
      </c>
      <c r="Q44">
        <v>3676</v>
      </c>
      <c r="R44">
        <v>4684</v>
      </c>
      <c r="S44">
        <v>5084</v>
      </c>
      <c r="T44">
        <v>4473</v>
      </c>
      <c r="U44">
        <v>4260</v>
      </c>
      <c r="V44">
        <v>4418</v>
      </c>
      <c r="W44">
        <v>4300</v>
      </c>
      <c r="X44">
        <v>4402</v>
      </c>
      <c r="Y44">
        <v>4827</v>
      </c>
      <c r="Z44">
        <v>4580</v>
      </c>
      <c r="AA44">
        <v>5546</v>
      </c>
      <c r="AB44">
        <v>5825</v>
      </c>
      <c r="AC44">
        <v>6215</v>
      </c>
      <c r="AD44">
        <v>6046</v>
      </c>
      <c r="AE44">
        <v>6472</v>
      </c>
    </row>
    <row r="45" spans="1:31" x14ac:dyDescent="0.3">
      <c r="A45" t="s">
        <v>242</v>
      </c>
      <c r="B45" t="s">
        <v>208</v>
      </c>
      <c r="C45" t="s">
        <v>0</v>
      </c>
      <c r="D45" t="s">
        <v>209</v>
      </c>
      <c r="E45" t="s">
        <v>123</v>
      </c>
      <c r="F45">
        <v>2157</v>
      </c>
      <c r="G45">
        <v>2370</v>
      </c>
      <c r="H45">
        <v>2409</v>
      </c>
      <c r="I45">
        <v>2660</v>
      </c>
      <c r="J45">
        <v>2696</v>
      </c>
      <c r="K45">
        <v>2865</v>
      </c>
      <c r="L45">
        <v>2774</v>
      </c>
      <c r="M45">
        <v>2860</v>
      </c>
      <c r="N45">
        <v>2749</v>
      </c>
      <c r="O45">
        <v>2707</v>
      </c>
      <c r="P45">
        <v>2530</v>
      </c>
      <c r="Q45">
        <v>2861</v>
      </c>
      <c r="R45">
        <v>3724</v>
      </c>
      <c r="S45">
        <v>4149</v>
      </c>
      <c r="T45">
        <v>3554</v>
      </c>
      <c r="U45">
        <v>3400</v>
      </c>
      <c r="V45">
        <v>3540</v>
      </c>
      <c r="W45">
        <v>3397</v>
      </c>
      <c r="X45">
        <v>3432</v>
      </c>
      <c r="Y45">
        <v>3876</v>
      </c>
      <c r="Z45">
        <v>3907</v>
      </c>
      <c r="AA45">
        <v>4749</v>
      </c>
      <c r="AB45">
        <v>4971</v>
      </c>
      <c r="AC45">
        <v>5358</v>
      </c>
      <c r="AD45">
        <v>5112</v>
      </c>
      <c r="AE45">
        <v>5494</v>
      </c>
    </row>
    <row r="46" spans="1:31" x14ac:dyDescent="0.3">
      <c r="A46" t="s">
        <v>242</v>
      </c>
      <c r="B46" t="s">
        <v>210</v>
      </c>
      <c r="C46" t="s">
        <v>0</v>
      </c>
      <c r="D46" t="s">
        <v>211</v>
      </c>
      <c r="E46" t="s">
        <v>123</v>
      </c>
      <c r="F46">
        <v>41</v>
      </c>
      <c r="G46">
        <v>61</v>
      </c>
      <c r="H46">
        <v>20</v>
      </c>
      <c r="I46">
        <v>45</v>
      </c>
      <c r="J46">
        <v>43</v>
      </c>
      <c r="K46">
        <v>64</v>
      </c>
      <c r="L46">
        <v>76</v>
      </c>
      <c r="M46">
        <v>75</v>
      </c>
      <c r="N46">
        <v>74</v>
      </c>
      <c r="O46">
        <v>68</v>
      </c>
      <c r="P46">
        <v>44</v>
      </c>
      <c r="Q46">
        <v>41</v>
      </c>
      <c r="R46">
        <v>54</v>
      </c>
      <c r="S46">
        <v>77</v>
      </c>
      <c r="T46">
        <v>73</v>
      </c>
      <c r="U46">
        <v>116</v>
      </c>
      <c r="V46">
        <v>73</v>
      </c>
      <c r="W46">
        <v>34</v>
      </c>
      <c r="X46">
        <v>60</v>
      </c>
      <c r="Y46">
        <v>7</v>
      </c>
      <c r="Z46">
        <v>65</v>
      </c>
      <c r="AA46">
        <v>54</v>
      </c>
      <c r="AB46">
        <v>51</v>
      </c>
      <c r="AC46">
        <v>109</v>
      </c>
      <c r="AD46">
        <v>90</v>
      </c>
      <c r="AE46">
        <v>91</v>
      </c>
    </row>
    <row r="47" spans="1:31" x14ac:dyDescent="0.3">
      <c r="A47" t="s">
        <v>242</v>
      </c>
      <c r="B47" t="s">
        <v>212</v>
      </c>
      <c r="C47" t="s">
        <v>0</v>
      </c>
      <c r="D47" t="s">
        <v>213</v>
      </c>
      <c r="E47" t="s">
        <v>123</v>
      </c>
      <c r="F47">
        <v>1144</v>
      </c>
      <c r="G47">
        <v>1159</v>
      </c>
      <c r="H47">
        <v>1340</v>
      </c>
      <c r="I47">
        <v>1439</v>
      </c>
      <c r="J47">
        <v>1503</v>
      </c>
      <c r="K47">
        <v>1484</v>
      </c>
      <c r="L47">
        <v>1496</v>
      </c>
      <c r="M47">
        <v>1629</v>
      </c>
      <c r="N47">
        <v>1736</v>
      </c>
      <c r="O47">
        <v>1873</v>
      </c>
      <c r="P47">
        <v>1941</v>
      </c>
      <c r="Q47">
        <v>1928</v>
      </c>
      <c r="R47">
        <v>1875</v>
      </c>
      <c r="S47">
        <v>2235</v>
      </c>
      <c r="T47">
        <v>2260</v>
      </c>
      <c r="U47">
        <v>2235</v>
      </c>
      <c r="V47">
        <v>2179</v>
      </c>
      <c r="W47">
        <v>2451</v>
      </c>
      <c r="X47">
        <v>2540</v>
      </c>
      <c r="Y47">
        <v>2871</v>
      </c>
      <c r="Z47">
        <v>2428</v>
      </c>
      <c r="AA47">
        <v>2529</v>
      </c>
      <c r="AB47">
        <v>2561</v>
      </c>
      <c r="AC47">
        <v>2746</v>
      </c>
      <c r="AD47">
        <v>2685</v>
      </c>
      <c r="AE47">
        <v>3045</v>
      </c>
    </row>
    <row r="48" spans="1:31" x14ac:dyDescent="0.3">
      <c r="A48" t="s">
        <v>242</v>
      </c>
      <c r="B48" t="s">
        <v>214</v>
      </c>
      <c r="C48" t="s">
        <v>0</v>
      </c>
      <c r="D48" t="s">
        <v>215</v>
      </c>
      <c r="E48" t="s">
        <v>123</v>
      </c>
      <c r="F48">
        <v>1781</v>
      </c>
      <c r="G48">
        <v>1867</v>
      </c>
      <c r="H48">
        <v>2119</v>
      </c>
      <c r="I48">
        <v>2202</v>
      </c>
      <c r="J48">
        <v>2237</v>
      </c>
      <c r="K48">
        <v>2267</v>
      </c>
      <c r="L48">
        <v>2459</v>
      </c>
      <c r="M48">
        <v>2718</v>
      </c>
      <c r="N48">
        <v>2894</v>
      </c>
      <c r="O48">
        <v>3017</v>
      </c>
      <c r="P48">
        <v>2979</v>
      </c>
      <c r="Q48">
        <v>3106</v>
      </c>
      <c r="R48">
        <v>3181</v>
      </c>
      <c r="S48">
        <v>3717</v>
      </c>
      <c r="T48">
        <v>3719</v>
      </c>
      <c r="U48">
        <v>3665</v>
      </c>
      <c r="V48">
        <v>3692</v>
      </c>
      <c r="W48">
        <v>3947</v>
      </c>
      <c r="X48">
        <v>4160</v>
      </c>
      <c r="Y48">
        <v>4517</v>
      </c>
      <c r="Z48">
        <v>4107</v>
      </c>
      <c r="AA48">
        <v>4486</v>
      </c>
      <c r="AB48">
        <v>4670</v>
      </c>
      <c r="AC48">
        <v>4890</v>
      </c>
      <c r="AD48">
        <v>5201</v>
      </c>
      <c r="AE48">
        <v>5764</v>
      </c>
    </row>
    <row r="49" spans="1:31" x14ac:dyDescent="0.3">
      <c r="A49" t="s">
        <v>242</v>
      </c>
      <c r="B49" t="s">
        <v>216</v>
      </c>
      <c r="C49" t="s">
        <v>0</v>
      </c>
      <c r="D49" t="s">
        <v>217</v>
      </c>
      <c r="E49" t="s">
        <v>123</v>
      </c>
      <c r="F49">
        <v>347</v>
      </c>
      <c r="G49">
        <v>379</v>
      </c>
      <c r="H49">
        <v>442</v>
      </c>
      <c r="I49">
        <v>456</v>
      </c>
      <c r="J49">
        <v>399</v>
      </c>
      <c r="K49">
        <v>401</v>
      </c>
      <c r="L49">
        <v>493</v>
      </c>
      <c r="M49">
        <v>565</v>
      </c>
      <c r="N49">
        <v>635</v>
      </c>
      <c r="O49">
        <v>636</v>
      </c>
      <c r="P49">
        <v>540</v>
      </c>
      <c r="Q49">
        <v>556</v>
      </c>
      <c r="R49">
        <v>610</v>
      </c>
      <c r="S49">
        <v>687</v>
      </c>
      <c r="T49">
        <v>590</v>
      </c>
      <c r="U49">
        <v>689</v>
      </c>
      <c r="V49">
        <v>742</v>
      </c>
      <c r="W49">
        <v>577</v>
      </c>
      <c r="X49">
        <v>635</v>
      </c>
      <c r="Y49">
        <v>671</v>
      </c>
      <c r="Z49">
        <v>894</v>
      </c>
      <c r="AA49">
        <v>916</v>
      </c>
      <c r="AB49">
        <v>863</v>
      </c>
      <c r="AC49">
        <v>921</v>
      </c>
      <c r="AD49">
        <v>1171</v>
      </c>
      <c r="AE49">
        <v>1311</v>
      </c>
    </row>
    <row r="50" spans="1:31" x14ac:dyDescent="0.3">
      <c r="A50" t="s">
        <v>242</v>
      </c>
      <c r="B50" t="s">
        <v>218</v>
      </c>
      <c r="C50" t="s">
        <v>0</v>
      </c>
      <c r="D50" t="s">
        <v>219</v>
      </c>
      <c r="E50" t="s">
        <v>123</v>
      </c>
      <c r="F50">
        <v>290</v>
      </c>
      <c r="G50">
        <v>329</v>
      </c>
      <c r="H50">
        <v>337</v>
      </c>
      <c r="I50">
        <v>307</v>
      </c>
      <c r="J50">
        <v>335</v>
      </c>
      <c r="K50">
        <v>382</v>
      </c>
      <c r="L50">
        <v>470</v>
      </c>
      <c r="M50">
        <v>524</v>
      </c>
      <c r="N50">
        <v>523</v>
      </c>
      <c r="O50">
        <v>508</v>
      </c>
      <c r="P50">
        <v>498</v>
      </c>
      <c r="Q50">
        <v>622</v>
      </c>
      <c r="R50">
        <v>696</v>
      </c>
      <c r="S50">
        <v>795</v>
      </c>
      <c r="T50">
        <v>869</v>
      </c>
      <c r="U50">
        <v>741</v>
      </c>
      <c r="V50">
        <v>771</v>
      </c>
      <c r="W50">
        <v>919</v>
      </c>
      <c r="X50">
        <v>985</v>
      </c>
      <c r="Y50">
        <v>975</v>
      </c>
      <c r="Z50">
        <v>785</v>
      </c>
      <c r="AA50">
        <v>1041</v>
      </c>
      <c r="AB50">
        <v>1246</v>
      </c>
      <c r="AC50">
        <v>1223</v>
      </c>
      <c r="AD50">
        <v>1345</v>
      </c>
      <c r="AE50">
        <v>1408</v>
      </c>
    </row>
    <row r="51" spans="1:31" x14ac:dyDescent="0.3">
      <c r="A51" t="s">
        <v>242</v>
      </c>
      <c r="B51" t="s">
        <v>220</v>
      </c>
      <c r="C51" t="s">
        <v>0</v>
      </c>
      <c r="D51" t="s">
        <v>221</v>
      </c>
      <c r="E51" t="s">
        <v>123</v>
      </c>
      <c r="F51">
        <v>161</v>
      </c>
      <c r="G51">
        <v>164</v>
      </c>
      <c r="H51">
        <v>181</v>
      </c>
      <c r="I51">
        <v>150</v>
      </c>
      <c r="J51">
        <v>157</v>
      </c>
      <c r="K51">
        <v>181</v>
      </c>
      <c r="L51">
        <v>240</v>
      </c>
      <c r="M51">
        <v>307</v>
      </c>
      <c r="N51">
        <v>282</v>
      </c>
      <c r="O51">
        <v>275</v>
      </c>
      <c r="P51">
        <v>279</v>
      </c>
      <c r="Q51">
        <v>379</v>
      </c>
      <c r="R51">
        <v>357</v>
      </c>
      <c r="S51">
        <v>404</v>
      </c>
      <c r="T51">
        <v>494</v>
      </c>
      <c r="U51">
        <v>413</v>
      </c>
      <c r="V51">
        <v>438</v>
      </c>
      <c r="W51">
        <v>543</v>
      </c>
      <c r="X51">
        <v>596</v>
      </c>
      <c r="Y51">
        <v>580</v>
      </c>
      <c r="Z51">
        <v>451</v>
      </c>
      <c r="AA51">
        <v>644</v>
      </c>
      <c r="AB51">
        <v>830</v>
      </c>
      <c r="AC51">
        <v>835</v>
      </c>
      <c r="AD51">
        <v>923</v>
      </c>
      <c r="AE51">
        <v>960</v>
      </c>
    </row>
    <row r="52" spans="1:31" x14ac:dyDescent="0.3">
      <c r="A52" t="s">
        <v>242</v>
      </c>
      <c r="B52" t="s">
        <v>222</v>
      </c>
      <c r="C52" t="s">
        <v>0</v>
      </c>
      <c r="D52" t="s">
        <v>223</v>
      </c>
      <c r="E52" t="s">
        <v>123</v>
      </c>
      <c r="F52">
        <v>129</v>
      </c>
      <c r="G52">
        <v>165</v>
      </c>
      <c r="H52">
        <v>156</v>
      </c>
      <c r="I52">
        <v>157</v>
      </c>
      <c r="J52">
        <v>178</v>
      </c>
      <c r="K52">
        <v>201</v>
      </c>
      <c r="L52">
        <v>230</v>
      </c>
      <c r="M52">
        <v>217</v>
      </c>
      <c r="N52">
        <v>241</v>
      </c>
      <c r="O52">
        <v>233</v>
      </c>
      <c r="P52">
        <v>219</v>
      </c>
      <c r="Q52">
        <v>243</v>
      </c>
      <c r="R52">
        <v>339</v>
      </c>
      <c r="S52">
        <v>391</v>
      </c>
      <c r="T52">
        <v>375</v>
      </c>
      <c r="U52">
        <v>328</v>
      </c>
      <c r="V52">
        <v>333</v>
      </c>
      <c r="W52">
        <v>376</v>
      </c>
      <c r="X52">
        <v>389</v>
      </c>
      <c r="Y52">
        <v>395</v>
      </c>
      <c r="Z52">
        <v>334</v>
      </c>
      <c r="AA52">
        <v>397</v>
      </c>
      <c r="AB52">
        <v>416</v>
      </c>
      <c r="AC52">
        <v>388</v>
      </c>
      <c r="AD52">
        <v>422</v>
      </c>
      <c r="AE52">
        <v>448</v>
      </c>
    </row>
    <row r="53" spans="1:31" x14ac:dyDescent="0.3">
      <c r="A53" t="s">
        <v>242</v>
      </c>
      <c r="B53" t="s">
        <v>224</v>
      </c>
      <c r="C53" t="s">
        <v>0</v>
      </c>
      <c r="D53" t="s">
        <v>225</v>
      </c>
      <c r="E53" t="s">
        <v>123</v>
      </c>
      <c r="F53">
        <v>194</v>
      </c>
      <c r="G53">
        <v>232</v>
      </c>
      <c r="H53">
        <v>256</v>
      </c>
      <c r="I53">
        <v>240</v>
      </c>
      <c r="J53">
        <v>228</v>
      </c>
      <c r="K53">
        <v>238</v>
      </c>
      <c r="L53">
        <v>233</v>
      </c>
      <c r="M53">
        <v>257</v>
      </c>
      <c r="N53">
        <v>309</v>
      </c>
      <c r="O53">
        <v>268</v>
      </c>
      <c r="P53">
        <v>249</v>
      </c>
      <c r="Q53">
        <v>285</v>
      </c>
      <c r="R53">
        <v>337</v>
      </c>
      <c r="S53">
        <v>323</v>
      </c>
      <c r="T53">
        <v>309</v>
      </c>
      <c r="U53">
        <v>293</v>
      </c>
      <c r="V53">
        <v>299</v>
      </c>
      <c r="W53">
        <v>374</v>
      </c>
      <c r="X53">
        <v>359</v>
      </c>
      <c r="Y53">
        <v>325</v>
      </c>
      <c r="Z53">
        <v>426</v>
      </c>
      <c r="AA53">
        <v>454</v>
      </c>
      <c r="AB53">
        <v>515</v>
      </c>
      <c r="AC53">
        <v>665</v>
      </c>
      <c r="AD53">
        <v>667</v>
      </c>
      <c r="AE53">
        <v>607</v>
      </c>
    </row>
    <row r="54" spans="1:31" x14ac:dyDescent="0.3">
      <c r="A54" t="s">
        <v>242</v>
      </c>
      <c r="B54" t="s">
        <v>226</v>
      </c>
      <c r="C54" t="s">
        <v>0</v>
      </c>
      <c r="D54" t="s">
        <v>227</v>
      </c>
      <c r="E54" t="s">
        <v>123</v>
      </c>
      <c r="F54">
        <v>243</v>
      </c>
      <c r="G54">
        <v>290</v>
      </c>
      <c r="H54">
        <v>335</v>
      </c>
      <c r="I54">
        <v>338</v>
      </c>
      <c r="J54">
        <v>351</v>
      </c>
      <c r="K54">
        <v>327</v>
      </c>
      <c r="L54">
        <v>324</v>
      </c>
      <c r="M54">
        <v>336</v>
      </c>
      <c r="N54">
        <v>411</v>
      </c>
      <c r="O54">
        <v>402</v>
      </c>
      <c r="P54">
        <v>368</v>
      </c>
      <c r="Q54">
        <v>389</v>
      </c>
      <c r="R54">
        <v>453</v>
      </c>
      <c r="S54">
        <v>472</v>
      </c>
      <c r="T54">
        <v>452</v>
      </c>
      <c r="U54">
        <v>457</v>
      </c>
      <c r="V54">
        <v>424</v>
      </c>
      <c r="W54">
        <v>502</v>
      </c>
      <c r="X54">
        <v>482</v>
      </c>
      <c r="Y54">
        <v>446</v>
      </c>
      <c r="Z54">
        <v>532</v>
      </c>
      <c r="AA54">
        <v>559</v>
      </c>
      <c r="AB54">
        <v>613</v>
      </c>
      <c r="AC54">
        <v>760</v>
      </c>
      <c r="AD54">
        <v>762</v>
      </c>
      <c r="AE54">
        <v>715</v>
      </c>
    </row>
    <row r="55" spans="1:31" x14ac:dyDescent="0.3">
      <c r="A55" t="s">
        <v>242</v>
      </c>
      <c r="B55" t="s">
        <v>228</v>
      </c>
      <c r="C55" t="s">
        <v>0</v>
      </c>
      <c r="D55" t="s">
        <v>229</v>
      </c>
      <c r="E55" t="s">
        <v>123</v>
      </c>
      <c r="F55">
        <v>49</v>
      </c>
      <c r="G55">
        <v>58</v>
      </c>
      <c r="H55">
        <v>79</v>
      </c>
      <c r="I55">
        <v>98</v>
      </c>
      <c r="J55">
        <v>123</v>
      </c>
      <c r="K55">
        <v>89</v>
      </c>
      <c r="L55">
        <v>91</v>
      </c>
      <c r="M55">
        <v>79</v>
      </c>
      <c r="N55">
        <v>102</v>
      </c>
      <c r="O55">
        <v>134</v>
      </c>
      <c r="P55">
        <v>119</v>
      </c>
      <c r="Q55">
        <v>104</v>
      </c>
      <c r="R55">
        <v>116</v>
      </c>
      <c r="S55">
        <v>149</v>
      </c>
      <c r="T55">
        <v>143</v>
      </c>
      <c r="U55">
        <v>164</v>
      </c>
      <c r="V55">
        <v>125</v>
      </c>
      <c r="W55">
        <v>128</v>
      </c>
      <c r="X55">
        <v>123</v>
      </c>
      <c r="Y55">
        <v>121</v>
      </c>
      <c r="Z55">
        <v>106</v>
      </c>
      <c r="AA55">
        <v>105</v>
      </c>
      <c r="AB55">
        <v>98</v>
      </c>
      <c r="AC55">
        <v>95</v>
      </c>
      <c r="AD55">
        <v>95</v>
      </c>
      <c r="AE55">
        <v>108</v>
      </c>
    </row>
    <row r="56" spans="1:31" x14ac:dyDescent="0.3">
      <c r="A56" t="s">
        <v>242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242</v>
      </c>
      <c r="B57" t="s">
        <v>232</v>
      </c>
      <c r="C57" t="s">
        <v>0</v>
      </c>
      <c r="D57" t="s">
        <v>233</v>
      </c>
      <c r="E57" t="s">
        <v>123</v>
      </c>
      <c r="F57">
        <v>4743</v>
      </c>
      <c r="G57">
        <v>5568</v>
      </c>
      <c r="H57">
        <v>5818</v>
      </c>
      <c r="I57">
        <v>6839</v>
      </c>
      <c r="J57">
        <v>7305</v>
      </c>
      <c r="K57">
        <v>8409</v>
      </c>
      <c r="L57">
        <v>9467</v>
      </c>
      <c r="M57">
        <v>9303</v>
      </c>
      <c r="N57">
        <v>8923</v>
      </c>
      <c r="O57">
        <v>9371</v>
      </c>
      <c r="P57">
        <v>10049</v>
      </c>
      <c r="Q57">
        <v>10725</v>
      </c>
      <c r="R57">
        <v>13596</v>
      </c>
      <c r="S57">
        <v>15339</v>
      </c>
      <c r="T57">
        <v>12721</v>
      </c>
      <c r="U57">
        <v>11780</v>
      </c>
      <c r="V57">
        <v>12622</v>
      </c>
      <c r="W57">
        <v>13031</v>
      </c>
      <c r="X57">
        <v>12976</v>
      </c>
      <c r="Y57">
        <v>13044</v>
      </c>
      <c r="Z57">
        <v>13084</v>
      </c>
      <c r="AA57">
        <v>14468</v>
      </c>
      <c r="AB57">
        <v>15459</v>
      </c>
      <c r="AC57">
        <v>16832</v>
      </c>
      <c r="AD57">
        <v>17739</v>
      </c>
      <c r="AE57">
        <v>18221</v>
      </c>
    </row>
    <row r="58" spans="1:31" x14ac:dyDescent="0.3">
      <c r="A58" t="s">
        <v>242</v>
      </c>
      <c r="B58" t="s">
        <v>234</v>
      </c>
      <c r="C58" t="s">
        <v>0</v>
      </c>
      <c r="D58" t="s">
        <v>235</v>
      </c>
      <c r="E58" t="s">
        <v>123</v>
      </c>
      <c r="F58">
        <v>4743</v>
      </c>
      <c r="G58">
        <v>5568</v>
      </c>
      <c r="H58">
        <v>5818</v>
      </c>
      <c r="I58">
        <v>6839</v>
      </c>
      <c r="J58">
        <v>7305</v>
      </c>
      <c r="K58">
        <v>8409</v>
      </c>
      <c r="L58">
        <v>9467</v>
      </c>
      <c r="M58">
        <v>9303</v>
      </c>
      <c r="N58">
        <v>8923</v>
      </c>
      <c r="O58">
        <v>9371</v>
      </c>
      <c r="P58">
        <v>10049</v>
      </c>
      <c r="Q58">
        <v>10725</v>
      </c>
      <c r="R58">
        <v>13596</v>
      </c>
      <c r="S58">
        <v>15339</v>
      </c>
      <c r="T58">
        <v>12721</v>
      </c>
      <c r="U58">
        <v>11780</v>
      </c>
      <c r="V58">
        <v>12622</v>
      </c>
      <c r="W58">
        <v>13031</v>
      </c>
      <c r="X58">
        <v>12976</v>
      </c>
      <c r="Y58">
        <v>13044</v>
      </c>
      <c r="Z58">
        <v>13084</v>
      </c>
      <c r="AA58">
        <v>14468</v>
      </c>
      <c r="AB58">
        <v>15459</v>
      </c>
      <c r="AC58">
        <v>16832</v>
      </c>
      <c r="AD58">
        <v>17739</v>
      </c>
      <c r="AE58">
        <v>18221</v>
      </c>
    </row>
    <row r="59" spans="1:31" x14ac:dyDescent="0.3">
      <c r="A59" t="s">
        <v>242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243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243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243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243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243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243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243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243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243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243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243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243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243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243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243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243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243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243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243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243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243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243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243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243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243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243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243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243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243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243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243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243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243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243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243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243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243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243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243</v>
      </c>
      <c r="B40" t="s">
        <v>198</v>
      </c>
      <c r="C40" t="s">
        <v>0</v>
      </c>
      <c r="D40" t="s">
        <v>199</v>
      </c>
      <c r="E40" t="s">
        <v>123</v>
      </c>
      <c r="F40">
        <v>4466</v>
      </c>
      <c r="G40">
        <v>4571</v>
      </c>
      <c r="H40">
        <v>5426</v>
      </c>
      <c r="I40">
        <v>6411</v>
      </c>
      <c r="J40">
        <v>7252</v>
      </c>
      <c r="K40">
        <v>8253</v>
      </c>
      <c r="L40">
        <v>7709</v>
      </c>
      <c r="M40">
        <v>7516</v>
      </c>
      <c r="N40">
        <v>8373</v>
      </c>
      <c r="O40">
        <v>9543</v>
      </c>
      <c r="P40">
        <v>10547</v>
      </c>
      <c r="Q40">
        <v>11398</v>
      </c>
      <c r="R40">
        <v>12217</v>
      </c>
      <c r="S40">
        <v>11598</v>
      </c>
      <c r="T40">
        <v>9844</v>
      </c>
      <c r="U40">
        <v>11911</v>
      </c>
      <c r="V40">
        <v>13053</v>
      </c>
      <c r="W40">
        <v>13523</v>
      </c>
      <c r="X40">
        <v>13004</v>
      </c>
      <c r="Y40">
        <v>12387</v>
      </c>
      <c r="Z40">
        <v>12644</v>
      </c>
      <c r="AA40">
        <v>14342</v>
      </c>
      <c r="AB40">
        <v>15418</v>
      </c>
      <c r="AC40">
        <v>16838</v>
      </c>
      <c r="AD40">
        <v>16833</v>
      </c>
      <c r="AE40">
        <v>16596</v>
      </c>
    </row>
    <row r="41" spans="1:31" x14ac:dyDescent="0.3">
      <c r="A41" t="s">
        <v>243</v>
      </c>
      <c r="B41" t="s">
        <v>200</v>
      </c>
      <c r="C41" t="s">
        <v>0</v>
      </c>
      <c r="D41" t="s">
        <v>201</v>
      </c>
      <c r="E41" t="s">
        <v>123</v>
      </c>
      <c r="F41">
        <v>3119</v>
      </c>
      <c r="G41">
        <v>3153</v>
      </c>
      <c r="H41">
        <v>3698</v>
      </c>
      <c r="I41">
        <v>4564</v>
      </c>
      <c r="J41">
        <v>5368</v>
      </c>
      <c r="K41">
        <v>5989</v>
      </c>
      <c r="L41">
        <v>5552</v>
      </c>
      <c r="M41">
        <v>5516</v>
      </c>
      <c r="N41">
        <v>6290</v>
      </c>
      <c r="O41">
        <v>7311</v>
      </c>
      <c r="P41">
        <v>8156</v>
      </c>
      <c r="Q41">
        <v>8932</v>
      </c>
      <c r="R41">
        <v>9634</v>
      </c>
      <c r="S41">
        <v>9114</v>
      </c>
      <c r="T41">
        <v>7830</v>
      </c>
      <c r="U41">
        <v>9484</v>
      </c>
      <c r="V41">
        <v>10393</v>
      </c>
      <c r="W41">
        <v>10683</v>
      </c>
      <c r="X41">
        <v>10288</v>
      </c>
      <c r="Y41">
        <v>9680</v>
      </c>
      <c r="Z41">
        <v>9679</v>
      </c>
      <c r="AA41">
        <v>10936</v>
      </c>
      <c r="AB41">
        <v>11796</v>
      </c>
      <c r="AC41">
        <v>12776</v>
      </c>
      <c r="AD41">
        <v>12868</v>
      </c>
      <c r="AE41">
        <v>12565</v>
      </c>
    </row>
    <row r="42" spans="1:31" x14ac:dyDescent="0.3">
      <c r="A42" t="s">
        <v>243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-1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243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-1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243</v>
      </c>
      <c r="B44" t="s">
        <v>206</v>
      </c>
      <c r="C44" t="s">
        <v>0</v>
      </c>
      <c r="D44" t="s">
        <v>207</v>
      </c>
      <c r="E44" t="s">
        <v>123</v>
      </c>
      <c r="F44">
        <v>0</v>
      </c>
      <c r="G44">
        <v>0</v>
      </c>
      <c r="H44">
        <v>0</v>
      </c>
      <c r="I44">
        <v>-1</v>
      </c>
      <c r="J44">
        <v>-2</v>
      </c>
      <c r="K44">
        <v>-1</v>
      </c>
      <c r="L44">
        <v>-1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2</v>
      </c>
      <c r="AD44">
        <v>1</v>
      </c>
      <c r="AE44">
        <v>0</v>
      </c>
    </row>
    <row r="45" spans="1:31" x14ac:dyDescent="0.3">
      <c r="A45" t="s">
        <v>243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-1</v>
      </c>
      <c r="J45">
        <v>-2</v>
      </c>
      <c r="K45">
        <v>-1</v>
      </c>
      <c r="L45">
        <v>-1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2</v>
      </c>
      <c r="AD45">
        <v>1</v>
      </c>
      <c r="AE45">
        <v>0</v>
      </c>
    </row>
    <row r="46" spans="1:31" x14ac:dyDescent="0.3">
      <c r="A46" t="s">
        <v>243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243</v>
      </c>
      <c r="B47" t="s">
        <v>212</v>
      </c>
      <c r="C47" t="s">
        <v>0</v>
      </c>
      <c r="D47" t="s">
        <v>213</v>
      </c>
      <c r="E47" t="s">
        <v>123</v>
      </c>
      <c r="F47">
        <v>-21</v>
      </c>
      <c r="G47">
        <v>-48</v>
      </c>
      <c r="H47">
        <v>30</v>
      </c>
      <c r="I47">
        <v>-5</v>
      </c>
      <c r="J47">
        <v>-1</v>
      </c>
      <c r="K47">
        <v>-4</v>
      </c>
      <c r="L47">
        <v>13</v>
      </c>
      <c r="M47">
        <v>2</v>
      </c>
      <c r="N47">
        <v>4</v>
      </c>
      <c r="O47">
        <v>-2</v>
      </c>
      <c r="P47">
        <v>3</v>
      </c>
      <c r="Q47">
        <v>-27</v>
      </c>
      <c r="R47">
        <v>-28</v>
      </c>
      <c r="S47">
        <v>-18</v>
      </c>
      <c r="T47">
        <v>-16</v>
      </c>
      <c r="U47">
        <v>-10</v>
      </c>
      <c r="V47">
        <v>-13</v>
      </c>
      <c r="W47">
        <v>-35</v>
      </c>
      <c r="X47">
        <v>-22</v>
      </c>
      <c r="Y47">
        <v>-17</v>
      </c>
      <c r="Z47">
        <v>-11</v>
      </c>
      <c r="AA47">
        <v>-17</v>
      </c>
      <c r="AB47">
        <v>-4</v>
      </c>
      <c r="AC47">
        <v>-9</v>
      </c>
      <c r="AD47">
        <v>2</v>
      </c>
      <c r="AE47">
        <v>14</v>
      </c>
    </row>
    <row r="48" spans="1:31" x14ac:dyDescent="0.3">
      <c r="A48" t="s">
        <v>243</v>
      </c>
      <c r="B48" t="s">
        <v>214</v>
      </c>
      <c r="C48" t="s">
        <v>0</v>
      </c>
      <c r="D48" t="s">
        <v>215</v>
      </c>
      <c r="E48" t="s">
        <v>123</v>
      </c>
      <c r="F48">
        <v>-5</v>
      </c>
      <c r="G48">
        <v>-30</v>
      </c>
      <c r="H48">
        <v>41</v>
      </c>
      <c r="I48">
        <v>0</v>
      </c>
      <c r="J48">
        <v>7</v>
      </c>
      <c r="K48">
        <v>2</v>
      </c>
      <c r="L48">
        <v>10</v>
      </c>
      <c r="M48">
        <v>6</v>
      </c>
      <c r="N48">
        <v>5</v>
      </c>
      <c r="O48">
        <v>6</v>
      </c>
      <c r="P48">
        <v>6</v>
      </c>
      <c r="Q48">
        <v>-23</v>
      </c>
      <c r="R48">
        <v>-22</v>
      </c>
      <c r="S48">
        <v>-6</v>
      </c>
      <c r="T48">
        <v>-14</v>
      </c>
      <c r="U48">
        <v>-1</v>
      </c>
      <c r="V48">
        <v>-9</v>
      </c>
      <c r="W48">
        <v>-26</v>
      </c>
      <c r="X48">
        <v>-15</v>
      </c>
      <c r="Y48">
        <v>-13</v>
      </c>
      <c r="Z48">
        <v>6</v>
      </c>
      <c r="AA48">
        <v>0</v>
      </c>
      <c r="AB48">
        <v>5</v>
      </c>
      <c r="AC48">
        <v>-3</v>
      </c>
      <c r="AD48">
        <v>11</v>
      </c>
      <c r="AE48">
        <v>23</v>
      </c>
    </row>
    <row r="49" spans="1:31" x14ac:dyDescent="0.3">
      <c r="A49" t="s">
        <v>243</v>
      </c>
      <c r="B49" t="s">
        <v>216</v>
      </c>
      <c r="C49" t="s">
        <v>0</v>
      </c>
      <c r="D49" t="s">
        <v>217</v>
      </c>
      <c r="E49" t="s">
        <v>123</v>
      </c>
      <c r="F49">
        <v>2</v>
      </c>
      <c r="G49">
        <v>3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2</v>
      </c>
      <c r="AB49">
        <v>1</v>
      </c>
      <c r="AC49">
        <v>-1</v>
      </c>
      <c r="AD49">
        <v>1</v>
      </c>
      <c r="AE49">
        <v>1</v>
      </c>
    </row>
    <row r="50" spans="1:31" x14ac:dyDescent="0.3">
      <c r="A50" t="s">
        <v>243</v>
      </c>
      <c r="B50" t="s">
        <v>218</v>
      </c>
      <c r="C50" t="s">
        <v>0</v>
      </c>
      <c r="D50" t="s">
        <v>219</v>
      </c>
      <c r="E50" t="s">
        <v>123</v>
      </c>
      <c r="F50">
        <v>14</v>
      </c>
      <c r="G50">
        <v>15</v>
      </c>
      <c r="H50">
        <v>10</v>
      </c>
      <c r="I50">
        <v>4</v>
      </c>
      <c r="J50">
        <v>8</v>
      </c>
      <c r="K50">
        <v>6</v>
      </c>
      <c r="L50">
        <v>-3</v>
      </c>
      <c r="M50">
        <v>4</v>
      </c>
      <c r="N50">
        <v>0</v>
      </c>
      <c r="O50">
        <v>7</v>
      </c>
      <c r="P50">
        <v>3</v>
      </c>
      <c r="Q50">
        <v>1</v>
      </c>
      <c r="R50">
        <v>6</v>
      </c>
      <c r="S50">
        <v>12</v>
      </c>
      <c r="T50">
        <v>2</v>
      </c>
      <c r="U50">
        <v>9</v>
      </c>
      <c r="V50">
        <v>4</v>
      </c>
      <c r="W50">
        <v>9</v>
      </c>
      <c r="X50">
        <v>7</v>
      </c>
      <c r="Y50">
        <v>4</v>
      </c>
      <c r="Z50">
        <v>12</v>
      </c>
      <c r="AA50">
        <v>15</v>
      </c>
      <c r="AB50">
        <v>8</v>
      </c>
      <c r="AC50">
        <v>6</v>
      </c>
      <c r="AD50">
        <v>8</v>
      </c>
      <c r="AE50">
        <v>8</v>
      </c>
    </row>
    <row r="51" spans="1:31" x14ac:dyDescent="0.3">
      <c r="A51" t="s">
        <v>243</v>
      </c>
      <c r="B51" t="s">
        <v>220</v>
      </c>
      <c r="C51" t="s">
        <v>0</v>
      </c>
      <c r="D51" t="s">
        <v>221</v>
      </c>
      <c r="E51" t="s">
        <v>123</v>
      </c>
      <c r="F51">
        <v>2</v>
      </c>
      <c r="G51">
        <v>-1</v>
      </c>
      <c r="H51">
        <v>-1</v>
      </c>
      <c r="I51">
        <v>-1</v>
      </c>
      <c r="J51">
        <v>0</v>
      </c>
      <c r="K51">
        <v>-1</v>
      </c>
      <c r="L51">
        <v>-8</v>
      </c>
      <c r="M51">
        <v>-5</v>
      </c>
      <c r="N51">
        <v>-4</v>
      </c>
      <c r="O51">
        <v>0</v>
      </c>
      <c r="P51">
        <v>-2</v>
      </c>
      <c r="Q51">
        <v>-4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-2</v>
      </c>
      <c r="AE51">
        <v>0</v>
      </c>
    </row>
    <row r="52" spans="1:31" x14ac:dyDescent="0.3">
      <c r="A52" t="s">
        <v>243</v>
      </c>
      <c r="B52" t="s">
        <v>222</v>
      </c>
      <c r="C52" t="s">
        <v>0</v>
      </c>
      <c r="D52" t="s">
        <v>223</v>
      </c>
      <c r="E52" t="s">
        <v>123</v>
      </c>
      <c r="F52">
        <v>12</v>
      </c>
      <c r="G52">
        <v>16</v>
      </c>
      <c r="H52">
        <v>11</v>
      </c>
      <c r="I52">
        <v>5</v>
      </c>
      <c r="J52">
        <v>8</v>
      </c>
      <c r="K52">
        <v>7</v>
      </c>
      <c r="L52">
        <v>5</v>
      </c>
      <c r="M52">
        <v>9</v>
      </c>
      <c r="N52">
        <v>4</v>
      </c>
      <c r="O52">
        <v>7</v>
      </c>
      <c r="P52">
        <v>5</v>
      </c>
      <c r="Q52">
        <v>5</v>
      </c>
      <c r="R52">
        <v>6</v>
      </c>
      <c r="S52">
        <v>12</v>
      </c>
      <c r="T52">
        <v>2</v>
      </c>
      <c r="U52">
        <v>9</v>
      </c>
      <c r="V52">
        <v>4</v>
      </c>
      <c r="W52">
        <v>8</v>
      </c>
      <c r="X52">
        <v>6</v>
      </c>
      <c r="Y52">
        <v>4</v>
      </c>
      <c r="Z52">
        <v>12</v>
      </c>
      <c r="AA52">
        <v>15</v>
      </c>
      <c r="AB52">
        <v>8</v>
      </c>
      <c r="AC52">
        <v>6</v>
      </c>
      <c r="AD52">
        <v>10</v>
      </c>
      <c r="AE52">
        <v>8</v>
      </c>
    </row>
    <row r="53" spans="1:31" x14ac:dyDescent="0.3">
      <c r="A53" t="s">
        <v>243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-1</v>
      </c>
      <c r="J53">
        <v>-1</v>
      </c>
      <c r="K53">
        <v>-1</v>
      </c>
      <c r="L53">
        <v>-1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2</v>
      </c>
      <c r="AD53">
        <v>1</v>
      </c>
      <c r="AE53">
        <v>0</v>
      </c>
    </row>
    <row r="54" spans="1:31" x14ac:dyDescent="0.3">
      <c r="A54" t="s">
        <v>243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-1</v>
      </c>
      <c r="J54">
        <v>-1</v>
      </c>
      <c r="K54">
        <v>-1</v>
      </c>
      <c r="L54">
        <v>-1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2</v>
      </c>
      <c r="AD54">
        <v>1</v>
      </c>
      <c r="AE54">
        <v>0</v>
      </c>
    </row>
    <row r="55" spans="1:31" x14ac:dyDescent="0.3">
      <c r="A55" t="s">
        <v>243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243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243</v>
      </c>
      <c r="B57" t="s">
        <v>232</v>
      </c>
      <c r="C57" t="s">
        <v>0</v>
      </c>
      <c r="D57" t="s">
        <v>233</v>
      </c>
      <c r="E57" t="s">
        <v>123</v>
      </c>
      <c r="F57">
        <v>4461</v>
      </c>
      <c r="G57">
        <v>4541</v>
      </c>
      <c r="H57">
        <v>5467</v>
      </c>
      <c r="I57">
        <v>6410</v>
      </c>
      <c r="J57">
        <v>7257</v>
      </c>
      <c r="K57">
        <v>8254</v>
      </c>
      <c r="L57">
        <v>7718</v>
      </c>
      <c r="M57">
        <v>7522</v>
      </c>
      <c r="N57">
        <v>8380</v>
      </c>
      <c r="O57">
        <v>9549</v>
      </c>
      <c r="P57">
        <v>10553</v>
      </c>
      <c r="Q57">
        <v>11375</v>
      </c>
      <c r="R57">
        <v>12195</v>
      </c>
      <c r="S57">
        <v>11592</v>
      </c>
      <c r="T57">
        <v>9830</v>
      </c>
      <c r="U57">
        <v>11910</v>
      </c>
      <c r="V57">
        <v>13044</v>
      </c>
      <c r="W57">
        <v>13497</v>
      </c>
      <c r="X57">
        <v>12989</v>
      </c>
      <c r="Y57">
        <v>12374</v>
      </c>
      <c r="Z57">
        <v>12650</v>
      </c>
      <c r="AA57">
        <v>14343</v>
      </c>
      <c r="AB57">
        <v>15424</v>
      </c>
      <c r="AC57">
        <v>16836</v>
      </c>
      <c r="AD57">
        <v>16845</v>
      </c>
      <c r="AE57">
        <v>16619</v>
      </c>
    </row>
    <row r="58" spans="1:31" x14ac:dyDescent="0.3">
      <c r="A58" t="s">
        <v>243</v>
      </c>
      <c r="B58" t="s">
        <v>234</v>
      </c>
      <c r="C58" t="s">
        <v>0</v>
      </c>
      <c r="D58" t="s">
        <v>235</v>
      </c>
      <c r="E58" t="s">
        <v>123</v>
      </c>
      <c r="F58">
        <v>4461</v>
      </c>
      <c r="G58">
        <v>4541</v>
      </c>
      <c r="H58">
        <v>5467</v>
      </c>
      <c r="I58">
        <v>6410</v>
      </c>
      <c r="J58">
        <v>7257</v>
      </c>
      <c r="K58">
        <v>8254</v>
      </c>
      <c r="L58">
        <v>7718</v>
      </c>
      <c r="M58">
        <v>7522</v>
      </c>
      <c r="N58">
        <v>8380</v>
      </c>
      <c r="O58">
        <v>9549</v>
      </c>
      <c r="P58">
        <v>10553</v>
      </c>
      <c r="Q58">
        <v>11375</v>
      </c>
      <c r="R58">
        <v>12195</v>
      </c>
      <c r="S58">
        <v>11592</v>
      </c>
      <c r="T58">
        <v>9830</v>
      </c>
      <c r="U58">
        <v>11910</v>
      </c>
      <c r="V58">
        <v>13044</v>
      </c>
      <c r="W58">
        <v>13497</v>
      </c>
      <c r="X58">
        <v>12989</v>
      </c>
      <c r="Y58">
        <v>12374</v>
      </c>
      <c r="Z58">
        <v>12650</v>
      </c>
      <c r="AA58">
        <v>14343</v>
      </c>
      <c r="AB58">
        <v>15424</v>
      </c>
      <c r="AC58">
        <v>16836</v>
      </c>
      <c r="AD58">
        <v>16845</v>
      </c>
      <c r="AE58">
        <v>16619</v>
      </c>
    </row>
    <row r="59" spans="1:31" x14ac:dyDescent="0.3">
      <c r="A59" t="s">
        <v>243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244</v>
      </c>
      <c r="B2" t="s">
        <v>121</v>
      </c>
      <c r="C2" t="s">
        <v>0</v>
      </c>
      <c r="D2" t="s">
        <v>122</v>
      </c>
      <c r="E2" t="s">
        <v>123</v>
      </c>
      <c r="F2">
        <v>67</v>
      </c>
      <c r="G2">
        <v>40</v>
      </c>
      <c r="H2">
        <v>46</v>
      </c>
      <c r="I2">
        <v>44</v>
      </c>
      <c r="J2">
        <v>46</v>
      </c>
      <c r="K2">
        <v>42</v>
      </c>
      <c r="L2">
        <v>50</v>
      </c>
      <c r="M2">
        <v>63</v>
      </c>
      <c r="N2">
        <v>53</v>
      </c>
      <c r="O2">
        <v>51</v>
      </c>
      <c r="P2">
        <v>56</v>
      </c>
      <c r="Q2">
        <v>44</v>
      </c>
      <c r="R2">
        <v>44</v>
      </c>
      <c r="S2">
        <v>47</v>
      </c>
      <c r="T2">
        <v>38</v>
      </c>
      <c r="U2">
        <v>38</v>
      </c>
      <c r="V2">
        <v>33</v>
      </c>
      <c r="W2">
        <v>25</v>
      </c>
      <c r="X2">
        <v>27</v>
      </c>
      <c r="Y2">
        <v>29</v>
      </c>
      <c r="Z2">
        <v>27</v>
      </c>
      <c r="AA2">
        <v>19</v>
      </c>
      <c r="AB2">
        <v>24</v>
      </c>
      <c r="AC2">
        <v>18</v>
      </c>
      <c r="AD2">
        <v>27</v>
      </c>
      <c r="AE2">
        <v>40</v>
      </c>
    </row>
    <row r="3" spans="1:31" x14ac:dyDescent="0.3">
      <c r="A3" t="s">
        <v>244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244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244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244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244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244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244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244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244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244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244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244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244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244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244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244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244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244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244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244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244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244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244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244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244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244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244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244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244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244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244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244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244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244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244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244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244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244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244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244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244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244</v>
      </c>
      <c r="B44" t="s">
        <v>206</v>
      </c>
      <c r="C44" t="s">
        <v>0</v>
      </c>
      <c r="D44" t="s">
        <v>207</v>
      </c>
      <c r="E44" t="s">
        <v>123</v>
      </c>
      <c r="F44">
        <v>70</v>
      </c>
      <c r="G44">
        <v>43</v>
      </c>
      <c r="H44">
        <v>51</v>
      </c>
      <c r="I44">
        <v>49</v>
      </c>
      <c r="J44">
        <v>51</v>
      </c>
      <c r="K44">
        <v>48</v>
      </c>
      <c r="L44">
        <v>58</v>
      </c>
      <c r="M44">
        <v>72</v>
      </c>
      <c r="N44">
        <v>63</v>
      </c>
      <c r="O44">
        <v>59</v>
      </c>
      <c r="P44">
        <v>65</v>
      </c>
      <c r="Q44">
        <v>54</v>
      </c>
      <c r="R44">
        <v>56</v>
      </c>
      <c r="S44">
        <v>60</v>
      </c>
      <c r="T44">
        <v>51</v>
      </c>
      <c r="U44">
        <v>51</v>
      </c>
      <c r="V44">
        <v>45</v>
      </c>
      <c r="W44">
        <v>36</v>
      </c>
      <c r="X44">
        <v>38</v>
      </c>
      <c r="Y44">
        <v>39</v>
      </c>
      <c r="Z44">
        <v>37</v>
      </c>
      <c r="AA44">
        <v>28</v>
      </c>
      <c r="AB44">
        <v>33</v>
      </c>
      <c r="AC44">
        <v>27</v>
      </c>
      <c r="AD44">
        <v>36</v>
      </c>
      <c r="AE44">
        <v>40</v>
      </c>
    </row>
    <row r="45" spans="1:31" x14ac:dyDescent="0.3">
      <c r="A45" t="s">
        <v>244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244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244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244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244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244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244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244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244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244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244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244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244</v>
      </c>
      <c r="B57" t="s">
        <v>232</v>
      </c>
      <c r="C57" t="s">
        <v>0</v>
      </c>
      <c r="D57" t="s">
        <v>233</v>
      </c>
      <c r="E57" t="s">
        <v>123</v>
      </c>
      <c r="F57">
        <v>70</v>
      </c>
      <c r="G57">
        <v>43</v>
      </c>
      <c r="H57">
        <v>51</v>
      </c>
      <c r="I57">
        <v>49</v>
      </c>
      <c r="J57">
        <v>51</v>
      </c>
      <c r="K57">
        <v>48</v>
      </c>
      <c r="L57">
        <v>58</v>
      </c>
      <c r="M57">
        <v>72</v>
      </c>
      <c r="N57">
        <v>63</v>
      </c>
      <c r="O57">
        <v>59</v>
      </c>
      <c r="P57">
        <v>65</v>
      </c>
      <c r="Q57">
        <v>54</v>
      </c>
      <c r="R57">
        <v>56</v>
      </c>
      <c r="S57">
        <v>60</v>
      </c>
      <c r="T57">
        <v>51</v>
      </c>
      <c r="U57">
        <v>51</v>
      </c>
      <c r="V57">
        <v>45</v>
      </c>
      <c r="W57">
        <v>36</v>
      </c>
      <c r="X57">
        <v>38</v>
      </c>
      <c r="Y57">
        <v>39</v>
      </c>
      <c r="Z57">
        <v>37</v>
      </c>
      <c r="AA57">
        <v>28</v>
      </c>
      <c r="AB57">
        <v>33</v>
      </c>
      <c r="AC57">
        <v>27</v>
      </c>
      <c r="AD57">
        <v>36</v>
      </c>
      <c r="AE57">
        <v>40</v>
      </c>
    </row>
    <row r="58" spans="1:31" x14ac:dyDescent="0.3">
      <c r="A58" t="s">
        <v>244</v>
      </c>
      <c r="B58" t="s">
        <v>234</v>
      </c>
      <c r="C58" t="s">
        <v>0</v>
      </c>
      <c r="D58" t="s">
        <v>235</v>
      </c>
      <c r="E58" t="s">
        <v>123</v>
      </c>
      <c r="F58">
        <v>70</v>
      </c>
      <c r="G58">
        <v>43</v>
      </c>
      <c r="H58">
        <v>51</v>
      </c>
      <c r="I58">
        <v>49</v>
      </c>
      <c r="J58">
        <v>51</v>
      </c>
      <c r="K58">
        <v>48</v>
      </c>
      <c r="L58">
        <v>58</v>
      </c>
      <c r="M58">
        <v>72</v>
      </c>
      <c r="N58">
        <v>63</v>
      </c>
      <c r="O58">
        <v>59</v>
      </c>
      <c r="P58">
        <v>65</v>
      </c>
      <c r="Q58">
        <v>54</v>
      </c>
      <c r="R58">
        <v>56</v>
      </c>
      <c r="S58">
        <v>60</v>
      </c>
      <c r="T58">
        <v>51</v>
      </c>
      <c r="U58">
        <v>51</v>
      </c>
      <c r="V58">
        <v>45</v>
      </c>
      <c r="W58">
        <v>36</v>
      </c>
      <c r="X58">
        <v>38</v>
      </c>
      <c r="Y58">
        <v>39</v>
      </c>
      <c r="Z58">
        <v>37</v>
      </c>
      <c r="AA58">
        <v>28</v>
      </c>
      <c r="AB58">
        <v>33</v>
      </c>
      <c r="AC58">
        <v>27</v>
      </c>
      <c r="AD58">
        <v>36</v>
      </c>
      <c r="AE58">
        <v>40</v>
      </c>
    </row>
    <row r="59" spans="1:31" x14ac:dyDescent="0.3">
      <c r="A59" t="s">
        <v>244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245</v>
      </c>
      <c r="B2" t="s">
        <v>121</v>
      </c>
      <c r="C2" t="s">
        <v>0</v>
      </c>
      <c r="D2" t="s">
        <v>122</v>
      </c>
      <c r="E2" t="s">
        <v>123</v>
      </c>
      <c r="F2">
        <v>3</v>
      </c>
      <c r="G2">
        <v>1</v>
      </c>
      <c r="H2">
        <v>0</v>
      </c>
      <c r="I2">
        <v>3</v>
      </c>
      <c r="J2">
        <v>3</v>
      </c>
      <c r="K2">
        <v>2</v>
      </c>
      <c r="L2">
        <v>0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3</v>
      </c>
      <c r="V2">
        <v>6</v>
      </c>
      <c r="W2">
        <v>2</v>
      </c>
      <c r="X2">
        <v>1</v>
      </c>
      <c r="Y2">
        <v>2</v>
      </c>
      <c r="Z2">
        <v>2</v>
      </c>
      <c r="AA2">
        <v>2</v>
      </c>
      <c r="AB2">
        <v>4</v>
      </c>
      <c r="AC2">
        <v>14</v>
      </c>
      <c r="AD2">
        <v>16</v>
      </c>
      <c r="AE2">
        <v>14</v>
      </c>
    </row>
    <row r="3" spans="1:31" x14ac:dyDescent="0.3">
      <c r="A3" t="s">
        <v>245</v>
      </c>
      <c r="B3" t="s">
        <v>124</v>
      </c>
      <c r="C3" t="s">
        <v>0</v>
      </c>
      <c r="D3" t="s">
        <v>125</v>
      </c>
      <c r="E3" t="s">
        <v>123</v>
      </c>
      <c r="F3">
        <v>6</v>
      </c>
      <c r="G3">
        <v>6</v>
      </c>
      <c r="H3">
        <v>5</v>
      </c>
      <c r="I3">
        <v>8</v>
      </c>
      <c r="J3">
        <v>10</v>
      </c>
      <c r="K3">
        <v>11</v>
      </c>
      <c r="L3">
        <v>4</v>
      </c>
      <c r="M3">
        <v>4</v>
      </c>
      <c r="N3">
        <v>6</v>
      </c>
      <c r="O3">
        <v>5</v>
      </c>
      <c r="P3">
        <v>4</v>
      </c>
      <c r="Q3">
        <v>3</v>
      </c>
      <c r="R3">
        <v>6</v>
      </c>
      <c r="S3">
        <v>10</v>
      </c>
      <c r="T3">
        <v>15</v>
      </c>
      <c r="U3">
        <v>11</v>
      </c>
      <c r="V3">
        <v>9</v>
      </c>
      <c r="W3">
        <v>9</v>
      </c>
      <c r="X3">
        <v>8</v>
      </c>
      <c r="Y3">
        <v>6</v>
      </c>
      <c r="Z3">
        <v>7</v>
      </c>
      <c r="AA3">
        <v>14</v>
      </c>
      <c r="AB3">
        <v>25</v>
      </c>
      <c r="AC3">
        <v>18</v>
      </c>
      <c r="AD3">
        <v>9</v>
      </c>
      <c r="AE3">
        <v>16</v>
      </c>
    </row>
    <row r="4" spans="1:31" x14ac:dyDescent="0.3">
      <c r="A4" t="s">
        <v>245</v>
      </c>
      <c r="B4" t="s">
        <v>126</v>
      </c>
      <c r="C4" t="s">
        <v>0</v>
      </c>
      <c r="D4" t="s">
        <v>127</v>
      </c>
      <c r="E4" t="s">
        <v>123</v>
      </c>
      <c r="F4">
        <v>1120</v>
      </c>
      <c r="G4">
        <v>1323</v>
      </c>
      <c r="H4">
        <v>1529</v>
      </c>
      <c r="I4">
        <v>1851</v>
      </c>
      <c r="J4">
        <v>2297</v>
      </c>
      <c r="K4">
        <v>2734</v>
      </c>
      <c r="L4">
        <v>2816</v>
      </c>
      <c r="M4">
        <v>2862</v>
      </c>
      <c r="N4">
        <v>3112</v>
      </c>
      <c r="O4">
        <v>3407</v>
      </c>
      <c r="P4">
        <v>3534</v>
      </c>
      <c r="Q4">
        <v>3688</v>
      </c>
      <c r="R4">
        <v>3973</v>
      </c>
      <c r="S4">
        <v>4699</v>
      </c>
      <c r="T4">
        <v>4344</v>
      </c>
      <c r="U4">
        <v>4339</v>
      </c>
      <c r="V4">
        <v>4112</v>
      </c>
      <c r="W4">
        <v>3476</v>
      </c>
      <c r="X4">
        <v>3341</v>
      </c>
      <c r="Y4">
        <v>3233</v>
      </c>
      <c r="Z4">
        <v>2967</v>
      </c>
      <c r="AA4">
        <v>2738</v>
      </c>
      <c r="AB4">
        <v>2473</v>
      </c>
      <c r="AC4">
        <v>2735</v>
      </c>
      <c r="AD4">
        <v>2822</v>
      </c>
      <c r="AE4">
        <v>2778</v>
      </c>
    </row>
    <row r="5" spans="1:31" x14ac:dyDescent="0.3">
      <c r="A5" t="s">
        <v>245</v>
      </c>
      <c r="B5" t="s">
        <v>128</v>
      </c>
      <c r="C5" t="s">
        <v>0</v>
      </c>
      <c r="D5" t="s">
        <v>129</v>
      </c>
      <c r="E5" t="s">
        <v>123</v>
      </c>
      <c r="F5">
        <v>49</v>
      </c>
      <c r="G5">
        <v>45</v>
      </c>
      <c r="H5">
        <v>39</v>
      </c>
      <c r="I5">
        <v>42</v>
      </c>
      <c r="J5">
        <v>46</v>
      </c>
      <c r="K5">
        <v>47</v>
      </c>
      <c r="L5">
        <v>46</v>
      </c>
      <c r="M5">
        <v>49</v>
      </c>
      <c r="N5">
        <v>43</v>
      </c>
      <c r="O5">
        <v>47</v>
      </c>
      <c r="P5">
        <v>56</v>
      </c>
      <c r="Q5">
        <v>56</v>
      </c>
      <c r="R5">
        <v>51</v>
      </c>
      <c r="S5">
        <v>59</v>
      </c>
      <c r="T5">
        <v>58</v>
      </c>
      <c r="U5">
        <v>64</v>
      </c>
      <c r="V5">
        <v>64</v>
      </c>
      <c r="W5">
        <v>63</v>
      </c>
      <c r="X5">
        <v>70</v>
      </c>
      <c r="Y5">
        <v>68</v>
      </c>
      <c r="Z5">
        <v>60</v>
      </c>
      <c r="AA5">
        <v>54</v>
      </c>
      <c r="AB5">
        <v>62</v>
      </c>
      <c r="AC5">
        <v>59</v>
      </c>
      <c r="AD5">
        <v>60</v>
      </c>
      <c r="AE5">
        <v>14</v>
      </c>
    </row>
    <row r="6" spans="1:31" x14ac:dyDescent="0.3">
      <c r="A6" t="s">
        <v>245</v>
      </c>
      <c r="B6" t="s">
        <v>130</v>
      </c>
      <c r="C6" t="s">
        <v>0</v>
      </c>
      <c r="D6" t="s">
        <v>131</v>
      </c>
      <c r="E6" t="s">
        <v>123</v>
      </c>
      <c r="F6">
        <v>7</v>
      </c>
      <c r="G6">
        <v>7</v>
      </c>
      <c r="H6">
        <v>8</v>
      </c>
      <c r="I6">
        <v>10</v>
      </c>
      <c r="J6">
        <v>13</v>
      </c>
      <c r="K6">
        <v>14</v>
      </c>
      <c r="L6">
        <v>17</v>
      </c>
      <c r="M6">
        <v>11</v>
      </c>
      <c r="N6">
        <v>11</v>
      </c>
      <c r="O6">
        <v>11</v>
      </c>
      <c r="P6">
        <v>7</v>
      </c>
      <c r="Q6">
        <v>12</v>
      </c>
      <c r="R6">
        <v>10</v>
      </c>
      <c r="S6">
        <v>13</v>
      </c>
      <c r="T6">
        <v>17</v>
      </c>
      <c r="U6">
        <v>8</v>
      </c>
      <c r="V6">
        <v>7</v>
      </c>
      <c r="W6">
        <v>5</v>
      </c>
      <c r="X6">
        <v>7</v>
      </c>
      <c r="Y6">
        <v>7</v>
      </c>
      <c r="Z6">
        <v>11</v>
      </c>
      <c r="AA6">
        <v>7</v>
      </c>
      <c r="AB6">
        <v>6</v>
      </c>
      <c r="AC6">
        <v>5</v>
      </c>
      <c r="AD6">
        <v>3</v>
      </c>
      <c r="AE6">
        <v>4</v>
      </c>
    </row>
    <row r="7" spans="1:31" x14ac:dyDescent="0.3">
      <c r="A7" t="s">
        <v>245</v>
      </c>
      <c r="B7" t="s">
        <v>132</v>
      </c>
      <c r="C7" t="s">
        <v>0</v>
      </c>
      <c r="D7" t="s">
        <v>133</v>
      </c>
      <c r="E7" t="s">
        <v>123</v>
      </c>
      <c r="F7">
        <v>67</v>
      </c>
      <c r="G7">
        <v>71</v>
      </c>
      <c r="H7">
        <v>76</v>
      </c>
      <c r="I7">
        <v>80</v>
      </c>
      <c r="J7">
        <v>84</v>
      </c>
      <c r="K7">
        <v>98</v>
      </c>
      <c r="L7">
        <v>104</v>
      </c>
      <c r="M7">
        <v>112</v>
      </c>
      <c r="N7">
        <v>114</v>
      </c>
      <c r="O7">
        <v>115</v>
      </c>
      <c r="P7">
        <v>113</v>
      </c>
      <c r="Q7">
        <v>108</v>
      </c>
      <c r="R7">
        <v>112</v>
      </c>
      <c r="S7">
        <v>114</v>
      </c>
      <c r="T7">
        <v>97</v>
      </c>
      <c r="U7">
        <v>107</v>
      </c>
      <c r="V7">
        <v>78</v>
      </c>
      <c r="W7">
        <v>97</v>
      </c>
      <c r="X7">
        <v>92</v>
      </c>
      <c r="Y7">
        <v>84</v>
      </c>
      <c r="Z7">
        <v>96</v>
      </c>
      <c r="AA7">
        <v>93</v>
      </c>
      <c r="AB7">
        <v>104</v>
      </c>
      <c r="AC7">
        <v>113</v>
      </c>
      <c r="AD7">
        <v>118</v>
      </c>
      <c r="AE7">
        <v>117</v>
      </c>
    </row>
    <row r="8" spans="1:31" x14ac:dyDescent="0.3">
      <c r="A8" t="s">
        <v>245</v>
      </c>
      <c r="B8" t="s">
        <v>134</v>
      </c>
      <c r="C8" t="s">
        <v>0</v>
      </c>
      <c r="D8" t="s">
        <v>135</v>
      </c>
      <c r="E8" t="s">
        <v>123</v>
      </c>
      <c r="F8">
        <v>31</v>
      </c>
      <c r="G8">
        <v>32</v>
      </c>
      <c r="H8">
        <v>33</v>
      </c>
      <c r="I8">
        <v>39</v>
      </c>
      <c r="J8">
        <v>21</v>
      </c>
      <c r="K8">
        <v>29</v>
      </c>
      <c r="L8">
        <v>29</v>
      </c>
      <c r="M8">
        <v>20</v>
      </c>
      <c r="N8">
        <v>15</v>
      </c>
      <c r="O8">
        <v>12</v>
      </c>
      <c r="P8">
        <v>11</v>
      </c>
      <c r="Q8">
        <v>12</v>
      </c>
      <c r="R8">
        <v>24</v>
      </c>
      <c r="S8">
        <v>45</v>
      </c>
      <c r="T8">
        <v>43</v>
      </c>
      <c r="U8">
        <v>40</v>
      </c>
      <c r="V8">
        <v>41</v>
      </c>
      <c r="W8">
        <v>43</v>
      </c>
      <c r="X8">
        <v>38</v>
      </c>
      <c r="Y8">
        <v>31</v>
      </c>
      <c r="Z8">
        <v>32</v>
      </c>
      <c r="AA8">
        <v>35</v>
      </c>
      <c r="AB8">
        <v>35</v>
      </c>
      <c r="AC8">
        <v>38</v>
      </c>
      <c r="AD8">
        <v>41</v>
      </c>
      <c r="AE8">
        <v>41</v>
      </c>
    </row>
    <row r="9" spans="1:31" x14ac:dyDescent="0.3">
      <c r="A9" t="s">
        <v>245</v>
      </c>
      <c r="B9" t="s">
        <v>136</v>
      </c>
      <c r="C9" t="s">
        <v>0</v>
      </c>
      <c r="D9" t="s">
        <v>137</v>
      </c>
      <c r="E9" t="s">
        <v>123</v>
      </c>
      <c r="F9">
        <v>73</v>
      </c>
      <c r="G9">
        <v>74</v>
      </c>
      <c r="H9">
        <v>79</v>
      </c>
      <c r="I9">
        <v>81</v>
      </c>
      <c r="J9">
        <v>97</v>
      </c>
      <c r="K9">
        <v>100</v>
      </c>
      <c r="L9">
        <v>101</v>
      </c>
      <c r="M9">
        <v>106</v>
      </c>
      <c r="N9">
        <v>97</v>
      </c>
      <c r="O9">
        <v>114</v>
      </c>
      <c r="P9">
        <v>115</v>
      </c>
      <c r="Q9">
        <v>129</v>
      </c>
      <c r="R9">
        <v>140</v>
      </c>
      <c r="S9">
        <v>149</v>
      </c>
      <c r="T9">
        <v>117</v>
      </c>
      <c r="U9">
        <v>127</v>
      </c>
      <c r="V9">
        <v>132</v>
      </c>
      <c r="W9">
        <v>108</v>
      </c>
      <c r="X9">
        <v>146</v>
      </c>
      <c r="Y9">
        <v>88</v>
      </c>
      <c r="Z9">
        <v>120</v>
      </c>
      <c r="AA9">
        <v>113</v>
      </c>
      <c r="AB9">
        <v>121</v>
      </c>
      <c r="AC9">
        <v>120</v>
      </c>
      <c r="AD9">
        <v>123</v>
      </c>
      <c r="AE9">
        <v>122</v>
      </c>
    </row>
    <row r="10" spans="1:31" x14ac:dyDescent="0.3">
      <c r="A10" t="s">
        <v>245</v>
      </c>
      <c r="B10" t="s">
        <v>138</v>
      </c>
      <c r="C10" t="s">
        <v>0</v>
      </c>
      <c r="D10" t="s">
        <v>139</v>
      </c>
      <c r="E10" t="s">
        <v>123</v>
      </c>
      <c r="F10">
        <v>153</v>
      </c>
      <c r="G10">
        <v>154</v>
      </c>
      <c r="H10">
        <v>158</v>
      </c>
      <c r="I10">
        <v>170</v>
      </c>
      <c r="J10">
        <v>187</v>
      </c>
      <c r="K10">
        <v>218</v>
      </c>
      <c r="L10">
        <v>239</v>
      </c>
      <c r="M10">
        <v>271</v>
      </c>
      <c r="N10">
        <v>235</v>
      </c>
      <c r="O10">
        <v>234</v>
      </c>
      <c r="P10">
        <v>236</v>
      </c>
      <c r="Q10">
        <v>256</v>
      </c>
      <c r="R10">
        <v>311</v>
      </c>
      <c r="S10">
        <v>326</v>
      </c>
      <c r="T10">
        <v>284</v>
      </c>
      <c r="U10">
        <v>286</v>
      </c>
      <c r="V10">
        <v>292</v>
      </c>
      <c r="W10">
        <v>326</v>
      </c>
      <c r="X10">
        <v>362</v>
      </c>
      <c r="Y10">
        <v>330</v>
      </c>
      <c r="Z10">
        <v>350</v>
      </c>
      <c r="AA10">
        <v>361</v>
      </c>
      <c r="AB10">
        <v>386</v>
      </c>
      <c r="AC10">
        <v>351</v>
      </c>
      <c r="AD10">
        <v>296</v>
      </c>
      <c r="AE10">
        <v>350</v>
      </c>
    </row>
    <row r="11" spans="1:31" x14ac:dyDescent="0.3">
      <c r="A11" t="s">
        <v>245</v>
      </c>
      <c r="B11" t="s">
        <v>140</v>
      </c>
      <c r="C11" t="s">
        <v>0</v>
      </c>
      <c r="D11" t="s">
        <v>141</v>
      </c>
      <c r="E11" t="s">
        <v>123</v>
      </c>
      <c r="F11">
        <v>80</v>
      </c>
      <c r="G11">
        <v>80</v>
      </c>
      <c r="H11">
        <v>79</v>
      </c>
      <c r="I11">
        <v>89</v>
      </c>
      <c r="J11">
        <v>90</v>
      </c>
      <c r="K11">
        <v>118</v>
      </c>
      <c r="L11">
        <v>138</v>
      </c>
      <c r="M11">
        <v>165</v>
      </c>
      <c r="N11">
        <v>138</v>
      </c>
      <c r="O11">
        <v>120</v>
      </c>
      <c r="P11">
        <v>121</v>
      </c>
      <c r="Q11">
        <v>127</v>
      </c>
      <c r="R11">
        <v>171</v>
      </c>
      <c r="S11">
        <v>177</v>
      </c>
      <c r="T11">
        <v>167</v>
      </c>
      <c r="U11">
        <v>159</v>
      </c>
      <c r="V11">
        <v>160</v>
      </c>
      <c r="W11">
        <v>218</v>
      </c>
      <c r="X11">
        <v>216</v>
      </c>
      <c r="Y11">
        <v>242</v>
      </c>
      <c r="Z11">
        <v>230</v>
      </c>
      <c r="AA11">
        <v>248</v>
      </c>
      <c r="AB11">
        <v>265</v>
      </c>
      <c r="AC11">
        <v>231</v>
      </c>
      <c r="AD11">
        <v>173</v>
      </c>
      <c r="AE11">
        <v>228</v>
      </c>
    </row>
    <row r="12" spans="1:31" x14ac:dyDescent="0.3">
      <c r="A12" t="s">
        <v>245</v>
      </c>
      <c r="B12" t="s">
        <v>142</v>
      </c>
      <c r="C12" t="s">
        <v>0</v>
      </c>
      <c r="D12" t="s">
        <v>143</v>
      </c>
      <c r="E12" t="s">
        <v>123</v>
      </c>
      <c r="F12">
        <v>29</v>
      </c>
      <c r="G12">
        <v>29</v>
      </c>
      <c r="H12">
        <v>27</v>
      </c>
      <c r="I12">
        <v>29</v>
      </c>
      <c r="J12">
        <v>44</v>
      </c>
      <c r="K12">
        <v>48</v>
      </c>
      <c r="L12">
        <v>48</v>
      </c>
      <c r="M12">
        <v>57</v>
      </c>
      <c r="N12">
        <v>54</v>
      </c>
      <c r="O12">
        <v>56</v>
      </c>
      <c r="P12">
        <v>48</v>
      </c>
      <c r="Q12">
        <v>55</v>
      </c>
      <c r="R12">
        <v>61</v>
      </c>
      <c r="S12">
        <v>64</v>
      </c>
      <c r="T12">
        <v>62</v>
      </c>
      <c r="U12">
        <v>62</v>
      </c>
      <c r="V12">
        <v>66</v>
      </c>
      <c r="W12">
        <v>75</v>
      </c>
      <c r="X12">
        <v>68</v>
      </c>
      <c r="Y12">
        <v>70</v>
      </c>
      <c r="Z12">
        <v>80</v>
      </c>
      <c r="AA12">
        <v>73</v>
      </c>
      <c r="AB12">
        <v>90</v>
      </c>
      <c r="AC12">
        <v>82</v>
      </c>
      <c r="AD12">
        <v>92</v>
      </c>
      <c r="AE12">
        <v>92</v>
      </c>
    </row>
    <row r="13" spans="1:31" x14ac:dyDescent="0.3">
      <c r="A13" t="s">
        <v>245</v>
      </c>
      <c r="B13" t="s">
        <v>144</v>
      </c>
      <c r="C13" t="s">
        <v>0</v>
      </c>
      <c r="D13" t="s">
        <v>145</v>
      </c>
      <c r="E13" t="s">
        <v>123</v>
      </c>
      <c r="F13">
        <v>50</v>
      </c>
      <c r="G13">
        <v>50</v>
      </c>
      <c r="H13">
        <v>53</v>
      </c>
      <c r="I13">
        <v>56</v>
      </c>
      <c r="J13">
        <v>63</v>
      </c>
      <c r="K13">
        <v>63</v>
      </c>
      <c r="L13">
        <v>69</v>
      </c>
      <c r="M13">
        <v>61</v>
      </c>
      <c r="N13">
        <v>67</v>
      </c>
      <c r="O13">
        <v>75</v>
      </c>
      <c r="P13">
        <v>84</v>
      </c>
      <c r="Q13">
        <v>84</v>
      </c>
      <c r="R13">
        <v>90</v>
      </c>
      <c r="S13">
        <v>93</v>
      </c>
      <c r="T13">
        <v>100</v>
      </c>
      <c r="U13">
        <v>101</v>
      </c>
      <c r="V13">
        <v>93</v>
      </c>
      <c r="W13">
        <v>86</v>
      </c>
      <c r="X13">
        <v>79</v>
      </c>
      <c r="Y13">
        <v>67</v>
      </c>
      <c r="Z13">
        <v>67</v>
      </c>
      <c r="AA13">
        <v>65</v>
      </c>
      <c r="AB13">
        <v>73</v>
      </c>
      <c r="AC13">
        <v>77</v>
      </c>
      <c r="AD13">
        <v>75</v>
      </c>
      <c r="AE13">
        <v>85</v>
      </c>
    </row>
    <row r="14" spans="1:31" x14ac:dyDescent="0.3">
      <c r="A14" t="s">
        <v>245</v>
      </c>
      <c r="B14" t="s">
        <v>146</v>
      </c>
      <c r="C14" t="s">
        <v>0</v>
      </c>
      <c r="D14" t="s">
        <v>147</v>
      </c>
      <c r="E14" t="s">
        <v>123</v>
      </c>
      <c r="F14">
        <v>430</v>
      </c>
      <c r="G14">
        <v>608</v>
      </c>
      <c r="H14">
        <v>786</v>
      </c>
      <c r="I14">
        <v>1034</v>
      </c>
      <c r="J14">
        <v>1403</v>
      </c>
      <c r="K14">
        <v>1755</v>
      </c>
      <c r="L14">
        <v>1747</v>
      </c>
      <c r="M14">
        <v>1738</v>
      </c>
      <c r="N14">
        <v>2057</v>
      </c>
      <c r="O14">
        <v>2339</v>
      </c>
      <c r="P14">
        <v>2463</v>
      </c>
      <c r="Q14">
        <v>2539</v>
      </c>
      <c r="R14">
        <v>2691</v>
      </c>
      <c r="S14">
        <v>3272</v>
      </c>
      <c r="T14">
        <v>3026</v>
      </c>
      <c r="U14">
        <v>2963</v>
      </c>
      <c r="V14">
        <v>2706</v>
      </c>
      <c r="W14">
        <v>1881</v>
      </c>
      <c r="X14">
        <v>1789</v>
      </c>
      <c r="Y14">
        <v>1706</v>
      </c>
      <c r="Z14">
        <v>1362</v>
      </c>
      <c r="AA14">
        <v>1120</v>
      </c>
      <c r="AB14">
        <v>1085</v>
      </c>
      <c r="AC14">
        <v>994</v>
      </c>
      <c r="AD14">
        <v>1069</v>
      </c>
      <c r="AE14">
        <v>993</v>
      </c>
    </row>
    <row r="15" spans="1:31" x14ac:dyDescent="0.3">
      <c r="A15" t="s">
        <v>245</v>
      </c>
      <c r="B15" t="s">
        <v>148</v>
      </c>
      <c r="C15" t="s">
        <v>0</v>
      </c>
      <c r="D15" t="s">
        <v>149</v>
      </c>
      <c r="E15" t="s">
        <v>123</v>
      </c>
      <c r="F15">
        <v>499</v>
      </c>
      <c r="G15">
        <v>676</v>
      </c>
      <c r="H15">
        <v>852</v>
      </c>
      <c r="I15">
        <v>1112</v>
      </c>
      <c r="J15">
        <v>1482</v>
      </c>
      <c r="K15">
        <v>1839</v>
      </c>
      <c r="L15">
        <v>1832</v>
      </c>
      <c r="M15">
        <v>1831</v>
      </c>
      <c r="N15">
        <v>2163</v>
      </c>
      <c r="O15">
        <v>2458</v>
      </c>
      <c r="P15">
        <v>2582</v>
      </c>
      <c r="Q15">
        <v>2654</v>
      </c>
      <c r="R15">
        <v>2830</v>
      </c>
      <c r="S15">
        <v>3488</v>
      </c>
      <c r="T15">
        <v>3246</v>
      </c>
      <c r="U15">
        <v>3231</v>
      </c>
      <c r="V15">
        <v>2967</v>
      </c>
      <c r="W15">
        <v>2180</v>
      </c>
      <c r="X15">
        <v>2017</v>
      </c>
      <c r="Y15">
        <v>2015</v>
      </c>
      <c r="Z15">
        <v>1658</v>
      </c>
      <c r="AA15">
        <v>1384</v>
      </c>
      <c r="AB15">
        <v>1042</v>
      </c>
      <c r="AC15">
        <v>1216</v>
      </c>
      <c r="AD15">
        <v>1309</v>
      </c>
      <c r="AE15">
        <v>1223</v>
      </c>
    </row>
    <row r="16" spans="1:31" x14ac:dyDescent="0.3">
      <c r="A16" t="s">
        <v>245</v>
      </c>
      <c r="B16" t="s">
        <v>150</v>
      </c>
      <c r="C16" t="s">
        <v>0</v>
      </c>
      <c r="D16" t="s">
        <v>151</v>
      </c>
      <c r="E16" t="s">
        <v>123</v>
      </c>
      <c r="F16">
        <v>69</v>
      </c>
      <c r="G16">
        <v>68</v>
      </c>
      <c r="H16">
        <v>66</v>
      </c>
      <c r="I16">
        <v>78</v>
      </c>
      <c r="J16">
        <v>79</v>
      </c>
      <c r="K16">
        <v>84</v>
      </c>
      <c r="L16">
        <v>85</v>
      </c>
      <c r="M16">
        <v>93</v>
      </c>
      <c r="N16">
        <v>106</v>
      </c>
      <c r="O16">
        <v>119</v>
      </c>
      <c r="P16">
        <v>119</v>
      </c>
      <c r="Q16">
        <v>115</v>
      </c>
      <c r="R16">
        <v>139</v>
      </c>
      <c r="S16">
        <v>216</v>
      </c>
      <c r="T16">
        <v>220</v>
      </c>
      <c r="U16">
        <v>268</v>
      </c>
      <c r="V16">
        <v>261</v>
      </c>
      <c r="W16">
        <v>299</v>
      </c>
      <c r="X16">
        <v>228</v>
      </c>
      <c r="Y16">
        <v>309</v>
      </c>
      <c r="Z16">
        <v>296</v>
      </c>
      <c r="AA16">
        <v>264</v>
      </c>
      <c r="AB16">
        <v>-43</v>
      </c>
      <c r="AC16">
        <v>222</v>
      </c>
      <c r="AD16">
        <v>240</v>
      </c>
      <c r="AE16">
        <v>230</v>
      </c>
    </row>
    <row r="17" spans="1:31" x14ac:dyDescent="0.3">
      <c r="A17" t="s">
        <v>245</v>
      </c>
      <c r="B17" t="s">
        <v>152</v>
      </c>
      <c r="C17" t="s">
        <v>0</v>
      </c>
      <c r="D17" t="s">
        <v>153</v>
      </c>
      <c r="E17" t="s">
        <v>123</v>
      </c>
      <c r="F17">
        <v>128</v>
      </c>
      <c r="G17">
        <v>140</v>
      </c>
      <c r="H17">
        <v>151</v>
      </c>
      <c r="I17">
        <v>168</v>
      </c>
      <c r="J17">
        <v>188</v>
      </c>
      <c r="K17">
        <v>184</v>
      </c>
      <c r="L17">
        <v>218</v>
      </c>
      <c r="M17">
        <v>218</v>
      </c>
      <c r="N17">
        <v>190</v>
      </c>
      <c r="O17">
        <v>187</v>
      </c>
      <c r="P17">
        <v>203</v>
      </c>
      <c r="Q17">
        <v>215</v>
      </c>
      <c r="R17">
        <v>243</v>
      </c>
      <c r="S17">
        <v>419</v>
      </c>
      <c r="T17">
        <v>347</v>
      </c>
      <c r="U17">
        <v>360</v>
      </c>
      <c r="V17">
        <v>403</v>
      </c>
      <c r="W17">
        <v>487</v>
      </c>
      <c r="X17">
        <v>509</v>
      </c>
      <c r="Y17">
        <v>498</v>
      </c>
      <c r="Z17">
        <v>528</v>
      </c>
      <c r="AA17">
        <v>575</v>
      </c>
      <c r="AB17">
        <v>578</v>
      </c>
      <c r="AC17">
        <v>671</v>
      </c>
      <c r="AD17">
        <v>699</v>
      </c>
      <c r="AE17">
        <v>715</v>
      </c>
    </row>
    <row r="18" spans="1:31" x14ac:dyDescent="0.3">
      <c r="A18" t="s">
        <v>245</v>
      </c>
      <c r="B18" t="s">
        <v>154</v>
      </c>
      <c r="C18" t="s">
        <v>0</v>
      </c>
      <c r="D18" t="s">
        <v>155</v>
      </c>
      <c r="E18" t="s">
        <v>123</v>
      </c>
      <c r="F18">
        <v>21</v>
      </c>
      <c r="G18">
        <v>23</v>
      </c>
      <c r="H18">
        <v>23</v>
      </c>
      <c r="I18">
        <v>24</v>
      </c>
      <c r="J18">
        <v>26</v>
      </c>
      <c r="K18">
        <v>30</v>
      </c>
      <c r="L18">
        <v>28</v>
      </c>
      <c r="M18">
        <v>29</v>
      </c>
      <c r="N18">
        <v>27</v>
      </c>
      <c r="O18">
        <v>30</v>
      </c>
      <c r="P18">
        <v>33</v>
      </c>
      <c r="Q18">
        <v>45</v>
      </c>
      <c r="R18">
        <v>31</v>
      </c>
      <c r="S18">
        <v>41</v>
      </c>
      <c r="T18">
        <v>58</v>
      </c>
      <c r="U18">
        <v>48</v>
      </c>
      <c r="V18">
        <v>69</v>
      </c>
      <c r="W18">
        <v>80</v>
      </c>
      <c r="X18">
        <v>72</v>
      </c>
      <c r="Y18">
        <v>40</v>
      </c>
      <c r="Z18">
        <v>61</v>
      </c>
      <c r="AA18">
        <v>63</v>
      </c>
      <c r="AB18">
        <v>76</v>
      </c>
      <c r="AC18">
        <v>85</v>
      </c>
      <c r="AD18">
        <v>92</v>
      </c>
      <c r="AE18">
        <v>96</v>
      </c>
    </row>
    <row r="19" spans="1:31" x14ac:dyDescent="0.3">
      <c r="A19" t="s">
        <v>245</v>
      </c>
      <c r="B19" t="s">
        <v>156</v>
      </c>
      <c r="C19" t="s">
        <v>0</v>
      </c>
      <c r="D19" t="s">
        <v>157</v>
      </c>
      <c r="E19" t="s">
        <v>123</v>
      </c>
      <c r="F19">
        <v>86</v>
      </c>
      <c r="G19">
        <v>96</v>
      </c>
      <c r="H19">
        <v>109</v>
      </c>
      <c r="I19">
        <v>121</v>
      </c>
      <c r="J19">
        <v>143</v>
      </c>
      <c r="K19">
        <v>164</v>
      </c>
      <c r="L19">
        <v>186</v>
      </c>
      <c r="M19">
        <v>203</v>
      </c>
      <c r="N19">
        <v>193</v>
      </c>
      <c r="O19">
        <v>182</v>
      </c>
      <c r="P19">
        <v>161</v>
      </c>
      <c r="Q19">
        <v>191</v>
      </c>
      <c r="R19">
        <v>210</v>
      </c>
      <c r="S19">
        <v>37</v>
      </c>
      <c r="T19">
        <v>32</v>
      </c>
      <c r="U19">
        <v>32</v>
      </c>
      <c r="V19">
        <v>32</v>
      </c>
      <c r="W19">
        <v>34</v>
      </c>
      <c r="X19">
        <v>27</v>
      </c>
      <c r="Y19">
        <v>23</v>
      </c>
      <c r="Z19">
        <v>24</v>
      </c>
      <c r="AA19">
        <v>28</v>
      </c>
      <c r="AB19">
        <v>21</v>
      </c>
      <c r="AC19">
        <v>38</v>
      </c>
      <c r="AD19">
        <v>37</v>
      </c>
      <c r="AE19">
        <v>41</v>
      </c>
    </row>
    <row r="20" spans="1:31" x14ac:dyDescent="0.3">
      <c r="A20" t="s">
        <v>245</v>
      </c>
      <c r="B20" t="s">
        <v>158</v>
      </c>
      <c r="C20" t="s">
        <v>0</v>
      </c>
      <c r="D20" t="s">
        <v>159</v>
      </c>
      <c r="E20" t="s">
        <v>123</v>
      </c>
      <c r="F20">
        <v>14</v>
      </c>
      <c r="G20">
        <v>23</v>
      </c>
      <c r="H20">
        <v>34</v>
      </c>
      <c r="I20">
        <v>36</v>
      </c>
      <c r="J20">
        <v>29</v>
      </c>
      <c r="K20">
        <v>22</v>
      </c>
      <c r="L20">
        <v>32</v>
      </c>
      <c r="M20">
        <v>15</v>
      </c>
      <c r="N20">
        <v>9</v>
      </c>
      <c r="O20">
        <v>7</v>
      </c>
      <c r="P20">
        <v>13</v>
      </c>
      <c r="Q20">
        <v>26</v>
      </c>
      <c r="R20">
        <v>13</v>
      </c>
      <c r="S20">
        <v>15</v>
      </c>
      <c r="T20">
        <v>19</v>
      </c>
      <c r="U20">
        <v>26</v>
      </c>
      <c r="V20">
        <v>26</v>
      </c>
      <c r="W20">
        <v>35</v>
      </c>
      <c r="X20">
        <v>29</v>
      </c>
      <c r="Y20">
        <v>23</v>
      </c>
      <c r="Z20">
        <v>24</v>
      </c>
      <c r="AA20">
        <v>44</v>
      </c>
      <c r="AB20">
        <v>73</v>
      </c>
      <c r="AC20">
        <v>61</v>
      </c>
      <c r="AD20">
        <v>75</v>
      </c>
      <c r="AE20">
        <v>66</v>
      </c>
    </row>
    <row r="21" spans="1:31" x14ac:dyDescent="0.3">
      <c r="A21" t="s">
        <v>245</v>
      </c>
      <c r="B21" t="s">
        <v>160</v>
      </c>
      <c r="C21" t="s">
        <v>0</v>
      </c>
      <c r="D21" t="s">
        <v>161</v>
      </c>
      <c r="E21" t="s">
        <v>123</v>
      </c>
      <c r="F21">
        <v>15</v>
      </c>
      <c r="G21">
        <v>24</v>
      </c>
      <c r="H21">
        <v>35</v>
      </c>
      <c r="I21">
        <v>37</v>
      </c>
      <c r="J21">
        <v>32</v>
      </c>
      <c r="K21">
        <v>24</v>
      </c>
      <c r="L21">
        <v>35</v>
      </c>
      <c r="M21">
        <v>20</v>
      </c>
      <c r="N21">
        <v>15</v>
      </c>
      <c r="O21">
        <v>15</v>
      </c>
      <c r="P21">
        <v>21</v>
      </c>
      <c r="Q21">
        <v>40</v>
      </c>
      <c r="R21">
        <v>30</v>
      </c>
      <c r="S21">
        <v>28</v>
      </c>
      <c r="T21">
        <v>32</v>
      </c>
      <c r="U21">
        <v>44</v>
      </c>
      <c r="V21">
        <v>42</v>
      </c>
      <c r="W21">
        <v>60</v>
      </c>
      <c r="X21">
        <v>53</v>
      </c>
      <c r="Y21">
        <v>42</v>
      </c>
      <c r="Z21">
        <v>54</v>
      </c>
      <c r="AA21">
        <v>74</v>
      </c>
      <c r="AB21">
        <v>91</v>
      </c>
      <c r="AC21">
        <v>77</v>
      </c>
      <c r="AD21">
        <v>89</v>
      </c>
      <c r="AE21">
        <v>72</v>
      </c>
    </row>
    <row r="22" spans="1:31" x14ac:dyDescent="0.3">
      <c r="A22" t="s">
        <v>245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1</v>
      </c>
      <c r="H22">
        <v>1</v>
      </c>
      <c r="I22">
        <v>1</v>
      </c>
      <c r="J22">
        <v>3</v>
      </c>
      <c r="K22">
        <v>2</v>
      </c>
      <c r="L22">
        <v>3</v>
      </c>
      <c r="M22">
        <v>5</v>
      </c>
      <c r="N22">
        <v>6</v>
      </c>
      <c r="O22">
        <v>8</v>
      </c>
      <c r="P22">
        <v>8</v>
      </c>
      <c r="Q22">
        <v>14</v>
      </c>
      <c r="R22">
        <v>17</v>
      </c>
      <c r="S22">
        <v>13</v>
      </c>
      <c r="T22">
        <v>13</v>
      </c>
      <c r="U22">
        <v>18</v>
      </c>
      <c r="V22">
        <v>16</v>
      </c>
      <c r="W22">
        <v>25</v>
      </c>
      <c r="X22">
        <v>24</v>
      </c>
      <c r="Y22">
        <v>19</v>
      </c>
      <c r="Z22">
        <v>30</v>
      </c>
      <c r="AA22">
        <v>30</v>
      </c>
      <c r="AB22">
        <v>18</v>
      </c>
      <c r="AC22">
        <v>16</v>
      </c>
      <c r="AD22">
        <v>14</v>
      </c>
      <c r="AE22">
        <v>6</v>
      </c>
    </row>
    <row r="23" spans="1:31" x14ac:dyDescent="0.3">
      <c r="A23" t="s">
        <v>245</v>
      </c>
      <c r="B23" t="s">
        <v>164</v>
      </c>
      <c r="C23" t="s">
        <v>0</v>
      </c>
      <c r="D23" t="s">
        <v>165</v>
      </c>
      <c r="E23" t="s">
        <v>123</v>
      </c>
      <c r="F23">
        <v>11</v>
      </c>
      <c r="G23">
        <v>10</v>
      </c>
      <c r="H23">
        <v>10</v>
      </c>
      <c r="I23">
        <v>11</v>
      </c>
      <c r="J23">
        <v>20</v>
      </c>
      <c r="K23">
        <v>33</v>
      </c>
      <c r="L23">
        <v>26</v>
      </c>
      <c r="M23">
        <v>32</v>
      </c>
      <c r="N23">
        <v>36</v>
      </c>
      <c r="O23">
        <v>21</v>
      </c>
      <c r="P23">
        <v>20</v>
      </c>
      <c r="Q23">
        <v>21</v>
      </c>
      <c r="R23">
        <v>25</v>
      </c>
      <c r="S23">
        <v>32</v>
      </c>
      <c r="T23">
        <v>43</v>
      </c>
      <c r="U23">
        <v>55</v>
      </c>
      <c r="V23">
        <v>48</v>
      </c>
      <c r="W23">
        <v>50</v>
      </c>
      <c r="X23">
        <v>63</v>
      </c>
      <c r="Y23">
        <v>18</v>
      </c>
      <c r="Z23">
        <v>31</v>
      </c>
      <c r="AA23">
        <v>21</v>
      </c>
      <c r="AB23">
        <v>30</v>
      </c>
      <c r="AC23">
        <v>27</v>
      </c>
      <c r="AD23">
        <v>27</v>
      </c>
      <c r="AE23">
        <v>32</v>
      </c>
    </row>
    <row r="24" spans="1:31" x14ac:dyDescent="0.3">
      <c r="A24" t="s">
        <v>245</v>
      </c>
      <c r="B24" t="s">
        <v>166</v>
      </c>
      <c r="C24" t="s">
        <v>0</v>
      </c>
      <c r="D24" t="s">
        <v>167</v>
      </c>
      <c r="E24" t="s">
        <v>123</v>
      </c>
      <c r="F24">
        <v>46</v>
      </c>
      <c r="G24">
        <v>57</v>
      </c>
      <c r="H24">
        <v>68</v>
      </c>
      <c r="I24">
        <v>86</v>
      </c>
      <c r="J24">
        <v>95</v>
      </c>
      <c r="K24">
        <v>125</v>
      </c>
      <c r="L24">
        <v>129</v>
      </c>
      <c r="M24">
        <v>6</v>
      </c>
      <c r="N24">
        <v>6</v>
      </c>
      <c r="O24">
        <v>3</v>
      </c>
      <c r="P24">
        <v>5</v>
      </c>
      <c r="Q24">
        <v>1</v>
      </c>
      <c r="R24">
        <v>61</v>
      </c>
      <c r="S24">
        <v>41</v>
      </c>
      <c r="T24">
        <v>51</v>
      </c>
      <c r="U24">
        <v>57</v>
      </c>
      <c r="V24">
        <v>65</v>
      </c>
      <c r="W24">
        <v>101</v>
      </c>
      <c r="X24">
        <v>76</v>
      </c>
      <c r="Y24">
        <v>69</v>
      </c>
      <c r="Z24">
        <v>74</v>
      </c>
      <c r="AA24">
        <v>69</v>
      </c>
      <c r="AB24">
        <v>50</v>
      </c>
      <c r="AC24">
        <v>76</v>
      </c>
      <c r="AD24">
        <v>74</v>
      </c>
      <c r="AE24">
        <v>66</v>
      </c>
    </row>
    <row r="25" spans="1:31" x14ac:dyDescent="0.3">
      <c r="A25" t="s">
        <v>245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>
        <v>0</v>
      </c>
      <c r="W25">
        <v>1</v>
      </c>
      <c r="X25">
        <v>2</v>
      </c>
      <c r="Y25">
        <v>4</v>
      </c>
      <c r="Z25">
        <v>6</v>
      </c>
      <c r="AA25">
        <v>5</v>
      </c>
      <c r="AB25">
        <v>1</v>
      </c>
      <c r="AC25">
        <v>1</v>
      </c>
      <c r="AD25">
        <v>4</v>
      </c>
      <c r="AE25">
        <v>2</v>
      </c>
    </row>
    <row r="26" spans="1:31" x14ac:dyDescent="0.3">
      <c r="A26" t="s">
        <v>245</v>
      </c>
      <c r="B26" t="s">
        <v>170</v>
      </c>
      <c r="C26" t="s">
        <v>0</v>
      </c>
      <c r="D26" t="s">
        <v>171</v>
      </c>
      <c r="E26" t="s">
        <v>123</v>
      </c>
      <c r="F26">
        <v>46</v>
      </c>
      <c r="G26">
        <v>57</v>
      </c>
      <c r="H26">
        <v>68</v>
      </c>
      <c r="I26">
        <v>85</v>
      </c>
      <c r="J26">
        <v>94</v>
      </c>
      <c r="K26">
        <v>123</v>
      </c>
      <c r="L26">
        <v>126</v>
      </c>
      <c r="M26">
        <v>6</v>
      </c>
      <c r="N26">
        <v>6</v>
      </c>
      <c r="O26">
        <v>3</v>
      </c>
      <c r="P26">
        <v>5</v>
      </c>
      <c r="Q26">
        <v>1</v>
      </c>
      <c r="R26">
        <v>61</v>
      </c>
      <c r="S26">
        <v>37</v>
      </c>
      <c r="T26">
        <v>51</v>
      </c>
      <c r="U26">
        <v>53</v>
      </c>
      <c r="V26">
        <v>60</v>
      </c>
      <c r="W26">
        <v>98</v>
      </c>
      <c r="X26">
        <v>73</v>
      </c>
      <c r="Y26">
        <v>63</v>
      </c>
      <c r="Z26">
        <v>68</v>
      </c>
      <c r="AA26">
        <v>61</v>
      </c>
      <c r="AB26">
        <v>49</v>
      </c>
      <c r="AC26">
        <v>75</v>
      </c>
      <c r="AD26">
        <v>70</v>
      </c>
      <c r="AE26">
        <v>63</v>
      </c>
    </row>
    <row r="27" spans="1:31" x14ac:dyDescent="0.3">
      <c r="A27" t="s">
        <v>245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5</v>
      </c>
      <c r="W27">
        <v>2</v>
      </c>
      <c r="X27">
        <v>1</v>
      </c>
      <c r="Y27">
        <v>2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1</v>
      </c>
    </row>
    <row r="28" spans="1:31" x14ac:dyDescent="0.3">
      <c r="A28" t="s">
        <v>245</v>
      </c>
      <c r="B28" t="s">
        <v>174</v>
      </c>
      <c r="C28" t="s">
        <v>0</v>
      </c>
      <c r="D28" t="s">
        <v>175</v>
      </c>
      <c r="E28" t="s">
        <v>123</v>
      </c>
      <c r="F28">
        <v>9</v>
      </c>
      <c r="G28">
        <v>10</v>
      </c>
      <c r="H28">
        <v>11</v>
      </c>
      <c r="I28">
        <v>9</v>
      </c>
      <c r="J28">
        <v>16</v>
      </c>
      <c r="K28">
        <v>18</v>
      </c>
      <c r="L28">
        <v>30</v>
      </c>
      <c r="M28">
        <v>20</v>
      </c>
      <c r="N28">
        <v>23</v>
      </c>
      <c r="O28">
        <v>23</v>
      </c>
      <c r="P28">
        <v>25</v>
      </c>
      <c r="Q28">
        <v>29</v>
      </c>
      <c r="R28">
        <v>23</v>
      </c>
      <c r="S28">
        <v>20</v>
      </c>
      <c r="T28">
        <v>17</v>
      </c>
      <c r="U28">
        <v>10</v>
      </c>
      <c r="V28">
        <v>15</v>
      </c>
      <c r="W28">
        <v>12</v>
      </c>
      <c r="X28">
        <v>13</v>
      </c>
      <c r="Y28">
        <v>15</v>
      </c>
      <c r="Z28">
        <v>14</v>
      </c>
      <c r="AA28">
        <v>14</v>
      </c>
      <c r="AB28">
        <v>12</v>
      </c>
      <c r="AC28">
        <v>10</v>
      </c>
      <c r="AD28">
        <v>12</v>
      </c>
      <c r="AE28">
        <v>15</v>
      </c>
    </row>
    <row r="29" spans="1:31" x14ac:dyDescent="0.3">
      <c r="A29" t="s">
        <v>245</v>
      </c>
      <c r="B29" t="s">
        <v>176</v>
      </c>
      <c r="C29" t="s">
        <v>0</v>
      </c>
      <c r="D29" t="s">
        <v>177</v>
      </c>
      <c r="E29" t="s">
        <v>123</v>
      </c>
      <c r="F29">
        <v>4</v>
      </c>
      <c r="G29">
        <v>4</v>
      </c>
      <c r="H29">
        <v>4</v>
      </c>
      <c r="I29">
        <v>3</v>
      </c>
      <c r="J29">
        <v>7</v>
      </c>
      <c r="K29">
        <v>6</v>
      </c>
      <c r="L29">
        <v>10</v>
      </c>
      <c r="M29">
        <v>2</v>
      </c>
      <c r="N29">
        <v>4</v>
      </c>
      <c r="O29">
        <v>4</v>
      </c>
      <c r="P29">
        <v>2</v>
      </c>
      <c r="Q29">
        <v>2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0</v>
      </c>
      <c r="AC29">
        <v>2</v>
      </c>
      <c r="AD29">
        <v>3</v>
      </c>
      <c r="AE29">
        <v>1</v>
      </c>
    </row>
    <row r="30" spans="1:31" x14ac:dyDescent="0.3">
      <c r="A30" t="s">
        <v>245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1</v>
      </c>
    </row>
    <row r="31" spans="1:31" x14ac:dyDescent="0.3">
      <c r="A31" t="s">
        <v>245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245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  <c r="M32">
        <v>1</v>
      </c>
      <c r="N32">
        <v>1</v>
      </c>
      <c r="O32">
        <v>2</v>
      </c>
      <c r="P32">
        <v>3</v>
      </c>
      <c r="Q32">
        <v>2</v>
      </c>
      <c r="R32">
        <v>0</v>
      </c>
      <c r="S32">
        <v>1</v>
      </c>
      <c r="T32">
        <v>1</v>
      </c>
      <c r="U32">
        <v>1</v>
      </c>
      <c r="V32">
        <v>2</v>
      </c>
      <c r="W32">
        <v>1</v>
      </c>
      <c r="X32">
        <v>2</v>
      </c>
      <c r="Y32">
        <v>2</v>
      </c>
      <c r="Z32">
        <v>1</v>
      </c>
      <c r="AA32">
        <v>0</v>
      </c>
      <c r="AB32">
        <v>3</v>
      </c>
      <c r="AC32">
        <v>2</v>
      </c>
      <c r="AD32">
        <v>3</v>
      </c>
      <c r="AE32">
        <v>6</v>
      </c>
    </row>
    <row r="33" spans="1:31" x14ac:dyDescent="0.3">
      <c r="A33" t="s">
        <v>245</v>
      </c>
      <c r="B33" t="s">
        <v>184</v>
      </c>
      <c r="C33" t="s">
        <v>0</v>
      </c>
      <c r="D33" t="s">
        <v>185</v>
      </c>
      <c r="E33" t="s">
        <v>123</v>
      </c>
      <c r="F33">
        <v>5</v>
      </c>
      <c r="G33">
        <v>5</v>
      </c>
      <c r="H33">
        <v>6</v>
      </c>
      <c r="I33">
        <v>5</v>
      </c>
      <c r="J33">
        <v>5</v>
      </c>
      <c r="K33">
        <v>11</v>
      </c>
      <c r="L33">
        <v>18</v>
      </c>
      <c r="M33">
        <v>16</v>
      </c>
      <c r="N33">
        <v>17</v>
      </c>
      <c r="O33">
        <v>16</v>
      </c>
      <c r="P33">
        <v>19</v>
      </c>
      <c r="Q33">
        <v>25</v>
      </c>
      <c r="R33">
        <v>21</v>
      </c>
      <c r="S33">
        <v>18</v>
      </c>
      <c r="T33">
        <v>16</v>
      </c>
      <c r="U33">
        <v>8</v>
      </c>
      <c r="V33">
        <v>11</v>
      </c>
      <c r="W33">
        <v>10</v>
      </c>
      <c r="X33">
        <v>10</v>
      </c>
      <c r="Y33">
        <v>11</v>
      </c>
      <c r="Z33">
        <v>11</v>
      </c>
      <c r="AA33">
        <v>12</v>
      </c>
      <c r="AB33">
        <v>9</v>
      </c>
      <c r="AC33">
        <v>6</v>
      </c>
      <c r="AD33">
        <v>5</v>
      </c>
      <c r="AE33">
        <v>7</v>
      </c>
    </row>
    <row r="34" spans="1:31" x14ac:dyDescent="0.3">
      <c r="A34" t="s">
        <v>245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2</v>
      </c>
    </row>
    <row r="35" spans="1:31" x14ac:dyDescent="0.3">
      <c r="A35" t="s">
        <v>245</v>
      </c>
      <c r="B35" t="s">
        <v>188</v>
      </c>
      <c r="C35" t="s">
        <v>0</v>
      </c>
      <c r="D35" t="s">
        <v>189</v>
      </c>
      <c r="E35" t="s">
        <v>123</v>
      </c>
      <c r="F35">
        <v>44</v>
      </c>
      <c r="G35">
        <v>52</v>
      </c>
      <c r="H35">
        <v>62</v>
      </c>
      <c r="I35">
        <v>85</v>
      </c>
      <c r="J35">
        <v>139</v>
      </c>
      <c r="K35">
        <v>147</v>
      </c>
      <c r="L35">
        <v>134</v>
      </c>
      <c r="M35">
        <v>263</v>
      </c>
      <c r="N35">
        <v>251</v>
      </c>
      <c r="O35">
        <v>206</v>
      </c>
      <c r="P35">
        <v>248</v>
      </c>
      <c r="Q35">
        <v>162</v>
      </c>
      <c r="R35">
        <v>351</v>
      </c>
      <c r="S35">
        <v>287</v>
      </c>
      <c r="T35">
        <v>234</v>
      </c>
      <c r="U35">
        <v>265</v>
      </c>
      <c r="V35">
        <v>277</v>
      </c>
      <c r="W35">
        <v>342</v>
      </c>
      <c r="X35">
        <v>441</v>
      </c>
      <c r="Y35">
        <v>377</v>
      </c>
      <c r="Z35">
        <v>289</v>
      </c>
      <c r="AA35">
        <v>289</v>
      </c>
      <c r="AB35">
        <v>384</v>
      </c>
      <c r="AC35">
        <v>290</v>
      </c>
      <c r="AD35">
        <v>275</v>
      </c>
      <c r="AE35">
        <v>329</v>
      </c>
    </row>
    <row r="36" spans="1:31" x14ac:dyDescent="0.3">
      <c r="A36" t="s">
        <v>245</v>
      </c>
      <c r="B36" t="s">
        <v>190</v>
      </c>
      <c r="C36" t="s">
        <v>0</v>
      </c>
      <c r="D36" t="s">
        <v>191</v>
      </c>
      <c r="E36" t="s">
        <v>123</v>
      </c>
      <c r="F36">
        <v>4</v>
      </c>
      <c r="G36">
        <v>4</v>
      </c>
      <c r="H36">
        <v>5</v>
      </c>
      <c r="I36">
        <v>5</v>
      </c>
      <c r="J36">
        <v>5</v>
      </c>
      <c r="K36">
        <v>3</v>
      </c>
      <c r="L36">
        <v>5</v>
      </c>
      <c r="M36">
        <v>6</v>
      </c>
      <c r="N36">
        <v>7</v>
      </c>
      <c r="O36">
        <v>5</v>
      </c>
      <c r="P36">
        <v>4</v>
      </c>
      <c r="Q36">
        <v>5</v>
      </c>
      <c r="R36">
        <v>7</v>
      </c>
      <c r="S36">
        <v>14</v>
      </c>
      <c r="T36">
        <v>10</v>
      </c>
      <c r="U36">
        <v>55</v>
      </c>
      <c r="V36">
        <v>61</v>
      </c>
      <c r="W36">
        <v>59</v>
      </c>
      <c r="X36">
        <v>70</v>
      </c>
      <c r="Y36">
        <v>82</v>
      </c>
      <c r="Z36">
        <v>76</v>
      </c>
      <c r="AA36">
        <v>52</v>
      </c>
      <c r="AB36">
        <v>107</v>
      </c>
      <c r="AC36">
        <v>127</v>
      </c>
      <c r="AD36">
        <v>152</v>
      </c>
      <c r="AE36">
        <v>135</v>
      </c>
    </row>
    <row r="37" spans="1:31" x14ac:dyDescent="0.3">
      <c r="A37" t="s">
        <v>245</v>
      </c>
      <c r="B37" t="s">
        <v>192</v>
      </c>
      <c r="C37" t="s">
        <v>0</v>
      </c>
      <c r="D37" t="s">
        <v>193</v>
      </c>
      <c r="E37" t="s">
        <v>123</v>
      </c>
      <c r="F37">
        <v>34</v>
      </c>
      <c r="G37">
        <v>43</v>
      </c>
      <c r="H37">
        <v>52</v>
      </c>
      <c r="I37">
        <v>70</v>
      </c>
      <c r="J37">
        <v>95</v>
      </c>
      <c r="K37">
        <v>93</v>
      </c>
      <c r="L37">
        <v>73</v>
      </c>
      <c r="M37">
        <v>105</v>
      </c>
      <c r="N37">
        <v>66</v>
      </c>
      <c r="O37">
        <v>82</v>
      </c>
      <c r="P37">
        <v>80</v>
      </c>
      <c r="Q37">
        <v>67</v>
      </c>
      <c r="R37">
        <v>58</v>
      </c>
      <c r="S37">
        <v>62</v>
      </c>
      <c r="T37">
        <v>46</v>
      </c>
      <c r="U37">
        <v>45</v>
      </c>
      <c r="V37">
        <v>43</v>
      </c>
      <c r="W37">
        <v>29</v>
      </c>
      <c r="X37">
        <v>43</v>
      </c>
      <c r="Y37">
        <v>42</v>
      </c>
      <c r="Z37">
        <v>36</v>
      </c>
      <c r="AA37">
        <v>35</v>
      </c>
      <c r="AB37">
        <v>32</v>
      </c>
      <c r="AC37">
        <v>28</v>
      </c>
      <c r="AD37">
        <v>35</v>
      </c>
      <c r="AE37">
        <v>28</v>
      </c>
    </row>
    <row r="38" spans="1:31" x14ac:dyDescent="0.3">
      <c r="A38" t="s">
        <v>245</v>
      </c>
      <c r="B38" t="s">
        <v>194</v>
      </c>
      <c r="C38" t="s">
        <v>0</v>
      </c>
      <c r="D38" t="s">
        <v>195</v>
      </c>
      <c r="E38" t="s">
        <v>123</v>
      </c>
      <c r="F38">
        <v>6</v>
      </c>
      <c r="G38">
        <v>5</v>
      </c>
      <c r="H38">
        <v>5</v>
      </c>
      <c r="I38">
        <v>10</v>
      </c>
      <c r="J38">
        <v>39</v>
      </c>
      <c r="K38">
        <v>51</v>
      </c>
      <c r="L38">
        <v>56</v>
      </c>
      <c r="M38">
        <v>152</v>
      </c>
      <c r="N38">
        <v>178</v>
      </c>
      <c r="O38">
        <v>119</v>
      </c>
      <c r="P38">
        <v>164</v>
      </c>
      <c r="Q38">
        <v>90</v>
      </c>
      <c r="R38">
        <v>286</v>
      </c>
      <c r="S38">
        <v>211</v>
      </c>
      <c r="T38">
        <v>178</v>
      </c>
      <c r="U38">
        <v>165</v>
      </c>
      <c r="V38">
        <v>173</v>
      </c>
      <c r="W38">
        <v>254</v>
      </c>
      <c r="X38">
        <v>328</v>
      </c>
      <c r="Y38">
        <v>253</v>
      </c>
      <c r="Z38">
        <v>177</v>
      </c>
      <c r="AA38">
        <v>202</v>
      </c>
      <c r="AB38">
        <v>245</v>
      </c>
      <c r="AC38">
        <v>135</v>
      </c>
      <c r="AD38">
        <v>88</v>
      </c>
      <c r="AE38">
        <v>166</v>
      </c>
    </row>
    <row r="39" spans="1:31" x14ac:dyDescent="0.3">
      <c r="A39" t="s">
        <v>245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8</v>
      </c>
      <c r="H39">
        <v>16</v>
      </c>
      <c r="I39">
        <v>4</v>
      </c>
      <c r="J39">
        <v>4</v>
      </c>
      <c r="K39">
        <v>10</v>
      </c>
      <c r="L39">
        <v>54</v>
      </c>
      <c r="M39">
        <v>1</v>
      </c>
      <c r="N39">
        <v>0</v>
      </c>
      <c r="O39">
        <v>0</v>
      </c>
      <c r="P39">
        <v>0</v>
      </c>
      <c r="Q39">
        <v>1</v>
      </c>
      <c r="R39">
        <v>36</v>
      </c>
      <c r="S39">
        <v>81</v>
      </c>
      <c r="T39">
        <v>71</v>
      </c>
      <c r="U39">
        <v>75</v>
      </c>
      <c r="V39">
        <v>78</v>
      </c>
      <c r="W39">
        <v>93</v>
      </c>
      <c r="X39">
        <v>69</v>
      </c>
      <c r="Y39">
        <v>78</v>
      </c>
      <c r="Z39">
        <v>89</v>
      </c>
      <c r="AA39">
        <v>81</v>
      </c>
      <c r="AB39">
        <v>109</v>
      </c>
      <c r="AC39">
        <v>104</v>
      </c>
      <c r="AD39">
        <v>101</v>
      </c>
      <c r="AE39">
        <v>94</v>
      </c>
    </row>
    <row r="40" spans="1:31" x14ac:dyDescent="0.3">
      <c r="A40" t="s">
        <v>245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3</v>
      </c>
      <c r="H40">
        <v>3</v>
      </c>
      <c r="I40">
        <v>1</v>
      </c>
      <c r="J40">
        <v>2</v>
      </c>
      <c r="K40">
        <v>2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3</v>
      </c>
      <c r="W40">
        <v>3</v>
      </c>
      <c r="X40">
        <v>2</v>
      </c>
      <c r="Y40">
        <v>3</v>
      </c>
      <c r="Z40">
        <v>5</v>
      </c>
      <c r="AA40">
        <v>4</v>
      </c>
      <c r="AB40">
        <v>4</v>
      </c>
      <c r="AC40">
        <v>4</v>
      </c>
      <c r="AD40">
        <v>4</v>
      </c>
      <c r="AE40">
        <v>4</v>
      </c>
    </row>
    <row r="41" spans="1:31" x14ac:dyDescent="0.3">
      <c r="A41" t="s">
        <v>245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245</v>
      </c>
      <c r="B42" t="s">
        <v>202</v>
      </c>
      <c r="C42" t="s">
        <v>0</v>
      </c>
      <c r="D42" t="s">
        <v>203</v>
      </c>
      <c r="E42" t="s">
        <v>123</v>
      </c>
      <c r="F42">
        <v>394</v>
      </c>
      <c r="G42">
        <v>426</v>
      </c>
      <c r="H42">
        <v>458</v>
      </c>
      <c r="I42">
        <v>483</v>
      </c>
      <c r="J42">
        <v>535</v>
      </c>
      <c r="K42">
        <v>580</v>
      </c>
      <c r="L42">
        <v>616</v>
      </c>
      <c r="M42">
        <v>735</v>
      </c>
      <c r="N42">
        <v>647</v>
      </c>
      <c r="O42">
        <v>699</v>
      </c>
      <c r="P42">
        <v>712</v>
      </c>
      <c r="Q42">
        <v>768</v>
      </c>
      <c r="R42">
        <v>718</v>
      </c>
      <c r="S42">
        <v>745</v>
      </c>
      <c r="T42">
        <v>797</v>
      </c>
      <c r="U42">
        <v>811</v>
      </c>
      <c r="V42">
        <v>774</v>
      </c>
      <c r="W42">
        <v>832</v>
      </c>
      <c r="X42">
        <v>821</v>
      </c>
      <c r="Y42">
        <v>745</v>
      </c>
      <c r="Z42">
        <v>755</v>
      </c>
      <c r="AA42">
        <v>719</v>
      </c>
      <c r="AB42">
        <v>672</v>
      </c>
      <c r="AC42">
        <v>788</v>
      </c>
      <c r="AD42">
        <v>852</v>
      </c>
      <c r="AE42">
        <v>821</v>
      </c>
    </row>
    <row r="43" spans="1:31" x14ac:dyDescent="0.3">
      <c r="A43" t="s">
        <v>245</v>
      </c>
      <c r="B43" t="s">
        <v>204</v>
      </c>
      <c r="C43" t="s">
        <v>0</v>
      </c>
      <c r="D43" t="s">
        <v>205</v>
      </c>
      <c r="E43" t="s">
        <v>123</v>
      </c>
      <c r="F43">
        <v>395</v>
      </c>
      <c r="G43">
        <v>428</v>
      </c>
      <c r="H43">
        <v>461</v>
      </c>
      <c r="I43">
        <v>486</v>
      </c>
      <c r="J43">
        <v>538</v>
      </c>
      <c r="K43">
        <v>581</v>
      </c>
      <c r="L43">
        <v>617</v>
      </c>
      <c r="M43">
        <v>741</v>
      </c>
      <c r="N43">
        <v>652</v>
      </c>
      <c r="O43">
        <v>707</v>
      </c>
      <c r="P43">
        <v>722</v>
      </c>
      <c r="Q43">
        <v>778</v>
      </c>
      <c r="R43">
        <v>726</v>
      </c>
      <c r="S43">
        <v>745</v>
      </c>
      <c r="T43">
        <v>797</v>
      </c>
      <c r="U43">
        <v>814</v>
      </c>
      <c r="V43">
        <v>778</v>
      </c>
      <c r="W43">
        <v>837</v>
      </c>
      <c r="X43">
        <v>824</v>
      </c>
      <c r="Y43">
        <v>753</v>
      </c>
      <c r="Z43">
        <v>762</v>
      </c>
      <c r="AA43">
        <v>734</v>
      </c>
      <c r="AB43">
        <v>679</v>
      </c>
      <c r="AC43">
        <v>797</v>
      </c>
      <c r="AD43">
        <v>855</v>
      </c>
      <c r="AE43">
        <v>842</v>
      </c>
    </row>
    <row r="44" spans="1:31" x14ac:dyDescent="0.3">
      <c r="A44" t="s">
        <v>245</v>
      </c>
      <c r="B44" t="s">
        <v>206</v>
      </c>
      <c r="C44" t="s">
        <v>0</v>
      </c>
      <c r="D44" t="s">
        <v>207</v>
      </c>
      <c r="E44" t="s">
        <v>123</v>
      </c>
      <c r="F44">
        <v>1657</v>
      </c>
      <c r="G44">
        <v>1927</v>
      </c>
      <c r="H44">
        <v>2203</v>
      </c>
      <c r="I44">
        <v>2589</v>
      </c>
      <c r="J44">
        <v>3163</v>
      </c>
      <c r="K44">
        <v>3696</v>
      </c>
      <c r="L44">
        <v>3858</v>
      </c>
      <c r="M44">
        <v>3960</v>
      </c>
      <c r="N44">
        <v>4114</v>
      </c>
      <c r="O44">
        <v>4402</v>
      </c>
      <c r="P44">
        <v>4591</v>
      </c>
      <c r="Q44">
        <v>4735</v>
      </c>
      <c r="R44">
        <v>5241</v>
      </c>
      <c r="S44">
        <v>5952</v>
      </c>
      <c r="T44">
        <v>5619</v>
      </c>
      <c r="U44">
        <v>5692</v>
      </c>
      <c r="V44">
        <v>5449</v>
      </c>
      <c r="W44">
        <v>5005</v>
      </c>
      <c r="X44">
        <v>4909</v>
      </c>
      <c r="Y44">
        <v>4617</v>
      </c>
      <c r="Z44">
        <v>4316</v>
      </c>
      <c r="AA44">
        <v>4055</v>
      </c>
      <c r="AB44">
        <v>3889</v>
      </c>
      <c r="AC44">
        <v>4183</v>
      </c>
      <c r="AD44">
        <v>4314</v>
      </c>
      <c r="AE44">
        <v>4293</v>
      </c>
    </row>
    <row r="45" spans="1:31" x14ac:dyDescent="0.3">
      <c r="A45" t="s">
        <v>245</v>
      </c>
      <c r="B45" t="s">
        <v>208</v>
      </c>
      <c r="C45" t="s">
        <v>0</v>
      </c>
      <c r="D45" t="s">
        <v>209</v>
      </c>
      <c r="E45" t="s">
        <v>123</v>
      </c>
      <c r="F45">
        <v>1654</v>
      </c>
      <c r="G45">
        <v>1926</v>
      </c>
      <c r="H45">
        <v>2203</v>
      </c>
      <c r="I45">
        <v>2586</v>
      </c>
      <c r="J45">
        <v>3160</v>
      </c>
      <c r="K45">
        <v>3694</v>
      </c>
      <c r="L45">
        <v>3858</v>
      </c>
      <c r="M45">
        <v>3959</v>
      </c>
      <c r="N45">
        <v>4114</v>
      </c>
      <c r="O45">
        <v>4401</v>
      </c>
      <c r="P45">
        <v>4591</v>
      </c>
      <c r="Q45">
        <v>4735</v>
      </c>
      <c r="R45">
        <v>5241</v>
      </c>
      <c r="S45">
        <v>5952</v>
      </c>
      <c r="T45">
        <v>5618</v>
      </c>
      <c r="U45">
        <v>5689</v>
      </c>
      <c r="V45">
        <v>5443</v>
      </c>
      <c r="W45">
        <v>5003</v>
      </c>
      <c r="X45">
        <v>4908</v>
      </c>
      <c r="Y45">
        <v>4615</v>
      </c>
      <c r="Z45">
        <v>4314</v>
      </c>
      <c r="AA45">
        <v>4053</v>
      </c>
      <c r="AB45">
        <v>3885</v>
      </c>
      <c r="AC45">
        <v>4169</v>
      </c>
      <c r="AD45">
        <v>4298</v>
      </c>
      <c r="AE45">
        <v>4279</v>
      </c>
    </row>
    <row r="46" spans="1:31" x14ac:dyDescent="0.3">
      <c r="A46" t="s">
        <v>245</v>
      </c>
      <c r="B46" t="s">
        <v>210</v>
      </c>
      <c r="C46" t="s">
        <v>0</v>
      </c>
      <c r="D46" t="s">
        <v>211</v>
      </c>
      <c r="E46" t="s">
        <v>123</v>
      </c>
      <c r="F46">
        <v>1</v>
      </c>
      <c r="G46">
        <v>2</v>
      </c>
      <c r="H46">
        <v>3</v>
      </c>
      <c r="I46">
        <v>3</v>
      </c>
      <c r="J46">
        <v>3</v>
      </c>
      <c r="K46">
        <v>1</v>
      </c>
      <c r="L46">
        <v>1</v>
      </c>
      <c r="M46">
        <v>6</v>
      </c>
      <c r="N46">
        <v>5</v>
      </c>
      <c r="O46">
        <v>8</v>
      </c>
      <c r="P46">
        <v>10</v>
      </c>
      <c r="Q46">
        <v>10</v>
      </c>
      <c r="R46">
        <v>8</v>
      </c>
      <c r="S46">
        <v>0</v>
      </c>
      <c r="T46">
        <v>0</v>
      </c>
      <c r="U46">
        <v>3</v>
      </c>
      <c r="V46">
        <v>4</v>
      </c>
      <c r="W46">
        <v>5</v>
      </c>
      <c r="X46">
        <v>3</v>
      </c>
      <c r="Y46">
        <v>8</v>
      </c>
      <c r="Z46">
        <v>7</v>
      </c>
      <c r="AA46">
        <v>15</v>
      </c>
      <c r="AB46">
        <v>7</v>
      </c>
      <c r="AC46">
        <v>9</v>
      </c>
      <c r="AD46">
        <v>3</v>
      </c>
      <c r="AE46">
        <v>21</v>
      </c>
    </row>
    <row r="47" spans="1:31" x14ac:dyDescent="0.3">
      <c r="A47" t="s">
        <v>245</v>
      </c>
      <c r="B47" t="s">
        <v>212</v>
      </c>
      <c r="C47" t="s">
        <v>0</v>
      </c>
      <c r="D47" t="s">
        <v>213</v>
      </c>
      <c r="E47" t="s">
        <v>123</v>
      </c>
      <c r="F47">
        <v>29</v>
      </c>
      <c r="G47">
        <v>31</v>
      </c>
      <c r="H47">
        <v>33</v>
      </c>
      <c r="I47">
        <v>40</v>
      </c>
      <c r="J47">
        <v>49</v>
      </c>
      <c r="K47">
        <v>49</v>
      </c>
      <c r="L47">
        <v>43</v>
      </c>
      <c r="M47">
        <v>54</v>
      </c>
      <c r="N47">
        <v>50</v>
      </c>
      <c r="O47">
        <v>53</v>
      </c>
      <c r="P47">
        <v>52</v>
      </c>
      <c r="Q47">
        <v>67</v>
      </c>
      <c r="R47">
        <v>45</v>
      </c>
      <c r="S47">
        <v>45</v>
      </c>
      <c r="T47">
        <v>62</v>
      </c>
      <c r="U47">
        <v>55</v>
      </c>
      <c r="V47">
        <v>48</v>
      </c>
      <c r="W47">
        <v>75</v>
      </c>
      <c r="X47">
        <v>62</v>
      </c>
      <c r="Y47">
        <v>55</v>
      </c>
      <c r="Z47">
        <v>54</v>
      </c>
      <c r="AA47">
        <v>89</v>
      </c>
      <c r="AB47">
        <v>105</v>
      </c>
      <c r="AC47">
        <v>109</v>
      </c>
      <c r="AD47">
        <v>108</v>
      </c>
      <c r="AE47">
        <v>106</v>
      </c>
    </row>
    <row r="48" spans="1:31" x14ac:dyDescent="0.3">
      <c r="A48" t="s">
        <v>245</v>
      </c>
      <c r="B48" t="s">
        <v>214</v>
      </c>
      <c r="C48" t="s">
        <v>0</v>
      </c>
      <c r="D48" t="s">
        <v>215</v>
      </c>
      <c r="E48" t="s">
        <v>123</v>
      </c>
      <c r="F48">
        <v>446</v>
      </c>
      <c r="G48">
        <v>599</v>
      </c>
      <c r="H48">
        <v>751</v>
      </c>
      <c r="I48">
        <v>653</v>
      </c>
      <c r="J48">
        <v>760</v>
      </c>
      <c r="K48">
        <v>721</v>
      </c>
      <c r="L48">
        <v>814</v>
      </c>
      <c r="M48">
        <v>916</v>
      </c>
      <c r="N48">
        <v>945</v>
      </c>
      <c r="O48">
        <v>1007</v>
      </c>
      <c r="P48">
        <v>1026</v>
      </c>
      <c r="Q48">
        <v>1078</v>
      </c>
      <c r="R48">
        <v>1141</v>
      </c>
      <c r="S48">
        <v>1151</v>
      </c>
      <c r="T48">
        <v>1267</v>
      </c>
      <c r="U48">
        <v>1396</v>
      </c>
      <c r="V48">
        <v>1407</v>
      </c>
      <c r="W48">
        <v>1477</v>
      </c>
      <c r="X48">
        <v>1428</v>
      </c>
      <c r="Y48">
        <v>1467</v>
      </c>
      <c r="Z48">
        <v>1327</v>
      </c>
      <c r="AA48">
        <v>1498</v>
      </c>
      <c r="AB48">
        <v>1588</v>
      </c>
      <c r="AC48">
        <v>1653</v>
      </c>
      <c r="AD48">
        <v>1730</v>
      </c>
      <c r="AE48">
        <v>1733</v>
      </c>
    </row>
    <row r="49" spans="1:31" x14ac:dyDescent="0.3">
      <c r="A49" t="s">
        <v>245</v>
      </c>
      <c r="B49" t="s">
        <v>216</v>
      </c>
      <c r="C49" t="s">
        <v>0</v>
      </c>
      <c r="D49" t="s">
        <v>217</v>
      </c>
      <c r="E49" t="s">
        <v>123</v>
      </c>
      <c r="F49">
        <v>415</v>
      </c>
      <c r="G49">
        <v>565</v>
      </c>
      <c r="H49">
        <v>715</v>
      </c>
      <c r="I49">
        <v>607</v>
      </c>
      <c r="J49">
        <v>705</v>
      </c>
      <c r="K49">
        <v>666</v>
      </c>
      <c r="L49">
        <v>765</v>
      </c>
      <c r="M49">
        <v>855</v>
      </c>
      <c r="N49">
        <v>889</v>
      </c>
      <c r="O49">
        <v>948</v>
      </c>
      <c r="P49">
        <v>968</v>
      </c>
      <c r="Q49">
        <v>1004</v>
      </c>
      <c r="R49">
        <v>1087</v>
      </c>
      <c r="S49">
        <v>1098</v>
      </c>
      <c r="T49">
        <v>1196</v>
      </c>
      <c r="U49">
        <v>1328</v>
      </c>
      <c r="V49">
        <v>1347</v>
      </c>
      <c r="W49">
        <v>1387</v>
      </c>
      <c r="X49">
        <v>1352</v>
      </c>
      <c r="Y49">
        <v>1398</v>
      </c>
      <c r="Z49">
        <v>1263</v>
      </c>
      <c r="AA49">
        <v>1396</v>
      </c>
      <c r="AB49">
        <v>1469</v>
      </c>
      <c r="AC49">
        <v>1522</v>
      </c>
      <c r="AD49">
        <v>1599</v>
      </c>
      <c r="AE49">
        <v>1602</v>
      </c>
    </row>
    <row r="50" spans="1:31" x14ac:dyDescent="0.3">
      <c r="A50" t="s">
        <v>245</v>
      </c>
      <c r="B50" t="s">
        <v>218</v>
      </c>
      <c r="C50" t="s">
        <v>0</v>
      </c>
      <c r="D50" t="s">
        <v>219</v>
      </c>
      <c r="E50" t="s">
        <v>123</v>
      </c>
      <c r="F50">
        <v>2</v>
      </c>
      <c r="G50">
        <v>3</v>
      </c>
      <c r="H50">
        <v>3</v>
      </c>
      <c r="I50">
        <v>6</v>
      </c>
      <c r="J50">
        <v>6</v>
      </c>
      <c r="K50">
        <v>6</v>
      </c>
      <c r="L50">
        <v>6</v>
      </c>
      <c r="M50">
        <v>7</v>
      </c>
      <c r="N50">
        <v>6</v>
      </c>
      <c r="O50">
        <v>6</v>
      </c>
      <c r="P50">
        <v>6</v>
      </c>
      <c r="Q50">
        <v>7</v>
      </c>
      <c r="R50">
        <v>9</v>
      </c>
      <c r="S50">
        <v>8</v>
      </c>
      <c r="T50">
        <v>9</v>
      </c>
      <c r="U50">
        <v>13</v>
      </c>
      <c r="V50">
        <v>12</v>
      </c>
      <c r="W50">
        <v>15</v>
      </c>
      <c r="X50">
        <v>14</v>
      </c>
      <c r="Y50">
        <v>14</v>
      </c>
      <c r="Z50">
        <v>10</v>
      </c>
      <c r="AA50">
        <v>13</v>
      </c>
      <c r="AB50">
        <v>14</v>
      </c>
      <c r="AC50">
        <v>22</v>
      </c>
      <c r="AD50">
        <v>23</v>
      </c>
      <c r="AE50">
        <v>25</v>
      </c>
    </row>
    <row r="51" spans="1:31" x14ac:dyDescent="0.3">
      <c r="A51" t="s">
        <v>245</v>
      </c>
      <c r="B51" t="s">
        <v>220</v>
      </c>
      <c r="C51" t="s">
        <v>0</v>
      </c>
      <c r="D51" t="s">
        <v>221</v>
      </c>
      <c r="E51" t="s">
        <v>123</v>
      </c>
      <c r="F51">
        <v>2</v>
      </c>
      <c r="G51">
        <v>2</v>
      </c>
      <c r="H51">
        <v>2</v>
      </c>
      <c r="I51">
        <v>5</v>
      </c>
      <c r="J51">
        <v>5</v>
      </c>
      <c r="K51">
        <v>5</v>
      </c>
      <c r="L51">
        <v>5</v>
      </c>
      <c r="M51">
        <v>5</v>
      </c>
      <c r="N51">
        <v>4</v>
      </c>
      <c r="O51">
        <v>4</v>
      </c>
      <c r="P51">
        <v>4</v>
      </c>
      <c r="Q51">
        <v>5</v>
      </c>
      <c r="R51">
        <v>7</v>
      </c>
      <c r="S51">
        <v>6</v>
      </c>
      <c r="T51">
        <v>7</v>
      </c>
      <c r="U51">
        <v>8</v>
      </c>
      <c r="V51">
        <v>7</v>
      </c>
      <c r="W51">
        <v>9</v>
      </c>
      <c r="X51">
        <v>7</v>
      </c>
      <c r="Y51">
        <v>7</v>
      </c>
      <c r="Z51">
        <v>2</v>
      </c>
      <c r="AA51">
        <v>4</v>
      </c>
      <c r="AB51">
        <v>6</v>
      </c>
      <c r="AC51">
        <v>14</v>
      </c>
      <c r="AD51">
        <v>12</v>
      </c>
      <c r="AE51">
        <v>13</v>
      </c>
    </row>
    <row r="52" spans="1:31" x14ac:dyDescent="0.3">
      <c r="A52" t="s">
        <v>245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5</v>
      </c>
      <c r="V52">
        <v>5</v>
      </c>
      <c r="W52">
        <v>6</v>
      </c>
      <c r="X52">
        <v>7</v>
      </c>
      <c r="Y52">
        <v>7</v>
      </c>
      <c r="Z52">
        <v>8</v>
      </c>
      <c r="AA52">
        <v>9</v>
      </c>
      <c r="AB52">
        <v>8</v>
      </c>
      <c r="AC52">
        <v>8</v>
      </c>
      <c r="AD52">
        <v>11</v>
      </c>
      <c r="AE52">
        <v>12</v>
      </c>
    </row>
    <row r="53" spans="1:31" x14ac:dyDescent="0.3">
      <c r="A53" t="s">
        <v>245</v>
      </c>
      <c r="B53" t="s">
        <v>224</v>
      </c>
      <c r="C53" t="s">
        <v>0</v>
      </c>
      <c r="D53" t="s">
        <v>225</v>
      </c>
      <c r="E53" t="s">
        <v>123</v>
      </c>
      <c r="F53">
        <v>2</v>
      </c>
      <c r="G53">
        <v>2</v>
      </c>
      <c r="H53">
        <v>2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2</v>
      </c>
      <c r="P53">
        <v>3</v>
      </c>
      <c r="Q53">
        <v>4</v>
      </c>
      <c r="R53">
        <v>5</v>
      </c>
      <c r="S53">
        <v>5</v>
      </c>
      <c r="T53">
        <v>9</v>
      </c>
      <c r="U53">
        <v>12</v>
      </c>
      <c r="V53">
        <v>12</v>
      </c>
      <c r="W53">
        <v>15</v>
      </c>
      <c r="X53">
        <v>14</v>
      </c>
      <c r="Y53">
        <v>18</v>
      </c>
      <c r="Z53">
        <v>18</v>
      </c>
      <c r="AA53">
        <v>10</v>
      </c>
      <c r="AB53">
        <v>23</v>
      </c>
      <c r="AC53">
        <v>24</v>
      </c>
      <c r="AD53">
        <v>25</v>
      </c>
      <c r="AE53">
        <v>23</v>
      </c>
    </row>
    <row r="54" spans="1:31" x14ac:dyDescent="0.3">
      <c r="A54" t="s">
        <v>245</v>
      </c>
      <c r="B54" t="s">
        <v>226</v>
      </c>
      <c r="C54" t="s">
        <v>0</v>
      </c>
      <c r="D54" t="s">
        <v>227</v>
      </c>
      <c r="E54" t="s">
        <v>123</v>
      </c>
      <c r="F54">
        <v>8</v>
      </c>
      <c r="G54">
        <v>8</v>
      </c>
      <c r="H54">
        <v>6</v>
      </c>
      <c r="I54">
        <v>9</v>
      </c>
      <c r="J54">
        <v>9</v>
      </c>
      <c r="K54">
        <v>11</v>
      </c>
      <c r="L54">
        <v>13</v>
      </c>
      <c r="M54">
        <v>10</v>
      </c>
      <c r="N54">
        <v>13</v>
      </c>
      <c r="O54">
        <v>14</v>
      </c>
      <c r="P54">
        <v>12</v>
      </c>
      <c r="Q54">
        <v>12</v>
      </c>
      <c r="R54">
        <v>10</v>
      </c>
      <c r="S54">
        <v>9</v>
      </c>
      <c r="T54">
        <v>14</v>
      </c>
      <c r="U54">
        <v>18</v>
      </c>
      <c r="V54">
        <v>18</v>
      </c>
      <c r="W54">
        <v>22</v>
      </c>
      <c r="X54">
        <v>20</v>
      </c>
      <c r="Y54">
        <v>24</v>
      </c>
      <c r="Z54">
        <v>27</v>
      </c>
      <c r="AA54">
        <v>19</v>
      </c>
      <c r="AB54">
        <v>32</v>
      </c>
      <c r="AC54">
        <v>34</v>
      </c>
      <c r="AD54">
        <v>34</v>
      </c>
      <c r="AE54">
        <v>33</v>
      </c>
    </row>
    <row r="55" spans="1:31" x14ac:dyDescent="0.3">
      <c r="A55" t="s">
        <v>245</v>
      </c>
      <c r="B55" t="s">
        <v>228</v>
      </c>
      <c r="C55" t="s">
        <v>0</v>
      </c>
      <c r="D55" t="s">
        <v>229</v>
      </c>
      <c r="E55" t="s">
        <v>123</v>
      </c>
      <c r="F55">
        <v>6</v>
      </c>
      <c r="G55">
        <v>6</v>
      </c>
      <c r="H55">
        <v>4</v>
      </c>
      <c r="I55">
        <v>5</v>
      </c>
      <c r="J55">
        <v>5</v>
      </c>
      <c r="K55">
        <v>8</v>
      </c>
      <c r="L55">
        <v>9</v>
      </c>
      <c r="M55">
        <v>8</v>
      </c>
      <c r="N55">
        <v>10</v>
      </c>
      <c r="O55">
        <v>12</v>
      </c>
      <c r="P55">
        <v>9</v>
      </c>
      <c r="Q55">
        <v>8</v>
      </c>
      <c r="R55">
        <v>5</v>
      </c>
      <c r="S55">
        <v>4</v>
      </c>
      <c r="T55">
        <v>5</v>
      </c>
      <c r="U55">
        <v>6</v>
      </c>
      <c r="V55">
        <v>6</v>
      </c>
      <c r="W55">
        <v>7</v>
      </c>
      <c r="X55">
        <v>6</v>
      </c>
      <c r="Y55">
        <v>6</v>
      </c>
      <c r="Z55">
        <v>9</v>
      </c>
      <c r="AA55">
        <v>9</v>
      </c>
      <c r="AB55">
        <v>9</v>
      </c>
      <c r="AC55">
        <v>10</v>
      </c>
      <c r="AD55">
        <v>9</v>
      </c>
      <c r="AE55">
        <v>10</v>
      </c>
    </row>
    <row r="56" spans="1:31" x14ac:dyDescent="0.3">
      <c r="A56" t="s">
        <v>245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245</v>
      </c>
      <c r="B57" t="s">
        <v>232</v>
      </c>
      <c r="C57" t="s">
        <v>0</v>
      </c>
      <c r="D57" t="s">
        <v>233</v>
      </c>
      <c r="E57" t="s">
        <v>123</v>
      </c>
      <c r="F57">
        <v>2105</v>
      </c>
      <c r="G57">
        <v>2529</v>
      </c>
      <c r="H57">
        <v>2957</v>
      </c>
      <c r="I57">
        <v>3243</v>
      </c>
      <c r="J57">
        <v>3925</v>
      </c>
      <c r="K57">
        <v>4419</v>
      </c>
      <c r="L57">
        <v>4674</v>
      </c>
      <c r="M57">
        <v>4876</v>
      </c>
      <c r="N57">
        <v>5059</v>
      </c>
      <c r="O57">
        <v>5409</v>
      </c>
      <c r="P57">
        <v>5617</v>
      </c>
      <c r="Q57">
        <v>5813</v>
      </c>
      <c r="R57">
        <v>6382</v>
      </c>
      <c r="S57">
        <v>7103</v>
      </c>
      <c r="T57">
        <v>6886</v>
      </c>
      <c r="U57">
        <v>7092</v>
      </c>
      <c r="V57">
        <v>6859</v>
      </c>
      <c r="W57">
        <v>6485</v>
      </c>
      <c r="X57">
        <v>6339</v>
      </c>
      <c r="Y57">
        <v>6087</v>
      </c>
      <c r="Z57">
        <v>5648</v>
      </c>
      <c r="AA57">
        <v>5557</v>
      </c>
      <c r="AB57">
        <v>5481</v>
      </c>
      <c r="AC57">
        <v>5840</v>
      </c>
      <c r="AD57">
        <v>6048</v>
      </c>
      <c r="AE57">
        <v>6030</v>
      </c>
    </row>
    <row r="58" spans="1:31" x14ac:dyDescent="0.3">
      <c r="A58" t="s">
        <v>245</v>
      </c>
      <c r="B58" t="s">
        <v>234</v>
      </c>
      <c r="C58" t="s">
        <v>0</v>
      </c>
      <c r="D58" t="s">
        <v>235</v>
      </c>
      <c r="E58" t="s">
        <v>123</v>
      </c>
      <c r="F58">
        <v>2105</v>
      </c>
      <c r="G58">
        <v>2529</v>
      </c>
      <c r="H58">
        <v>2957</v>
      </c>
      <c r="I58">
        <v>3243</v>
      </c>
      <c r="J58">
        <v>3925</v>
      </c>
      <c r="K58">
        <v>4419</v>
      </c>
      <c r="L58">
        <v>4674</v>
      </c>
      <c r="M58">
        <v>4876</v>
      </c>
      <c r="N58">
        <v>5059</v>
      </c>
      <c r="O58">
        <v>5409</v>
      </c>
      <c r="P58">
        <v>5617</v>
      </c>
      <c r="Q58">
        <v>5813</v>
      </c>
      <c r="R58">
        <v>6382</v>
      </c>
      <c r="S58">
        <v>7103</v>
      </c>
      <c r="T58">
        <v>6886</v>
      </c>
      <c r="U58">
        <v>7092</v>
      </c>
      <c r="V58">
        <v>6859</v>
      </c>
      <c r="W58">
        <v>6485</v>
      </c>
      <c r="X58">
        <v>6339</v>
      </c>
      <c r="Y58">
        <v>6087</v>
      </c>
      <c r="Z58">
        <v>5648</v>
      </c>
      <c r="AA58">
        <v>5557</v>
      </c>
      <c r="AB58">
        <v>5481</v>
      </c>
      <c r="AC58">
        <v>5840</v>
      </c>
      <c r="AD58">
        <v>6048</v>
      </c>
      <c r="AE58">
        <v>6030</v>
      </c>
    </row>
    <row r="59" spans="1:31" x14ac:dyDescent="0.3">
      <c r="A59" t="s">
        <v>245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246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246</v>
      </c>
      <c r="B3" t="s">
        <v>124</v>
      </c>
      <c r="C3" t="s">
        <v>0</v>
      </c>
      <c r="D3" t="s">
        <v>125</v>
      </c>
      <c r="E3" t="s">
        <v>123</v>
      </c>
      <c r="F3">
        <v>29</v>
      </c>
      <c r="G3">
        <v>22</v>
      </c>
      <c r="H3">
        <v>21</v>
      </c>
      <c r="I3">
        <v>24</v>
      </c>
      <c r="J3">
        <v>30</v>
      </c>
      <c r="K3">
        <v>35</v>
      </c>
      <c r="L3">
        <v>49</v>
      </c>
      <c r="M3">
        <v>46</v>
      </c>
      <c r="N3">
        <v>44</v>
      </c>
      <c r="O3">
        <v>35</v>
      </c>
      <c r="P3">
        <v>41</v>
      </c>
      <c r="Q3">
        <v>42</v>
      </c>
      <c r="R3">
        <v>59</v>
      </c>
      <c r="S3">
        <v>66</v>
      </c>
      <c r="T3">
        <v>56</v>
      </c>
      <c r="U3">
        <v>67</v>
      </c>
      <c r="V3">
        <v>89</v>
      </c>
      <c r="W3">
        <v>96</v>
      </c>
      <c r="X3">
        <v>59</v>
      </c>
      <c r="Y3">
        <v>44</v>
      </c>
      <c r="Z3">
        <v>39</v>
      </c>
      <c r="AA3">
        <v>45</v>
      </c>
      <c r="AB3">
        <v>67</v>
      </c>
      <c r="AC3">
        <v>77</v>
      </c>
      <c r="AD3">
        <v>69</v>
      </c>
      <c r="AE3">
        <v>75</v>
      </c>
    </row>
    <row r="4" spans="1:31" x14ac:dyDescent="0.3">
      <c r="A4" t="s">
        <v>246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246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246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246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246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246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246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246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246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246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246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246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246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246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246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246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246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246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246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246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246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246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246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246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246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246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246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246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246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246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246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246</v>
      </c>
      <c r="B35" t="s">
        <v>188</v>
      </c>
      <c r="C35" t="s">
        <v>0</v>
      </c>
      <c r="D35" t="s">
        <v>189</v>
      </c>
      <c r="E35" t="s">
        <v>123</v>
      </c>
      <c r="F35">
        <v>175</v>
      </c>
      <c r="G35">
        <v>192</v>
      </c>
      <c r="H35">
        <v>199</v>
      </c>
      <c r="I35">
        <v>202</v>
      </c>
      <c r="J35">
        <v>196</v>
      </c>
      <c r="K35">
        <v>202</v>
      </c>
      <c r="L35">
        <v>235</v>
      </c>
      <c r="M35">
        <v>205</v>
      </c>
      <c r="N35">
        <v>197</v>
      </c>
      <c r="O35">
        <v>202</v>
      </c>
      <c r="P35">
        <v>220</v>
      </c>
      <c r="Q35">
        <v>240</v>
      </c>
      <c r="R35">
        <v>248</v>
      </c>
      <c r="S35">
        <v>230</v>
      </c>
      <c r="T35">
        <v>238</v>
      </c>
      <c r="U35">
        <v>287</v>
      </c>
      <c r="V35">
        <v>300</v>
      </c>
      <c r="W35">
        <v>330</v>
      </c>
      <c r="X35">
        <v>321</v>
      </c>
      <c r="Y35">
        <v>308</v>
      </c>
      <c r="Z35">
        <v>302</v>
      </c>
      <c r="AA35">
        <v>378</v>
      </c>
      <c r="AB35">
        <v>386</v>
      </c>
      <c r="AC35">
        <v>394</v>
      </c>
      <c r="AD35">
        <v>398</v>
      </c>
      <c r="AE35">
        <v>417</v>
      </c>
    </row>
    <row r="36" spans="1:31" x14ac:dyDescent="0.3">
      <c r="A36" t="s">
        <v>246</v>
      </c>
      <c r="B36" t="s">
        <v>190</v>
      </c>
      <c r="C36" t="s">
        <v>0</v>
      </c>
      <c r="D36" t="s">
        <v>191</v>
      </c>
      <c r="E36" t="s">
        <v>123</v>
      </c>
      <c r="F36">
        <v>175</v>
      </c>
      <c r="G36">
        <v>192</v>
      </c>
      <c r="H36">
        <v>199</v>
      </c>
      <c r="I36">
        <v>202</v>
      </c>
      <c r="J36">
        <v>196</v>
      </c>
      <c r="K36">
        <v>202</v>
      </c>
      <c r="L36">
        <v>235</v>
      </c>
      <c r="M36">
        <v>205</v>
      </c>
      <c r="N36">
        <v>197</v>
      </c>
      <c r="O36">
        <v>202</v>
      </c>
      <c r="P36">
        <v>220</v>
      </c>
      <c r="Q36">
        <v>240</v>
      </c>
      <c r="R36">
        <v>248</v>
      </c>
      <c r="S36">
        <v>230</v>
      </c>
      <c r="T36">
        <v>238</v>
      </c>
      <c r="U36">
        <v>287</v>
      </c>
      <c r="V36">
        <v>300</v>
      </c>
      <c r="W36">
        <v>330</v>
      </c>
      <c r="X36">
        <v>321</v>
      </c>
      <c r="Y36">
        <v>308</v>
      </c>
      <c r="Z36">
        <v>302</v>
      </c>
      <c r="AA36">
        <v>378</v>
      </c>
      <c r="AB36">
        <v>386</v>
      </c>
      <c r="AC36">
        <v>394</v>
      </c>
      <c r="AD36">
        <v>398</v>
      </c>
      <c r="AE36">
        <v>417</v>
      </c>
    </row>
    <row r="37" spans="1:31" x14ac:dyDescent="0.3">
      <c r="A37" t="s">
        <v>246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246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246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246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246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246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246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246</v>
      </c>
      <c r="B44" t="s">
        <v>206</v>
      </c>
      <c r="C44" t="s">
        <v>0</v>
      </c>
      <c r="D44" t="s">
        <v>207</v>
      </c>
      <c r="E44" t="s">
        <v>123</v>
      </c>
      <c r="F44">
        <v>225</v>
      </c>
      <c r="G44">
        <v>237</v>
      </c>
      <c r="H44">
        <v>244</v>
      </c>
      <c r="I44">
        <v>251</v>
      </c>
      <c r="J44">
        <v>250</v>
      </c>
      <c r="K44">
        <v>264</v>
      </c>
      <c r="L44">
        <v>311</v>
      </c>
      <c r="M44">
        <v>278</v>
      </c>
      <c r="N44">
        <v>268</v>
      </c>
      <c r="O44">
        <v>266</v>
      </c>
      <c r="P44">
        <v>293</v>
      </c>
      <c r="Q44">
        <v>318</v>
      </c>
      <c r="R44">
        <v>344</v>
      </c>
      <c r="S44">
        <v>333</v>
      </c>
      <c r="T44">
        <v>344</v>
      </c>
      <c r="U44">
        <v>414</v>
      </c>
      <c r="V44">
        <v>460</v>
      </c>
      <c r="W44">
        <v>497</v>
      </c>
      <c r="X44">
        <v>448</v>
      </c>
      <c r="Y44">
        <v>419</v>
      </c>
      <c r="Z44">
        <v>391</v>
      </c>
      <c r="AA44">
        <v>495</v>
      </c>
      <c r="AB44">
        <v>530</v>
      </c>
      <c r="AC44">
        <v>566</v>
      </c>
      <c r="AD44">
        <v>558</v>
      </c>
      <c r="AE44">
        <v>589</v>
      </c>
    </row>
    <row r="45" spans="1:31" x14ac:dyDescent="0.3">
      <c r="A45" t="s">
        <v>246</v>
      </c>
      <c r="B45" t="s">
        <v>208</v>
      </c>
      <c r="C45" t="s">
        <v>0</v>
      </c>
      <c r="D45" t="s">
        <v>209</v>
      </c>
      <c r="E45" t="s">
        <v>123</v>
      </c>
      <c r="F45">
        <v>225</v>
      </c>
      <c r="G45">
        <v>237</v>
      </c>
      <c r="H45">
        <v>244</v>
      </c>
      <c r="I45">
        <v>251</v>
      </c>
      <c r="J45">
        <v>250</v>
      </c>
      <c r="K45">
        <v>264</v>
      </c>
      <c r="L45">
        <v>311</v>
      </c>
      <c r="M45">
        <v>278</v>
      </c>
      <c r="N45">
        <v>268</v>
      </c>
      <c r="O45">
        <v>266</v>
      </c>
      <c r="P45">
        <v>293</v>
      </c>
      <c r="Q45">
        <v>318</v>
      </c>
      <c r="R45">
        <v>344</v>
      </c>
      <c r="S45">
        <v>333</v>
      </c>
      <c r="T45">
        <v>344</v>
      </c>
      <c r="U45">
        <v>414</v>
      </c>
      <c r="V45">
        <v>460</v>
      </c>
      <c r="W45">
        <v>497</v>
      </c>
      <c r="X45">
        <v>448</v>
      </c>
      <c r="Y45">
        <v>419</v>
      </c>
      <c r="Z45">
        <v>391</v>
      </c>
      <c r="AA45">
        <v>495</v>
      </c>
      <c r="AB45">
        <v>530</v>
      </c>
      <c r="AC45">
        <v>566</v>
      </c>
      <c r="AD45">
        <v>558</v>
      </c>
      <c r="AE45">
        <v>589</v>
      </c>
    </row>
    <row r="46" spans="1:31" x14ac:dyDescent="0.3">
      <c r="A46" t="s">
        <v>246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246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246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246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246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246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246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246</v>
      </c>
      <c r="B53" t="s">
        <v>224</v>
      </c>
      <c r="C53" t="s">
        <v>0</v>
      </c>
      <c r="D53" t="s">
        <v>225</v>
      </c>
      <c r="E53" t="s">
        <v>123</v>
      </c>
      <c r="F53">
        <v>21</v>
      </c>
      <c r="G53">
        <v>23</v>
      </c>
      <c r="H53">
        <v>24</v>
      </c>
      <c r="I53">
        <v>25</v>
      </c>
      <c r="J53">
        <v>25</v>
      </c>
      <c r="K53">
        <v>28</v>
      </c>
      <c r="L53">
        <v>28</v>
      </c>
      <c r="M53">
        <v>28</v>
      </c>
      <c r="N53">
        <v>28</v>
      </c>
      <c r="O53">
        <v>30</v>
      </c>
      <c r="P53">
        <v>32</v>
      </c>
      <c r="Q53">
        <v>36</v>
      </c>
      <c r="R53">
        <v>37</v>
      </c>
      <c r="S53">
        <v>37</v>
      </c>
      <c r="T53">
        <v>50</v>
      </c>
      <c r="U53">
        <v>60</v>
      </c>
      <c r="V53">
        <v>71</v>
      </c>
      <c r="W53">
        <v>71</v>
      </c>
      <c r="X53">
        <v>69</v>
      </c>
      <c r="Y53">
        <v>68</v>
      </c>
      <c r="Z53">
        <v>50</v>
      </c>
      <c r="AA53">
        <v>72</v>
      </c>
      <c r="AB53">
        <v>77</v>
      </c>
      <c r="AC53">
        <v>95</v>
      </c>
      <c r="AD53">
        <v>91</v>
      </c>
      <c r="AE53">
        <v>97</v>
      </c>
    </row>
    <row r="54" spans="1:31" x14ac:dyDescent="0.3">
      <c r="A54" t="s">
        <v>246</v>
      </c>
      <c r="B54" t="s">
        <v>226</v>
      </c>
      <c r="C54" t="s">
        <v>0</v>
      </c>
      <c r="D54" t="s">
        <v>227</v>
      </c>
      <c r="E54" t="s">
        <v>123</v>
      </c>
      <c r="F54">
        <v>21</v>
      </c>
      <c r="G54">
        <v>23</v>
      </c>
      <c r="H54">
        <v>24</v>
      </c>
      <c r="I54">
        <v>25</v>
      </c>
      <c r="J54">
        <v>25</v>
      </c>
      <c r="K54">
        <v>28</v>
      </c>
      <c r="L54">
        <v>28</v>
      </c>
      <c r="M54">
        <v>28</v>
      </c>
      <c r="N54">
        <v>28</v>
      </c>
      <c r="O54">
        <v>30</v>
      </c>
      <c r="P54">
        <v>32</v>
      </c>
      <c r="Q54">
        <v>36</v>
      </c>
      <c r="R54">
        <v>37</v>
      </c>
      <c r="S54">
        <v>37</v>
      </c>
      <c r="T54">
        <v>50</v>
      </c>
      <c r="U54">
        <v>60</v>
      </c>
      <c r="V54">
        <v>71</v>
      </c>
      <c r="W54">
        <v>71</v>
      </c>
      <c r="X54">
        <v>69</v>
      </c>
      <c r="Y54">
        <v>68</v>
      </c>
      <c r="Z54">
        <v>50</v>
      </c>
      <c r="AA54">
        <v>72</v>
      </c>
      <c r="AB54">
        <v>77</v>
      </c>
      <c r="AC54">
        <v>95</v>
      </c>
      <c r="AD54">
        <v>91</v>
      </c>
      <c r="AE54">
        <v>97</v>
      </c>
    </row>
    <row r="55" spans="1:31" x14ac:dyDescent="0.3">
      <c r="A55" t="s">
        <v>246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246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246</v>
      </c>
      <c r="B57" t="s">
        <v>232</v>
      </c>
      <c r="C57" t="s">
        <v>0</v>
      </c>
      <c r="D57" t="s">
        <v>233</v>
      </c>
      <c r="E57" t="s">
        <v>123</v>
      </c>
      <c r="F57">
        <v>225</v>
      </c>
      <c r="G57">
        <v>237</v>
      </c>
      <c r="H57">
        <v>244</v>
      </c>
      <c r="I57">
        <v>251</v>
      </c>
      <c r="J57">
        <v>250</v>
      </c>
      <c r="K57">
        <v>264</v>
      </c>
      <c r="L57">
        <v>311</v>
      </c>
      <c r="M57">
        <v>278</v>
      </c>
      <c r="N57">
        <v>268</v>
      </c>
      <c r="O57">
        <v>266</v>
      </c>
      <c r="P57">
        <v>293</v>
      </c>
      <c r="Q57">
        <v>318</v>
      </c>
      <c r="R57">
        <v>344</v>
      </c>
      <c r="S57">
        <v>333</v>
      </c>
      <c r="T57">
        <v>344</v>
      </c>
      <c r="U57">
        <v>415</v>
      </c>
      <c r="V57">
        <v>460</v>
      </c>
      <c r="W57">
        <v>498</v>
      </c>
      <c r="X57">
        <v>448</v>
      </c>
      <c r="Y57">
        <v>420</v>
      </c>
      <c r="Z57">
        <v>391</v>
      </c>
      <c r="AA57">
        <v>495</v>
      </c>
      <c r="AB57">
        <v>530</v>
      </c>
      <c r="AC57">
        <v>566</v>
      </c>
      <c r="AD57">
        <v>558</v>
      </c>
      <c r="AE57">
        <v>589</v>
      </c>
    </row>
    <row r="58" spans="1:31" x14ac:dyDescent="0.3">
      <c r="A58" t="s">
        <v>246</v>
      </c>
      <c r="B58" t="s">
        <v>234</v>
      </c>
      <c r="C58" t="s">
        <v>0</v>
      </c>
      <c r="D58" t="s">
        <v>235</v>
      </c>
      <c r="E58" t="s">
        <v>123</v>
      </c>
      <c r="F58">
        <v>225</v>
      </c>
      <c r="G58">
        <v>237</v>
      </c>
      <c r="H58">
        <v>244</v>
      </c>
      <c r="I58">
        <v>251</v>
      </c>
      <c r="J58">
        <v>250</v>
      </c>
      <c r="K58">
        <v>264</v>
      </c>
      <c r="L58">
        <v>311</v>
      </c>
      <c r="M58">
        <v>278</v>
      </c>
      <c r="N58">
        <v>268</v>
      </c>
      <c r="O58">
        <v>266</v>
      </c>
      <c r="P58">
        <v>293</v>
      </c>
      <c r="Q58">
        <v>318</v>
      </c>
      <c r="R58">
        <v>344</v>
      </c>
      <c r="S58">
        <v>333</v>
      </c>
      <c r="T58">
        <v>344</v>
      </c>
      <c r="U58">
        <v>415</v>
      </c>
      <c r="V58">
        <v>460</v>
      </c>
      <c r="W58">
        <v>498</v>
      </c>
      <c r="X58">
        <v>448</v>
      </c>
      <c r="Y58">
        <v>420</v>
      </c>
      <c r="Z58">
        <v>391</v>
      </c>
      <c r="AA58">
        <v>495</v>
      </c>
      <c r="AB58">
        <v>530</v>
      </c>
      <c r="AC58">
        <v>566</v>
      </c>
      <c r="AD58">
        <v>558</v>
      </c>
      <c r="AE58">
        <v>589</v>
      </c>
    </row>
    <row r="59" spans="1:31" x14ac:dyDescent="0.3">
      <c r="A59" t="s">
        <v>246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247</v>
      </c>
      <c r="B2" t="s">
        <v>121</v>
      </c>
      <c r="C2" t="s">
        <v>0</v>
      </c>
      <c r="D2" t="s">
        <v>122</v>
      </c>
      <c r="E2" t="s">
        <v>123</v>
      </c>
      <c r="F2">
        <v>967</v>
      </c>
      <c r="G2">
        <v>932</v>
      </c>
      <c r="H2">
        <v>1193</v>
      </c>
      <c r="I2">
        <v>1265</v>
      </c>
      <c r="J2">
        <v>1331</v>
      </c>
      <c r="K2">
        <v>1312</v>
      </c>
      <c r="L2">
        <v>1395</v>
      </c>
      <c r="M2">
        <v>1463</v>
      </c>
      <c r="N2">
        <v>1441</v>
      </c>
      <c r="O2">
        <v>1374</v>
      </c>
      <c r="P2">
        <v>1453</v>
      </c>
      <c r="Q2">
        <v>1497</v>
      </c>
      <c r="R2">
        <v>1720</v>
      </c>
      <c r="S2">
        <v>1680</v>
      </c>
      <c r="T2">
        <v>1646</v>
      </c>
      <c r="U2">
        <v>1534</v>
      </c>
      <c r="V2">
        <v>1621</v>
      </c>
      <c r="W2">
        <v>1628</v>
      </c>
      <c r="X2">
        <v>1715</v>
      </c>
      <c r="Y2">
        <v>1675</v>
      </c>
      <c r="Z2">
        <v>1355</v>
      </c>
      <c r="AA2">
        <v>1375</v>
      </c>
      <c r="AB2">
        <v>1481</v>
      </c>
      <c r="AC2">
        <v>1584</v>
      </c>
      <c r="AD2">
        <v>1684</v>
      </c>
      <c r="AE2">
        <v>1649</v>
      </c>
    </row>
    <row r="3" spans="1:31" x14ac:dyDescent="0.3">
      <c r="A3" t="s">
        <v>247</v>
      </c>
      <c r="B3" t="s">
        <v>124</v>
      </c>
      <c r="C3" t="s">
        <v>0</v>
      </c>
      <c r="D3" t="s">
        <v>125</v>
      </c>
      <c r="E3" t="s">
        <v>123</v>
      </c>
      <c r="F3">
        <v>91</v>
      </c>
      <c r="G3">
        <v>85</v>
      </c>
      <c r="H3">
        <v>63</v>
      </c>
      <c r="I3">
        <v>92</v>
      </c>
      <c r="J3">
        <v>117</v>
      </c>
      <c r="K3">
        <v>131</v>
      </c>
      <c r="L3">
        <v>150</v>
      </c>
      <c r="M3">
        <v>131</v>
      </c>
      <c r="N3">
        <v>184</v>
      </c>
      <c r="O3">
        <v>121</v>
      </c>
      <c r="P3">
        <v>145</v>
      </c>
      <c r="Q3">
        <v>174</v>
      </c>
      <c r="R3">
        <v>388</v>
      </c>
      <c r="S3">
        <v>741</v>
      </c>
      <c r="T3">
        <v>374</v>
      </c>
      <c r="U3">
        <v>331</v>
      </c>
      <c r="V3">
        <v>503</v>
      </c>
      <c r="W3">
        <v>473</v>
      </c>
      <c r="X3">
        <v>349</v>
      </c>
      <c r="Y3">
        <v>313</v>
      </c>
      <c r="Z3">
        <v>389</v>
      </c>
      <c r="AA3">
        <v>280</v>
      </c>
      <c r="AB3">
        <v>352</v>
      </c>
      <c r="AC3">
        <v>391</v>
      </c>
      <c r="AD3">
        <v>360</v>
      </c>
      <c r="AE3">
        <v>498</v>
      </c>
    </row>
    <row r="4" spans="1:31" x14ac:dyDescent="0.3">
      <c r="A4" t="s">
        <v>247</v>
      </c>
      <c r="B4" t="s">
        <v>126</v>
      </c>
      <c r="C4" t="s">
        <v>0</v>
      </c>
      <c r="D4" t="s">
        <v>127</v>
      </c>
      <c r="E4" t="s">
        <v>123</v>
      </c>
      <c r="F4">
        <v>4561</v>
      </c>
      <c r="G4">
        <v>5064</v>
      </c>
      <c r="H4">
        <v>5371</v>
      </c>
      <c r="I4">
        <v>6001</v>
      </c>
      <c r="J4">
        <v>6028</v>
      </c>
      <c r="K4">
        <v>6542</v>
      </c>
      <c r="L4">
        <v>7447</v>
      </c>
      <c r="M4">
        <v>6700</v>
      </c>
      <c r="N4">
        <v>6832</v>
      </c>
      <c r="O4">
        <v>6889</v>
      </c>
      <c r="P4">
        <v>7187</v>
      </c>
      <c r="Q4">
        <v>7509</v>
      </c>
      <c r="R4">
        <v>8627</v>
      </c>
      <c r="S4">
        <v>8942</v>
      </c>
      <c r="T4">
        <v>7854</v>
      </c>
      <c r="U4">
        <v>7246</v>
      </c>
      <c r="V4">
        <v>7203</v>
      </c>
      <c r="W4">
        <v>6845</v>
      </c>
      <c r="X4">
        <v>6321</v>
      </c>
      <c r="Y4">
        <v>6274</v>
      </c>
      <c r="Z4">
        <v>6546</v>
      </c>
      <c r="AA4">
        <v>6673</v>
      </c>
      <c r="AB4">
        <v>7430</v>
      </c>
      <c r="AC4">
        <v>7050</v>
      </c>
      <c r="AD4">
        <v>6966</v>
      </c>
      <c r="AE4">
        <v>6758</v>
      </c>
    </row>
    <row r="5" spans="1:31" x14ac:dyDescent="0.3">
      <c r="A5" t="s">
        <v>247</v>
      </c>
      <c r="B5" t="s">
        <v>128</v>
      </c>
      <c r="C5" t="s">
        <v>0</v>
      </c>
      <c r="D5" t="s">
        <v>129</v>
      </c>
      <c r="E5" t="s">
        <v>123</v>
      </c>
      <c r="F5">
        <v>369</v>
      </c>
      <c r="G5">
        <v>384</v>
      </c>
      <c r="H5">
        <v>357</v>
      </c>
      <c r="I5">
        <v>389</v>
      </c>
      <c r="J5">
        <v>376</v>
      </c>
      <c r="K5">
        <v>389</v>
      </c>
      <c r="L5">
        <v>447</v>
      </c>
      <c r="M5">
        <v>484</v>
      </c>
      <c r="N5">
        <v>459</v>
      </c>
      <c r="O5">
        <v>369</v>
      </c>
      <c r="P5">
        <v>455</v>
      </c>
      <c r="Q5">
        <v>428</v>
      </c>
      <c r="R5">
        <v>492</v>
      </c>
      <c r="S5">
        <v>496</v>
      </c>
      <c r="T5">
        <v>422</v>
      </c>
      <c r="U5">
        <v>366</v>
      </c>
      <c r="V5">
        <v>405</v>
      </c>
      <c r="W5">
        <v>459</v>
      </c>
      <c r="X5">
        <v>470</v>
      </c>
      <c r="Y5">
        <v>539</v>
      </c>
      <c r="Z5">
        <v>480</v>
      </c>
      <c r="AA5">
        <v>572</v>
      </c>
      <c r="AB5">
        <v>638</v>
      </c>
      <c r="AC5">
        <v>485</v>
      </c>
      <c r="AD5">
        <v>461</v>
      </c>
      <c r="AE5">
        <v>476</v>
      </c>
    </row>
    <row r="6" spans="1:31" x14ac:dyDescent="0.3">
      <c r="A6" t="s">
        <v>247</v>
      </c>
      <c r="B6" t="s">
        <v>130</v>
      </c>
      <c r="C6" t="s">
        <v>0</v>
      </c>
      <c r="D6" t="s">
        <v>131</v>
      </c>
      <c r="E6" t="s">
        <v>123</v>
      </c>
      <c r="F6">
        <v>66</v>
      </c>
      <c r="G6">
        <v>45</v>
      </c>
      <c r="H6">
        <v>66</v>
      </c>
      <c r="I6">
        <v>66</v>
      </c>
      <c r="J6">
        <v>52</v>
      </c>
      <c r="K6">
        <v>56</v>
      </c>
      <c r="L6">
        <v>69</v>
      </c>
      <c r="M6">
        <v>57</v>
      </c>
      <c r="N6">
        <v>48</v>
      </c>
      <c r="O6">
        <v>42</v>
      </c>
      <c r="P6">
        <v>45</v>
      </c>
      <c r="Q6">
        <v>53</v>
      </c>
      <c r="R6">
        <v>52</v>
      </c>
      <c r="S6">
        <v>42</v>
      </c>
      <c r="T6">
        <v>24</v>
      </c>
      <c r="U6">
        <v>21</v>
      </c>
      <c r="V6">
        <v>27</v>
      </c>
      <c r="W6">
        <v>34</v>
      </c>
      <c r="X6">
        <v>18</v>
      </c>
      <c r="Y6">
        <v>26</v>
      </c>
      <c r="Z6">
        <v>37</v>
      </c>
      <c r="AA6">
        <v>46</v>
      </c>
      <c r="AB6">
        <v>40</v>
      </c>
      <c r="AC6">
        <v>51</v>
      </c>
      <c r="AD6">
        <v>44</v>
      </c>
      <c r="AE6">
        <v>45</v>
      </c>
    </row>
    <row r="7" spans="1:31" x14ac:dyDescent="0.3">
      <c r="A7" t="s">
        <v>247</v>
      </c>
      <c r="B7" t="s">
        <v>132</v>
      </c>
      <c r="C7" t="s">
        <v>0</v>
      </c>
      <c r="D7" t="s">
        <v>133</v>
      </c>
      <c r="E7" t="s">
        <v>123</v>
      </c>
      <c r="F7">
        <v>1143</v>
      </c>
      <c r="G7">
        <v>1713</v>
      </c>
      <c r="H7">
        <v>1326</v>
      </c>
      <c r="I7">
        <v>1509</v>
      </c>
      <c r="J7">
        <v>1207</v>
      </c>
      <c r="K7">
        <v>1258</v>
      </c>
      <c r="L7">
        <v>1901</v>
      </c>
      <c r="M7">
        <v>1087</v>
      </c>
      <c r="N7">
        <v>1272</v>
      </c>
      <c r="O7">
        <v>1042</v>
      </c>
      <c r="P7">
        <v>1140</v>
      </c>
      <c r="Q7">
        <v>1157</v>
      </c>
      <c r="R7">
        <v>1156</v>
      </c>
      <c r="S7">
        <v>1226</v>
      </c>
      <c r="T7">
        <v>573</v>
      </c>
      <c r="U7">
        <v>595</v>
      </c>
      <c r="V7">
        <v>662</v>
      </c>
      <c r="W7">
        <v>713</v>
      </c>
      <c r="X7">
        <v>735</v>
      </c>
      <c r="Y7">
        <v>564</v>
      </c>
      <c r="Z7">
        <v>694</v>
      </c>
      <c r="AA7">
        <v>1230</v>
      </c>
      <c r="AB7">
        <v>1422</v>
      </c>
      <c r="AC7">
        <v>946</v>
      </c>
      <c r="AD7">
        <v>960</v>
      </c>
      <c r="AE7">
        <v>877</v>
      </c>
    </row>
    <row r="8" spans="1:31" x14ac:dyDescent="0.3">
      <c r="A8" t="s">
        <v>247</v>
      </c>
      <c r="B8" t="s">
        <v>134</v>
      </c>
      <c r="C8" t="s">
        <v>0</v>
      </c>
      <c r="D8" t="s">
        <v>135</v>
      </c>
      <c r="E8" t="s">
        <v>123</v>
      </c>
      <c r="F8">
        <v>79</v>
      </c>
      <c r="G8">
        <v>80</v>
      </c>
      <c r="H8">
        <v>184</v>
      </c>
      <c r="I8">
        <v>85</v>
      </c>
      <c r="J8">
        <v>123</v>
      </c>
      <c r="K8">
        <v>91</v>
      </c>
      <c r="L8">
        <v>158</v>
      </c>
      <c r="M8">
        <v>64</v>
      </c>
      <c r="N8">
        <v>127</v>
      </c>
      <c r="O8">
        <v>100</v>
      </c>
      <c r="P8">
        <v>251</v>
      </c>
      <c r="Q8">
        <v>272</v>
      </c>
      <c r="R8">
        <v>850</v>
      </c>
      <c r="S8">
        <v>176</v>
      </c>
      <c r="T8">
        <v>230</v>
      </c>
      <c r="U8">
        <v>207</v>
      </c>
      <c r="V8">
        <v>119</v>
      </c>
      <c r="W8">
        <v>181</v>
      </c>
      <c r="X8">
        <v>184</v>
      </c>
      <c r="Y8">
        <v>193</v>
      </c>
      <c r="Z8">
        <v>366</v>
      </c>
      <c r="AA8">
        <v>99</v>
      </c>
      <c r="AB8">
        <v>499</v>
      </c>
      <c r="AC8">
        <v>275</v>
      </c>
      <c r="AD8">
        <v>192</v>
      </c>
      <c r="AE8">
        <v>157</v>
      </c>
    </row>
    <row r="9" spans="1:31" x14ac:dyDescent="0.3">
      <c r="A9" t="s">
        <v>247</v>
      </c>
      <c r="B9" t="s">
        <v>136</v>
      </c>
      <c r="C9" t="s">
        <v>0</v>
      </c>
      <c r="D9" t="s">
        <v>137</v>
      </c>
      <c r="E9" t="s">
        <v>123</v>
      </c>
      <c r="F9">
        <v>428</v>
      </c>
      <c r="G9">
        <v>260</v>
      </c>
      <c r="H9">
        <v>377</v>
      </c>
      <c r="I9">
        <v>356</v>
      </c>
      <c r="J9">
        <v>363</v>
      </c>
      <c r="K9">
        <v>284</v>
      </c>
      <c r="L9">
        <v>333</v>
      </c>
      <c r="M9">
        <v>450</v>
      </c>
      <c r="N9">
        <v>320</v>
      </c>
      <c r="O9">
        <v>369</v>
      </c>
      <c r="P9">
        <v>295</v>
      </c>
      <c r="Q9">
        <v>356</v>
      </c>
      <c r="R9">
        <v>485</v>
      </c>
      <c r="S9">
        <v>457</v>
      </c>
      <c r="T9">
        <v>503</v>
      </c>
      <c r="U9">
        <v>282</v>
      </c>
      <c r="V9">
        <v>326</v>
      </c>
      <c r="W9">
        <v>349</v>
      </c>
      <c r="X9">
        <v>428</v>
      </c>
      <c r="Y9">
        <v>299</v>
      </c>
      <c r="Z9">
        <v>431</v>
      </c>
      <c r="AA9">
        <v>477</v>
      </c>
      <c r="AB9">
        <v>695</v>
      </c>
      <c r="AC9">
        <v>543</v>
      </c>
      <c r="AD9">
        <v>483</v>
      </c>
      <c r="AE9">
        <v>454</v>
      </c>
    </row>
    <row r="10" spans="1:31" x14ac:dyDescent="0.3">
      <c r="A10" t="s">
        <v>247</v>
      </c>
      <c r="B10" t="s">
        <v>138</v>
      </c>
      <c r="C10" t="s">
        <v>0</v>
      </c>
      <c r="D10" t="s">
        <v>139</v>
      </c>
      <c r="E10" t="s">
        <v>123</v>
      </c>
      <c r="F10">
        <v>540</v>
      </c>
      <c r="G10">
        <v>363</v>
      </c>
      <c r="H10">
        <v>483</v>
      </c>
      <c r="I10">
        <v>486</v>
      </c>
      <c r="J10">
        <v>486</v>
      </c>
      <c r="K10">
        <v>440</v>
      </c>
      <c r="L10">
        <v>490</v>
      </c>
      <c r="M10">
        <v>684</v>
      </c>
      <c r="N10">
        <v>494</v>
      </c>
      <c r="O10">
        <v>523</v>
      </c>
      <c r="P10">
        <v>438</v>
      </c>
      <c r="Q10">
        <v>515</v>
      </c>
      <c r="R10">
        <v>687</v>
      </c>
      <c r="S10">
        <v>667</v>
      </c>
      <c r="T10">
        <v>721</v>
      </c>
      <c r="U10">
        <v>484</v>
      </c>
      <c r="V10">
        <v>522</v>
      </c>
      <c r="W10">
        <v>632</v>
      </c>
      <c r="X10">
        <v>767</v>
      </c>
      <c r="Y10">
        <v>604</v>
      </c>
      <c r="Z10">
        <v>715</v>
      </c>
      <c r="AA10">
        <v>772</v>
      </c>
      <c r="AB10">
        <v>1009</v>
      </c>
      <c r="AC10">
        <v>838</v>
      </c>
      <c r="AD10">
        <v>729</v>
      </c>
      <c r="AE10">
        <v>741</v>
      </c>
    </row>
    <row r="11" spans="1:31" x14ac:dyDescent="0.3">
      <c r="A11" t="s">
        <v>247</v>
      </c>
      <c r="B11" t="s">
        <v>140</v>
      </c>
      <c r="C11" t="s">
        <v>0</v>
      </c>
      <c r="D11" t="s">
        <v>141</v>
      </c>
      <c r="E11" t="s">
        <v>123</v>
      </c>
      <c r="F11">
        <v>112</v>
      </c>
      <c r="G11">
        <v>103</v>
      </c>
      <c r="H11">
        <v>106</v>
      </c>
      <c r="I11">
        <v>130</v>
      </c>
      <c r="J11">
        <v>123</v>
      </c>
      <c r="K11">
        <v>156</v>
      </c>
      <c r="L11">
        <v>157</v>
      </c>
      <c r="M11">
        <v>234</v>
      </c>
      <c r="N11">
        <v>174</v>
      </c>
      <c r="O11">
        <v>154</v>
      </c>
      <c r="P11">
        <v>143</v>
      </c>
      <c r="Q11">
        <v>159</v>
      </c>
      <c r="R11">
        <v>202</v>
      </c>
      <c r="S11">
        <v>210</v>
      </c>
      <c r="T11">
        <v>218</v>
      </c>
      <c r="U11">
        <v>202</v>
      </c>
      <c r="V11">
        <v>196</v>
      </c>
      <c r="W11">
        <v>283</v>
      </c>
      <c r="X11">
        <v>339</v>
      </c>
      <c r="Y11">
        <v>305</v>
      </c>
      <c r="Z11">
        <v>284</v>
      </c>
      <c r="AA11">
        <v>295</v>
      </c>
      <c r="AB11">
        <v>314</v>
      </c>
      <c r="AC11">
        <v>295</v>
      </c>
      <c r="AD11">
        <v>246</v>
      </c>
      <c r="AE11">
        <v>287</v>
      </c>
    </row>
    <row r="12" spans="1:31" x14ac:dyDescent="0.3">
      <c r="A12" t="s">
        <v>247</v>
      </c>
      <c r="B12" t="s">
        <v>142</v>
      </c>
      <c r="C12" t="s">
        <v>0</v>
      </c>
      <c r="D12" t="s">
        <v>143</v>
      </c>
      <c r="E12" t="s">
        <v>123</v>
      </c>
      <c r="F12">
        <v>224</v>
      </c>
      <c r="G12">
        <v>198</v>
      </c>
      <c r="H12">
        <v>248</v>
      </c>
      <c r="I12">
        <v>344</v>
      </c>
      <c r="J12">
        <v>354</v>
      </c>
      <c r="K12">
        <v>329</v>
      </c>
      <c r="L12">
        <v>310</v>
      </c>
      <c r="M12">
        <v>296</v>
      </c>
      <c r="N12">
        <v>313</v>
      </c>
      <c r="O12">
        <v>307</v>
      </c>
      <c r="P12">
        <v>334</v>
      </c>
      <c r="Q12">
        <v>368</v>
      </c>
      <c r="R12">
        <v>322</v>
      </c>
      <c r="S12">
        <v>349</v>
      </c>
      <c r="T12">
        <v>307</v>
      </c>
      <c r="U12">
        <v>238</v>
      </c>
      <c r="V12">
        <v>293</v>
      </c>
      <c r="W12">
        <v>261</v>
      </c>
      <c r="X12">
        <v>247</v>
      </c>
      <c r="Y12">
        <v>257</v>
      </c>
      <c r="Z12">
        <v>339</v>
      </c>
      <c r="AA12">
        <v>357</v>
      </c>
      <c r="AB12">
        <v>360</v>
      </c>
      <c r="AC12">
        <v>432</v>
      </c>
      <c r="AD12">
        <v>446</v>
      </c>
      <c r="AE12">
        <v>483</v>
      </c>
    </row>
    <row r="13" spans="1:31" x14ac:dyDescent="0.3">
      <c r="A13" t="s">
        <v>247</v>
      </c>
      <c r="B13" t="s">
        <v>144</v>
      </c>
      <c r="C13" t="s">
        <v>0</v>
      </c>
      <c r="D13" t="s">
        <v>145</v>
      </c>
      <c r="E13" t="s">
        <v>123</v>
      </c>
      <c r="F13">
        <v>549</v>
      </c>
      <c r="G13">
        <v>564</v>
      </c>
      <c r="H13">
        <v>699</v>
      </c>
      <c r="I13">
        <v>640</v>
      </c>
      <c r="J13">
        <v>472</v>
      </c>
      <c r="K13">
        <v>590</v>
      </c>
      <c r="L13">
        <v>592</v>
      </c>
      <c r="M13">
        <v>872</v>
      </c>
      <c r="N13">
        <v>617</v>
      </c>
      <c r="O13">
        <v>829</v>
      </c>
      <c r="P13">
        <v>536</v>
      </c>
      <c r="Q13">
        <v>520</v>
      </c>
      <c r="R13">
        <v>672</v>
      </c>
      <c r="S13">
        <v>821</v>
      </c>
      <c r="T13">
        <v>803</v>
      </c>
      <c r="U13">
        <v>620</v>
      </c>
      <c r="V13">
        <v>606</v>
      </c>
      <c r="W13">
        <v>914</v>
      </c>
      <c r="X13">
        <v>425</v>
      </c>
      <c r="Y13">
        <v>538</v>
      </c>
      <c r="Z13">
        <v>577</v>
      </c>
      <c r="AA13">
        <v>516</v>
      </c>
      <c r="AB13">
        <v>597</v>
      </c>
      <c r="AC13">
        <v>700</v>
      </c>
      <c r="AD13">
        <v>776</v>
      </c>
      <c r="AE13">
        <v>643</v>
      </c>
    </row>
    <row r="14" spans="1:31" x14ac:dyDescent="0.3">
      <c r="A14" t="s">
        <v>247</v>
      </c>
      <c r="B14" t="s">
        <v>146</v>
      </c>
      <c r="C14" t="s">
        <v>0</v>
      </c>
      <c r="D14" t="s">
        <v>147</v>
      </c>
      <c r="E14" t="s">
        <v>123</v>
      </c>
      <c r="F14">
        <v>768</v>
      </c>
      <c r="G14">
        <v>881</v>
      </c>
      <c r="H14">
        <v>1073</v>
      </c>
      <c r="I14">
        <v>1463</v>
      </c>
      <c r="J14">
        <v>1993</v>
      </c>
      <c r="K14">
        <v>2379</v>
      </c>
      <c r="L14">
        <v>2411</v>
      </c>
      <c r="M14">
        <v>2158</v>
      </c>
      <c r="N14">
        <v>2455</v>
      </c>
      <c r="O14">
        <v>2747</v>
      </c>
      <c r="P14">
        <v>2978</v>
      </c>
      <c r="Q14">
        <v>3086</v>
      </c>
      <c r="R14">
        <v>3153</v>
      </c>
      <c r="S14">
        <v>3749</v>
      </c>
      <c r="T14">
        <v>3411</v>
      </c>
      <c r="U14">
        <v>3492</v>
      </c>
      <c r="V14">
        <v>3246</v>
      </c>
      <c r="W14">
        <v>2167</v>
      </c>
      <c r="X14">
        <v>2111</v>
      </c>
      <c r="Y14">
        <v>2107</v>
      </c>
      <c r="Z14">
        <v>1777</v>
      </c>
      <c r="AA14">
        <v>1467</v>
      </c>
      <c r="AB14">
        <v>1492</v>
      </c>
      <c r="AC14">
        <v>1381</v>
      </c>
      <c r="AD14">
        <v>1459</v>
      </c>
      <c r="AE14">
        <v>1425</v>
      </c>
    </row>
    <row r="15" spans="1:31" x14ac:dyDescent="0.3">
      <c r="A15" t="s">
        <v>247</v>
      </c>
      <c r="B15" t="s">
        <v>148</v>
      </c>
      <c r="C15" t="s">
        <v>0</v>
      </c>
      <c r="D15" t="s">
        <v>149</v>
      </c>
      <c r="E15" t="s">
        <v>123</v>
      </c>
      <c r="F15">
        <v>931</v>
      </c>
      <c r="G15">
        <v>1045</v>
      </c>
      <c r="H15">
        <v>1244</v>
      </c>
      <c r="I15">
        <v>1654</v>
      </c>
      <c r="J15">
        <v>2163</v>
      </c>
      <c r="K15">
        <v>2548</v>
      </c>
      <c r="L15">
        <v>2590</v>
      </c>
      <c r="M15">
        <v>2316</v>
      </c>
      <c r="N15">
        <v>2648</v>
      </c>
      <c r="O15">
        <v>2934</v>
      </c>
      <c r="P15">
        <v>3173</v>
      </c>
      <c r="Q15">
        <v>3286</v>
      </c>
      <c r="R15">
        <v>3414</v>
      </c>
      <c r="S15">
        <v>4103</v>
      </c>
      <c r="T15">
        <v>3750</v>
      </c>
      <c r="U15">
        <v>3870</v>
      </c>
      <c r="V15">
        <v>3600</v>
      </c>
      <c r="W15">
        <v>2556</v>
      </c>
      <c r="X15">
        <v>2415</v>
      </c>
      <c r="Y15">
        <v>2488</v>
      </c>
      <c r="Z15">
        <v>2195</v>
      </c>
      <c r="AA15">
        <v>1856</v>
      </c>
      <c r="AB15">
        <v>1545</v>
      </c>
      <c r="AC15">
        <v>1728</v>
      </c>
      <c r="AD15">
        <v>1854</v>
      </c>
      <c r="AE15">
        <v>1768</v>
      </c>
    </row>
    <row r="16" spans="1:31" x14ac:dyDescent="0.3">
      <c r="A16" t="s">
        <v>247</v>
      </c>
      <c r="B16" t="s">
        <v>150</v>
      </c>
      <c r="C16" t="s">
        <v>0</v>
      </c>
      <c r="D16" t="s">
        <v>151</v>
      </c>
      <c r="E16" t="s">
        <v>123</v>
      </c>
      <c r="F16">
        <v>163</v>
      </c>
      <c r="G16">
        <v>164</v>
      </c>
      <c r="H16">
        <v>171</v>
      </c>
      <c r="I16">
        <v>191</v>
      </c>
      <c r="J16">
        <v>170</v>
      </c>
      <c r="K16">
        <v>169</v>
      </c>
      <c r="L16">
        <v>179</v>
      </c>
      <c r="M16">
        <v>158</v>
      </c>
      <c r="N16">
        <v>193</v>
      </c>
      <c r="O16">
        <v>187</v>
      </c>
      <c r="P16">
        <v>195</v>
      </c>
      <c r="Q16">
        <v>200</v>
      </c>
      <c r="R16">
        <v>261</v>
      </c>
      <c r="S16">
        <v>354</v>
      </c>
      <c r="T16">
        <v>339</v>
      </c>
      <c r="U16">
        <v>378</v>
      </c>
      <c r="V16">
        <v>354</v>
      </c>
      <c r="W16">
        <v>389</v>
      </c>
      <c r="X16">
        <v>304</v>
      </c>
      <c r="Y16">
        <v>381</v>
      </c>
      <c r="Z16">
        <v>418</v>
      </c>
      <c r="AA16">
        <v>389</v>
      </c>
      <c r="AB16">
        <v>53</v>
      </c>
      <c r="AC16">
        <v>347</v>
      </c>
      <c r="AD16">
        <v>395</v>
      </c>
      <c r="AE16">
        <v>343</v>
      </c>
    </row>
    <row r="17" spans="1:31" x14ac:dyDescent="0.3">
      <c r="A17" t="s">
        <v>247</v>
      </c>
      <c r="B17" t="s">
        <v>152</v>
      </c>
      <c r="C17" t="s">
        <v>0</v>
      </c>
      <c r="D17" t="s">
        <v>153</v>
      </c>
      <c r="E17" t="s">
        <v>123</v>
      </c>
      <c r="F17">
        <v>359</v>
      </c>
      <c r="G17">
        <v>375</v>
      </c>
      <c r="H17">
        <v>407</v>
      </c>
      <c r="I17">
        <v>408</v>
      </c>
      <c r="J17">
        <v>386</v>
      </c>
      <c r="K17">
        <v>405</v>
      </c>
      <c r="L17">
        <v>439</v>
      </c>
      <c r="M17">
        <v>399</v>
      </c>
      <c r="N17">
        <v>457</v>
      </c>
      <c r="O17">
        <v>361</v>
      </c>
      <c r="P17">
        <v>412</v>
      </c>
      <c r="Q17">
        <v>464</v>
      </c>
      <c r="R17">
        <v>524</v>
      </c>
      <c r="S17">
        <v>762</v>
      </c>
      <c r="T17">
        <v>767</v>
      </c>
      <c r="U17">
        <v>610</v>
      </c>
      <c r="V17">
        <v>697</v>
      </c>
      <c r="W17">
        <v>798</v>
      </c>
      <c r="X17">
        <v>779</v>
      </c>
      <c r="Y17">
        <v>864</v>
      </c>
      <c r="Z17">
        <v>899</v>
      </c>
      <c r="AA17">
        <v>894</v>
      </c>
      <c r="AB17">
        <v>933</v>
      </c>
      <c r="AC17">
        <v>1117</v>
      </c>
      <c r="AD17">
        <v>1131</v>
      </c>
      <c r="AE17">
        <v>1127</v>
      </c>
    </row>
    <row r="18" spans="1:31" x14ac:dyDescent="0.3">
      <c r="A18" t="s">
        <v>247</v>
      </c>
      <c r="B18" t="s">
        <v>154</v>
      </c>
      <c r="C18" t="s">
        <v>0</v>
      </c>
      <c r="D18" t="s">
        <v>155</v>
      </c>
      <c r="E18" t="s">
        <v>123</v>
      </c>
      <c r="F18">
        <v>95</v>
      </c>
      <c r="G18">
        <v>87</v>
      </c>
      <c r="H18">
        <v>81</v>
      </c>
      <c r="I18">
        <v>121</v>
      </c>
      <c r="J18">
        <v>94</v>
      </c>
      <c r="K18">
        <v>86</v>
      </c>
      <c r="L18">
        <v>110</v>
      </c>
      <c r="M18">
        <v>91</v>
      </c>
      <c r="N18">
        <v>86</v>
      </c>
      <c r="O18">
        <v>96</v>
      </c>
      <c r="P18">
        <v>112</v>
      </c>
      <c r="Q18">
        <v>141</v>
      </c>
      <c r="R18">
        <v>110</v>
      </c>
      <c r="S18">
        <v>129</v>
      </c>
      <c r="T18">
        <v>142</v>
      </c>
      <c r="U18">
        <v>112</v>
      </c>
      <c r="V18">
        <v>145</v>
      </c>
      <c r="W18">
        <v>173</v>
      </c>
      <c r="X18">
        <v>184</v>
      </c>
      <c r="Y18">
        <v>96</v>
      </c>
      <c r="Z18">
        <v>116</v>
      </c>
      <c r="AA18">
        <v>144</v>
      </c>
      <c r="AB18">
        <v>242</v>
      </c>
      <c r="AC18">
        <v>289</v>
      </c>
      <c r="AD18">
        <v>186</v>
      </c>
      <c r="AE18">
        <v>212</v>
      </c>
    </row>
    <row r="19" spans="1:31" x14ac:dyDescent="0.3">
      <c r="A19" t="s">
        <v>247</v>
      </c>
      <c r="B19" t="s">
        <v>156</v>
      </c>
      <c r="C19" t="s">
        <v>0</v>
      </c>
      <c r="D19" t="s">
        <v>157</v>
      </c>
      <c r="E19" t="s">
        <v>123</v>
      </c>
      <c r="F19">
        <v>206</v>
      </c>
      <c r="G19">
        <v>210</v>
      </c>
      <c r="H19">
        <v>276</v>
      </c>
      <c r="I19">
        <v>299</v>
      </c>
      <c r="J19">
        <v>315</v>
      </c>
      <c r="K19">
        <v>350</v>
      </c>
      <c r="L19">
        <v>341</v>
      </c>
      <c r="M19">
        <v>350</v>
      </c>
      <c r="N19">
        <v>311</v>
      </c>
      <c r="O19">
        <v>286</v>
      </c>
      <c r="P19">
        <v>291</v>
      </c>
      <c r="Q19">
        <v>305</v>
      </c>
      <c r="R19">
        <v>348</v>
      </c>
      <c r="S19">
        <v>171</v>
      </c>
      <c r="T19">
        <v>115</v>
      </c>
      <c r="U19">
        <v>123</v>
      </c>
      <c r="V19">
        <v>127</v>
      </c>
      <c r="W19">
        <v>124</v>
      </c>
      <c r="X19">
        <v>97</v>
      </c>
      <c r="Y19">
        <v>105</v>
      </c>
      <c r="Z19">
        <v>128</v>
      </c>
      <c r="AA19">
        <v>187</v>
      </c>
      <c r="AB19">
        <v>145</v>
      </c>
      <c r="AC19">
        <v>189</v>
      </c>
      <c r="AD19">
        <v>187</v>
      </c>
      <c r="AE19">
        <v>229</v>
      </c>
    </row>
    <row r="20" spans="1:31" x14ac:dyDescent="0.3">
      <c r="A20" t="s">
        <v>247</v>
      </c>
      <c r="B20" t="s">
        <v>158</v>
      </c>
      <c r="C20" t="s">
        <v>0</v>
      </c>
      <c r="D20" t="s">
        <v>159</v>
      </c>
      <c r="E20" t="s">
        <v>123</v>
      </c>
      <c r="F20">
        <v>651</v>
      </c>
      <c r="G20">
        <v>644</v>
      </c>
      <c r="H20">
        <v>806</v>
      </c>
      <c r="I20">
        <v>660</v>
      </c>
      <c r="J20">
        <v>582</v>
      </c>
      <c r="K20">
        <v>724</v>
      </c>
      <c r="L20">
        <v>830</v>
      </c>
      <c r="M20">
        <v>811</v>
      </c>
      <c r="N20">
        <v>727</v>
      </c>
      <c r="O20">
        <v>1071</v>
      </c>
      <c r="P20">
        <v>1007</v>
      </c>
      <c r="Q20">
        <v>1010</v>
      </c>
      <c r="R20">
        <v>1110</v>
      </c>
      <c r="S20">
        <v>1513</v>
      </c>
      <c r="T20">
        <v>1698</v>
      </c>
      <c r="U20">
        <v>1458</v>
      </c>
      <c r="V20">
        <v>1573</v>
      </c>
      <c r="W20">
        <v>1684</v>
      </c>
      <c r="X20">
        <v>1929</v>
      </c>
      <c r="Y20">
        <v>2338</v>
      </c>
      <c r="Z20">
        <v>2452</v>
      </c>
      <c r="AA20">
        <v>3014</v>
      </c>
      <c r="AB20">
        <v>2986</v>
      </c>
      <c r="AC20">
        <v>2408</v>
      </c>
      <c r="AD20">
        <v>2208</v>
      </c>
      <c r="AE20">
        <v>2466</v>
      </c>
    </row>
    <row r="21" spans="1:31" x14ac:dyDescent="0.3">
      <c r="A21" t="s">
        <v>247</v>
      </c>
      <c r="B21" t="s">
        <v>160</v>
      </c>
      <c r="C21" t="s">
        <v>0</v>
      </c>
      <c r="D21" t="s">
        <v>161</v>
      </c>
      <c r="E21" t="s">
        <v>123</v>
      </c>
      <c r="F21">
        <v>915</v>
      </c>
      <c r="G21">
        <v>924</v>
      </c>
      <c r="H21">
        <v>1115</v>
      </c>
      <c r="I21">
        <v>973</v>
      </c>
      <c r="J21">
        <v>922</v>
      </c>
      <c r="K21">
        <v>1081</v>
      </c>
      <c r="L21">
        <v>1140</v>
      </c>
      <c r="M21">
        <v>1196</v>
      </c>
      <c r="N21">
        <v>1143</v>
      </c>
      <c r="O21">
        <v>1454</v>
      </c>
      <c r="P21">
        <v>1439</v>
      </c>
      <c r="Q21">
        <v>1536</v>
      </c>
      <c r="R21">
        <v>1679</v>
      </c>
      <c r="S21">
        <v>2130</v>
      </c>
      <c r="T21">
        <v>2309</v>
      </c>
      <c r="U21">
        <v>2139</v>
      </c>
      <c r="V21">
        <v>2174</v>
      </c>
      <c r="W21">
        <v>2289</v>
      </c>
      <c r="X21">
        <v>2512</v>
      </c>
      <c r="Y21">
        <v>2922</v>
      </c>
      <c r="Z21">
        <v>2993</v>
      </c>
      <c r="AA21">
        <v>3683</v>
      </c>
      <c r="AB21">
        <v>3614</v>
      </c>
      <c r="AC21">
        <v>3177</v>
      </c>
      <c r="AD21">
        <v>2854</v>
      </c>
      <c r="AE21">
        <v>3433</v>
      </c>
    </row>
    <row r="22" spans="1:31" x14ac:dyDescent="0.3">
      <c r="A22" t="s">
        <v>247</v>
      </c>
      <c r="B22" t="s">
        <v>162</v>
      </c>
      <c r="C22" t="s">
        <v>0</v>
      </c>
      <c r="D22" t="s">
        <v>163</v>
      </c>
      <c r="E22" t="s">
        <v>123</v>
      </c>
      <c r="F22">
        <v>264</v>
      </c>
      <c r="G22">
        <v>280</v>
      </c>
      <c r="H22">
        <v>309</v>
      </c>
      <c r="I22">
        <v>313</v>
      </c>
      <c r="J22">
        <v>340</v>
      </c>
      <c r="K22">
        <v>357</v>
      </c>
      <c r="L22">
        <v>310</v>
      </c>
      <c r="M22">
        <v>385</v>
      </c>
      <c r="N22">
        <v>416</v>
      </c>
      <c r="O22">
        <v>383</v>
      </c>
      <c r="P22">
        <v>432</v>
      </c>
      <c r="Q22">
        <v>526</v>
      </c>
      <c r="R22">
        <v>569</v>
      </c>
      <c r="S22">
        <v>617</v>
      </c>
      <c r="T22">
        <v>611</v>
      </c>
      <c r="U22">
        <v>681</v>
      </c>
      <c r="V22">
        <v>601</v>
      </c>
      <c r="W22">
        <v>605</v>
      </c>
      <c r="X22">
        <v>583</v>
      </c>
      <c r="Y22">
        <v>584</v>
      </c>
      <c r="Z22">
        <v>541</v>
      </c>
      <c r="AA22">
        <v>669</v>
      </c>
      <c r="AB22">
        <v>628</v>
      </c>
      <c r="AC22">
        <v>769</v>
      </c>
      <c r="AD22">
        <v>646</v>
      </c>
      <c r="AE22">
        <v>967</v>
      </c>
    </row>
    <row r="23" spans="1:31" x14ac:dyDescent="0.3">
      <c r="A23" t="s">
        <v>247</v>
      </c>
      <c r="B23" t="s">
        <v>164</v>
      </c>
      <c r="C23" t="s">
        <v>0</v>
      </c>
      <c r="D23" t="s">
        <v>165</v>
      </c>
      <c r="E23" t="s">
        <v>123</v>
      </c>
      <c r="F23">
        <v>273</v>
      </c>
      <c r="G23">
        <v>294</v>
      </c>
      <c r="H23">
        <v>360</v>
      </c>
      <c r="I23">
        <v>355</v>
      </c>
      <c r="J23">
        <v>479</v>
      </c>
      <c r="K23">
        <v>553</v>
      </c>
      <c r="L23">
        <v>503</v>
      </c>
      <c r="M23">
        <v>522</v>
      </c>
      <c r="N23">
        <v>604</v>
      </c>
      <c r="O23">
        <v>612</v>
      </c>
      <c r="P23">
        <v>686</v>
      </c>
      <c r="Q23">
        <v>750</v>
      </c>
      <c r="R23">
        <v>844</v>
      </c>
      <c r="S23">
        <v>959</v>
      </c>
      <c r="T23">
        <v>719</v>
      </c>
      <c r="U23">
        <v>755</v>
      </c>
      <c r="V23">
        <v>813</v>
      </c>
      <c r="W23">
        <v>887</v>
      </c>
      <c r="X23">
        <v>798</v>
      </c>
      <c r="Y23">
        <v>810</v>
      </c>
      <c r="Z23">
        <v>830</v>
      </c>
      <c r="AA23">
        <v>949</v>
      </c>
      <c r="AB23">
        <v>1078</v>
      </c>
      <c r="AC23">
        <v>1164</v>
      </c>
      <c r="AD23">
        <v>1276</v>
      </c>
      <c r="AE23">
        <v>1317</v>
      </c>
    </row>
    <row r="24" spans="1:31" x14ac:dyDescent="0.3">
      <c r="A24" t="s">
        <v>247</v>
      </c>
      <c r="B24" t="s">
        <v>166</v>
      </c>
      <c r="C24" t="s">
        <v>0</v>
      </c>
      <c r="D24" t="s">
        <v>167</v>
      </c>
      <c r="E24" t="s">
        <v>123</v>
      </c>
      <c r="F24">
        <v>708</v>
      </c>
      <c r="G24">
        <v>884</v>
      </c>
      <c r="H24">
        <v>1088</v>
      </c>
      <c r="I24">
        <v>1159</v>
      </c>
      <c r="J24">
        <v>1240</v>
      </c>
      <c r="K24">
        <v>1300</v>
      </c>
      <c r="L24">
        <v>1264</v>
      </c>
      <c r="M24">
        <v>1141</v>
      </c>
      <c r="N24">
        <v>1340</v>
      </c>
      <c r="O24">
        <v>1275</v>
      </c>
      <c r="P24">
        <v>1206</v>
      </c>
      <c r="Q24">
        <v>928</v>
      </c>
      <c r="R24">
        <v>1455</v>
      </c>
      <c r="S24">
        <v>1536</v>
      </c>
      <c r="T24">
        <v>1373</v>
      </c>
      <c r="U24">
        <v>1299</v>
      </c>
      <c r="V24">
        <v>1436</v>
      </c>
      <c r="W24">
        <v>1868</v>
      </c>
      <c r="X24">
        <v>1588</v>
      </c>
      <c r="Y24">
        <v>1630</v>
      </c>
      <c r="Z24">
        <v>1315</v>
      </c>
      <c r="AA24">
        <v>1828</v>
      </c>
      <c r="AB24">
        <v>1895</v>
      </c>
      <c r="AC24">
        <v>2074</v>
      </c>
      <c r="AD24">
        <v>1868</v>
      </c>
      <c r="AE24">
        <v>1825</v>
      </c>
    </row>
    <row r="25" spans="1:31" x14ac:dyDescent="0.3">
      <c r="A25" t="s">
        <v>247</v>
      </c>
      <c r="B25" t="s">
        <v>168</v>
      </c>
      <c r="C25" t="s">
        <v>0</v>
      </c>
      <c r="D25" t="s">
        <v>169</v>
      </c>
      <c r="E25" t="s">
        <v>123</v>
      </c>
      <c r="F25">
        <v>79</v>
      </c>
      <c r="G25">
        <v>83</v>
      </c>
      <c r="H25">
        <v>123</v>
      </c>
      <c r="I25">
        <v>138</v>
      </c>
      <c r="J25">
        <v>151</v>
      </c>
      <c r="K25">
        <v>137</v>
      </c>
      <c r="L25">
        <v>139</v>
      </c>
      <c r="M25">
        <v>131</v>
      </c>
      <c r="N25">
        <v>143</v>
      </c>
      <c r="O25">
        <v>161</v>
      </c>
      <c r="P25">
        <v>143</v>
      </c>
      <c r="Q25">
        <v>175</v>
      </c>
      <c r="R25">
        <v>141</v>
      </c>
      <c r="S25">
        <v>192</v>
      </c>
      <c r="T25">
        <v>164</v>
      </c>
      <c r="U25">
        <v>200</v>
      </c>
      <c r="V25">
        <v>194</v>
      </c>
      <c r="W25">
        <v>201</v>
      </c>
      <c r="X25">
        <v>150</v>
      </c>
      <c r="Y25">
        <v>168</v>
      </c>
      <c r="Z25">
        <v>151</v>
      </c>
      <c r="AA25">
        <v>230</v>
      </c>
      <c r="AB25">
        <v>172</v>
      </c>
      <c r="AC25">
        <v>240</v>
      </c>
      <c r="AD25">
        <v>263</v>
      </c>
      <c r="AE25">
        <v>234</v>
      </c>
    </row>
    <row r="26" spans="1:31" x14ac:dyDescent="0.3">
      <c r="A26" t="s">
        <v>247</v>
      </c>
      <c r="B26" t="s">
        <v>170</v>
      </c>
      <c r="C26" t="s">
        <v>0</v>
      </c>
      <c r="D26" t="s">
        <v>171</v>
      </c>
      <c r="E26" t="s">
        <v>123</v>
      </c>
      <c r="F26">
        <v>315</v>
      </c>
      <c r="G26">
        <v>527</v>
      </c>
      <c r="H26">
        <v>606</v>
      </c>
      <c r="I26">
        <v>628</v>
      </c>
      <c r="J26">
        <v>638</v>
      </c>
      <c r="K26">
        <v>694</v>
      </c>
      <c r="L26">
        <v>687</v>
      </c>
      <c r="M26">
        <v>569</v>
      </c>
      <c r="N26">
        <v>616</v>
      </c>
      <c r="O26">
        <v>553</v>
      </c>
      <c r="P26">
        <v>600</v>
      </c>
      <c r="Q26">
        <v>364</v>
      </c>
      <c r="R26">
        <v>780</v>
      </c>
      <c r="S26">
        <v>799</v>
      </c>
      <c r="T26">
        <v>619</v>
      </c>
      <c r="U26">
        <v>548</v>
      </c>
      <c r="V26">
        <v>747</v>
      </c>
      <c r="W26">
        <v>958</v>
      </c>
      <c r="X26">
        <v>795</v>
      </c>
      <c r="Y26">
        <v>875</v>
      </c>
      <c r="Z26">
        <v>564</v>
      </c>
      <c r="AA26">
        <v>930</v>
      </c>
      <c r="AB26">
        <v>1050</v>
      </c>
      <c r="AC26">
        <v>1136</v>
      </c>
      <c r="AD26">
        <v>908</v>
      </c>
      <c r="AE26">
        <v>851</v>
      </c>
    </row>
    <row r="27" spans="1:31" x14ac:dyDescent="0.3">
      <c r="A27" t="s">
        <v>247</v>
      </c>
      <c r="B27" t="s">
        <v>172</v>
      </c>
      <c r="C27" t="s">
        <v>0</v>
      </c>
      <c r="D27" t="s">
        <v>173</v>
      </c>
      <c r="E27" t="s">
        <v>123</v>
      </c>
      <c r="F27">
        <v>314</v>
      </c>
      <c r="G27">
        <v>274</v>
      </c>
      <c r="H27">
        <v>359</v>
      </c>
      <c r="I27">
        <v>393</v>
      </c>
      <c r="J27">
        <v>451</v>
      </c>
      <c r="K27">
        <v>469</v>
      </c>
      <c r="L27">
        <v>438</v>
      </c>
      <c r="M27">
        <v>441</v>
      </c>
      <c r="N27">
        <v>581</v>
      </c>
      <c r="O27">
        <v>561</v>
      </c>
      <c r="P27">
        <v>463</v>
      </c>
      <c r="Q27">
        <v>389</v>
      </c>
      <c r="R27">
        <v>534</v>
      </c>
      <c r="S27">
        <v>545</v>
      </c>
      <c r="T27">
        <v>590</v>
      </c>
      <c r="U27">
        <v>551</v>
      </c>
      <c r="V27">
        <v>495</v>
      </c>
      <c r="W27">
        <v>709</v>
      </c>
      <c r="X27">
        <v>643</v>
      </c>
      <c r="Y27">
        <v>587</v>
      </c>
      <c r="Z27">
        <v>600</v>
      </c>
      <c r="AA27">
        <v>668</v>
      </c>
      <c r="AB27">
        <v>673</v>
      </c>
      <c r="AC27">
        <v>698</v>
      </c>
      <c r="AD27">
        <v>697</v>
      </c>
      <c r="AE27">
        <v>740</v>
      </c>
    </row>
    <row r="28" spans="1:31" x14ac:dyDescent="0.3">
      <c r="A28" t="s">
        <v>247</v>
      </c>
      <c r="B28" t="s">
        <v>174</v>
      </c>
      <c r="C28" t="s">
        <v>0</v>
      </c>
      <c r="D28" t="s">
        <v>175</v>
      </c>
      <c r="E28" t="s">
        <v>123</v>
      </c>
      <c r="F28">
        <v>985</v>
      </c>
      <c r="G28">
        <v>974</v>
      </c>
      <c r="H28">
        <v>1287</v>
      </c>
      <c r="I28">
        <v>1577</v>
      </c>
      <c r="J28">
        <v>1485</v>
      </c>
      <c r="K28">
        <v>1227</v>
      </c>
      <c r="L28">
        <v>1435</v>
      </c>
      <c r="M28">
        <v>1139</v>
      </c>
      <c r="N28">
        <v>1145</v>
      </c>
      <c r="O28">
        <v>1615</v>
      </c>
      <c r="P28">
        <v>1397</v>
      </c>
      <c r="Q28">
        <v>1593</v>
      </c>
      <c r="R28">
        <v>1689</v>
      </c>
      <c r="S28">
        <v>1501</v>
      </c>
      <c r="T28">
        <v>1699</v>
      </c>
      <c r="U28">
        <v>1275</v>
      </c>
      <c r="V28">
        <v>1516</v>
      </c>
      <c r="W28">
        <v>1437</v>
      </c>
      <c r="X28">
        <v>1467</v>
      </c>
      <c r="Y28">
        <v>1245</v>
      </c>
      <c r="Z28">
        <v>1427</v>
      </c>
      <c r="AA28">
        <v>2010</v>
      </c>
      <c r="AB28">
        <v>1886</v>
      </c>
      <c r="AC28">
        <v>2022</v>
      </c>
      <c r="AD28">
        <v>2231</v>
      </c>
      <c r="AE28">
        <v>1821</v>
      </c>
    </row>
    <row r="29" spans="1:31" x14ac:dyDescent="0.3">
      <c r="A29" t="s">
        <v>247</v>
      </c>
      <c r="B29" t="s">
        <v>176</v>
      </c>
      <c r="C29" t="s">
        <v>0</v>
      </c>
      <c r="D29" t="s">
        <v>177</v>
      </c>
      <c r="E29" t="s">
        <v>123</v>
      </c>
      <c r="F29">
        <v>573</v>
      </c>
      <c r="G29">
        <v>573</v>
      </c>
      <c r="H29">
        <v>622</v>
      </c>
      <c r="I29">
        <v>707</v>
      </c>
      <c r="J29">
        <v>696</v>
      </c>
      <c r="K29">
        <v>646</v>
      </c>
      <c r="L29">
        <v>679</v>
      </c>
      <c r="M29">
        <v>647</v>
      </c>
      <c r="N29">
        <v>701</v>
      </c>
      <c r="O29">
        <v>757</v>
      </c>
      <c r="P29">
        <v>775</v>
      </c>
      <c r="Q29">
        <v>645</v>
      </c>
      <c r="R29">
        <v>591</v>
      </c>
      <c r="S29">
        <v>757</v>
      </c>
      <c r="T29">
        <v>662</v>
      </c>
      <c r="U29">
        <v>604</v>
      </c>
      <c r="V29">
        <v>739</v>
      </c>
      <c r="W29">
        <v>535</v>
      </c>
      <c r="X29">
        <v>563</v>
      </c>
      <c r="Y29">
        <v>629</v>
      </c>
      <c r="Z29">
        <v>701</v>
      </c>
      <c r="AA29">
        <v>854</v>
      </c>
      <c r="AB29">
        <v>824</v>
      </c>
      <c r="AC29">
        <v>836</v>
      </c>
      <c r="AD29">
        <v>906</v>
      </c>
      <c r="AE29">
        <v>830</v>
      </c>
    </row>
    <row r="30" spans="1:31" x14ac:dyDescent="0.3">
      <c r="A30" t="s">
        <v>247</v>
      </c>
      <c r="B30" t="s">
        <v>178</v>
      </c>
      <c r="C30" t="s">
        <v>0</v>
      </c>
      <c r="D30" t="s">
        <v>179</v>
      </c>
      <c r="E30" t="s">
        <v>123</v>
      </c>
      <c r="F30">
        <v>-3</v>
      </c>
      <c r="G30">
        <v>-10</v>
      </c>
      <c r="H30">
        <v>235</v>
      </c>
      <c r="I30">
        <v>206</v>
      </c>
      <c r="J30">
        <v>114</v>
      </c>
      <c r="K30">
        <v>29</v>
      </c>
      <c r="L30">
        <v>192</v>
      </c>
      <c r="M30">
        <v>90</v>
      </c>
      <c r="N30">
        <v>-38</v>
      </c>
      <c r="O30">
        <v>338</v>
      </c>
      <c r="P30">
        <v>113</v>
      </c>
      <c r="Q30">
        <v>239</v>
      </c>
      <c r="R30">
        <v>376</v>
      </c>
      <c r="S30">
        <v>17</v>
      </c>
      <c r="T30">
        <v>108</v>
      </c>
      <c r="U30">
        <v>60</v>
      </c>
      <c r="V30">
        <v>245</v>
      </c>
      <c r="W30">
        <v>357</v>
      </c>
      <c r="X30">
        <v>262</v>
      </c>
      <c r="Y30">
        <v>26</v>
      </c>
      <c r="Z30">
        <v>104</v>
      </c>
      <c r="AA30">
        <v>110</v>
      </c>
      <c r="AB30">
        <v>-49</v>
      </c>
      <c r="AC30">
        <v>191</v>
      </c>
      <c r="AD30">
        <v>154</v>
      </c>
      <c r="AE30">
        <v>107</v>
      </c>
    </row>
    <row r="31" spans="1:31" x14ac:dyDescent="0.3">
      <c r="A31" t="s">
        <v>247</v>
      </c>
      <c r="B31" t="s">
        <v>180</v>
      </c>
      <c r="C31" t="s">
        <v>0</v>
      </c>
      <c r="D31" t="s">
        <v>181</v>
      </c>
      <c r="E31" t="s">
        <v>123</v>
      </c>
      <c r="F31">
        <v>85</v>
      </c>
      <c r="G31">
        <v>115</v>
      </c>
      <c r="H31">
        <v>82</v>
      </c>
      <c r="I31">
        <v>145</v>
      </c>
      <c r="J31">
        <v>295</v>
      </c>
      <c r="K31">
        <v>167</v>
      </c>
      <c r="L31">
        <v>233</v>
      </c>
      <c r="M31">
        <v>75</v>
      </c>
      <c r="N31">
        <v>61</v>
      </c>
      <c r="O31">
        <v>139</v>
      </c>
      <c r="P31">
        <v>264</v>
      </c>
      <c r="Q31">
        <v>320</v>
      </c>
      <c r="R31">
        <v>293</v>
      </c>
      <c r="S31">
        <v>236</v>
      </c>
      <c r="T31">
        <v>410</v>
      </c>
      <c r="U31">
        <v>136</v>
      </c>
      <c r="V31">
        <v>99</v>
      </c>
      <c r="W31">
        <v>128</v>
      </c>
      <c r="X31">
        <v>289</v>
      </c>
      <c r="Y31">
        <v>114</v>
      </c>
      <c r="Z31">
        <v>177</v>
      </c>
      <c r="AA31">
        <v>383</v>
      </c>
      <c r="AB31">
        <v>395</v>
      </c>
      <c r="AC31">
        <v>270</v>
      </c>
      <c r="AD31">
        <v>430</v>
      </c>
      <c r="AE31">
        <v>162</v>
      </c>
    </row>
    <row r="32" spans="1:31" x14ac:dyDescent="0.3">
      <c r="A32" t="s">
        <v>247</v>
      </c>
      <c r="B32" t="s">
        <v>182</v>
      </c>
      <c r="C32" t="s">
        <v>0</v>
      </c>
      <c r="D32" t="s">
        <v>183</v>
      </c>
      <c r="E32" t="s">
        <v>123</v>
      </c>
      <c r="F32">
        <v>272</v>
      </c>
      <c r="G32">
        <v>230</v>
      </c>
      <c r="H32">
        <v>259</v>
      </c>
      <c r="I32">
        <v>400</v>
      </c>
      <c r="J32">
        <v>269</v>
      </c>
      <c r="K32">
        <v>265</v>
      </c>
      <c r="L32">
        <v>238</v>
      </c>
      <c r="M32">
        <v>252</v>
      </c>
      <c r="N32">
        <v>348</v>
      </c>
      <c r="O32">
        <v>322</v>
      </c>
      <c r="P32">
        <v>202</v>
      </c>
      <c r="Q32">
        <v>315</v>
      </c>
      <c r="R32">
        <v>381</v>
      </c>
      <c r="S32">
        <v>400</v>
      </c>
      <c r="T32">
        <v>412</v>
      </c>
      <c r="U32">
        <v>389</v>
      </c>
      <c r="V32">
        <v>366</v>
      </c>
      <c r="W32">
        <v>319</v>
      </c>
      <c r="X32">
        <v>287</v>
      </c>
      <c r="Y32">
        <v>389</v>
      </c>
      <c r="Z32">
        <v>456</v>
      </c>
      <c r="AA32">
        <v>638</v>
      </c>
      <c r="AB32">
        <v>663</v>
      </c>
      <c r="AC32">
        <v>671</v>
      </c>
      <c r="AD32">
        <v>698</v>
      </c>
      <c r="AE32">
        <v>667</v>
      </c>
    </row>
    <row r="33" spans="1:31" x14ac:dyDescent="0.3">
      <c r="A33" t="s">
        <v>247</v>
      </c>
      <c r="B33" t="s">
        <v>184</v>
      </c>
      <c r="C33" t="s">
        <v>0</v>
      </c>
      <c r="D33" t="s">
        <v>185</v>
      </c>
      <c r="E33" t="s">
        <v>123</v>
      </c>
      <c r="F33">
        <v>58</v>
      </c>
      <c r="G33">
        <v>66</v>
      </c>
      <c r="H33">
        <v>89</v>
      </c>
      <c r="I33">
        <v>119</v>
      </c>
      <c r="J33">
        <v>111</v>
      </c>
      <c r="K33">
        <v>120</v>
      </c>
      <c r="L33">
        <v>93</v>
      </c>
      <c r="M33">
        <v>75</v>
      </c>
      <c r="N33">
        <v>73</v>
      </c>
      <c r="O33">
        <v>59</v>
      </c>
      <c r="P33">
        <v>43</v>
      </c>
      <c r="Q33">
        <v>74</v>
      </c>
      <c r="R33">
        <v>48</v>
      </c>
      <c r="S33">
        <v>91</v>
      </c>
      <c r="T33">
        <v>107</v>
      </c>
      <c r="U33">
        <v>86</v>
      </c>
      <c r="V33">
        <v>67</v>
      </c>
      <c r="W33">
        <v>98</v>
      </c>
      <c r="X33">
        <v>66</v>
      </c>
      <c r="Y33">
        <v>87</v>
      </c>
      <c r="Z33">
        <v>-11</v>
      </c>
      <c r="AA33">
        <v>25</v>
      </c>
      <c r="AB33">
        <v>53</v>
      </c>
      <c r="AC33">
        <v>54</v>
      </c>
      <c r="AD33">
        <v>43</v>
      </c>
      <c r="AE33">
        <v>55</v>
      </c>
    </row>
    <row r="34" spans="1:31" x14ac:dyDescent="0.3">
      <c r="A34" t="s">
        <v>247</v>
      </c>
      <c r="B34" t="s">
        <v>186</v>
      </c>
      <c r="C34" t="s">
        <v>0</v>
      </c>
      <c r="D34" t="s">
        <v>187</v>
      </c>
      <c r="E34" t="s">
        <v>123</v>
      </c>
      <c r="F34">
        <v>89</v>
      </c>
      <c r="G34">
        <v>107</v>
      </c>
      <c r="H34">
        <v>135</v>
      </c>
      <c r="I34">
        <v>156</v>
      </c>
      <c r="J34">
        <v>148</v>
      </c>
      <c r="K34">
        <v>140</v>
      </c>
      <c r="L34">
        <v>119</v>
      </c>
      <c r="M34">
        <v>149</v>
      </c>
      <c r="N34">
        <v>139</v>
      </c>
      <c r="O34">
        <v>149</v>
      </c>
      <c r="P34">
        <v>163</v>
      </c>
      <c r="Q34">
        <v>209</v>
      </c>
      <c r="R34">
        <v>206</v>
      </c>
      <c r="S34">
        <v>219</v>
      </c>
      <c r="T34">
        <v>202</v>
      </c>
      <c r="U34">
        <v>206</v>
      </c>
      <c r="V34">
        <v>192</v>
      </c>
      <c r="W34">
        <v>225</v>
      </c>
      <c r="X34">
        <v>168</v>
      </c>
      <c r="Y34">
        <v>184</v>
      </c>
      <c r="Z34">
        <v>199</v>
      </c>
      <c r="AA34">
        <v>257</v>
      </c>
      <c r="AB34">
        <v>262</v>
      </c>
      <c r="AC34">
        <v>314</v>
      </c>
      <c r="AD34">
        <v>307</v>
      </c>
      <c r="AE34">
        <v>312</v>
      </c>
    </row>
    <row r="35" spans="1:31" x14ac:dyDescent="0.3">
      <c r="A35" t="s">
        <v>247</v>
      </c>
      <c r="B35" t="s">
        <v>188</v>
      </c>
      <c r="C35" t="s">
        <v>0</v>
      </c>
      <c r="D35" t="s">
        <v>189</v>
      </c>
      <c r="E35" t="s">
        <v>123</v>
      </c>
      <c r="F35">
        <v>1032</v>
      </c>
      <c r="G35">
        <v>1125</v>
      </c>
      <c r="H35">
        <v>1255</v>
      </c>
      <c r="I35">
        <v>1342</v>
      </c>
      <c r="J35">
        <v>1542</v>
      </c>
      <c r="K35">
        <v>1720</v>
      </c>
      <c r="L35">
        <v>1779</v>
      </c>
      <c r="M35">
        <v>1696</v>
      </c>
      <c r="N35">
        <v>1487</v>
      </c>
      <c r="O35">
        <v>1289</v>
      </c>
      <c r="P35">
        <v>1442</v>
      </c>
      <c r="Q35">
        <v>1381</v>
      </c>
      <c r="R35">
        <v>1632</v>
      </c>
      <c r="S35">
        <v>1608</v>
      </c>
      <c r="T35">
        <v>1466</v>
      </c>
      <c r="U35">
        <v>1697</v>
      </c>
      <c r="V35">
        <v>1734</v>
      </c>
      <c r="W35">
        <v>1839</v>
      </c>
      <c r="X35">
        <v>2015</v>
      </c>
      <c r="Y35">
        <v>2254</v>
      </c>
      <c r="Z35">
        <v>2301</v>
      </c>
      <c r="AA35">
        <v>2266</v>
      </c>
      <c r="AB35">
        <v>2402</v>
      </c>
      <c r="AC35">
        <v>2957</v>
      </c>
      <c r="AD35">
        <v>2437</v>
      </c>
      <c r="AE35">
        <v>2803</v>
      </c>
    </row>
    <row r="36" spans="1:31" x14ac:dyDescent="0.3">
      <c r="A36" t="s">
        <v>247</v>
      </c>
      <c r="B36" t="s">
        <v>190</v>
      </c>
      <c r="C36" t="s">
        <v>0</v>
      </c>
      <c r="D36" t="s">
        <v>191</v>
      </c>
      <c r="E36" t="s">
        <v>123</v>
      </c>
      <c r="F36">
        <v>277</v>
      </c>
      <c r="G36">
        <v>298</v>
      </c>
      <c r="H36">
        <v>372</v>
      </c>
      <c r="I36">
        <v>365</v>
      </c>
      <c r="J36">
        <v>301</v>
      </c>
      <c r="K36">
        <v>342</v>
      </c>
      <c r="L36">
        <v>374</v>
      </c>
      <c r="M36">
        <v>318</v>
      </c>
      <c r="N36">
        <v>320</v>
      </c>
      <c r="O36">
        <v>326</v>
      </c>
      <c r="P36">
        <v>359</v>
      </c>
      <c r="Q36">
        <v>358</v>
      </c>
      <c r="R36">
        <v>402</v>
      </c>
      <c r="S36">
        <v>366</v>
      </c>
      <c r="T36">
        <v>416</v>
      </c>
      <c r="U36">
        <v>534</v>
      </c>
      <c r="V36">
        <v>545</v>
      </c>
      <c r="W36">
        <v>578</v>
      </c>
      <c r="X36">
        <v>570</v>
      </c>
      <c r="Y36">
        <v>433</v>
      </c>
      <c r="Z36">
        <v>578</v>
      </c>
      <c r="AA36">
        <v>637</v>
      </c>
      <c r="AB36">
        <v>730</v>
      </c>
      <c r="AC36">
        <v>748</v>
      </c>
      <c r="AD36">
        <v>745</v>
      </c>
      <c r="AE36">
        <v>722</v>
      </c>
    </row>
    <row r="37" spans="1:31" x14ac:dyDescent="0.3">
      <c r="A37" t="s">
        <v>247</v>
      </c>
      <c r="B37" t="s">
        <v>192</v>
      </c>
      <c r="C37" t="s">
        <v>0</v>
      </c>
      <c r="D37" t="s">
        <v>193</v>
      </c>
      <c r="E37" t="s">
        <v>123</v>
      </c>
      <c r="F37">
        <v>603</v>
      </c>
      <c r="G37">
        <v>668</v>
      </c>
      <c r="H37">
        <v>703</v>
      </c>
      <c r="I37">
        <v>740</v>
      </c>
      <c r="J37">
        <v>928</v>
      </c>
      <c r="K37">
        <v>1013</v>
      </c>
      <c r="L37">
        <v>989</v>
      </c>
      <c r="M37">
        <v>920</v>
      </c>
      <c r="N37">
        <v>697</v>
      </c>
      <c r="O37">
        <v>593</v>
      </c>
      <c r="P37">
        <v>554</v>
      </c>
      <c r="Q37">
        <v>507</v>
      </c>
      <c r="R37">
        <v>533</v>
      </c>
      <c r="S37">
        <v>593</v>
      </c>
      <c r="T37">
        <v>549</v>
      </c>
      <c r="U37">
        <v>609</v>
      </c>
      <c r="V37">
        <v>597</v>
      </c>
      <c r="W37">
        <v>562</v>
      </c>
      <c r="X37">
        <v>609</v>
      </c>
      <c r="Y37">
        <v>571</v>
      </c>
      <c r="Z37">
        <v>611</v>
      </c>
      <c r="AA37">
        <v>699</v>
      </c>
      <c r="AB37">
        <v>689</v>
      </c>
      <c r="AC37">
        <v>720</v>
      </c>
      <c r="AD37">
        <v>605</v>
      </c>
      <c r="AE37">
        <v>773</v>
      </c>
    </row>
    <row r="38" spans="1:31" x14ac:dyDescent="0.3">
      <c r="A38" t="s">
        <v>247</v>
      </c>
      <c r="B38" t="s">
        <v>194</v>
      </c>
      <c r="C38" t="s">
        <v>0</v>
      </c>
      <c r="D38" t="s">
        <v>195</v>
      </c>
      <c r="E38" t="s">
        <v>123</v>
      </c>
      <c r="F38">
        <v>152</v>
      </c>
      <c r="G38">
        <v>159</v>
      </c>
      <c r="H38">
        <v>180</v>
      </c>
      <c r="I38">
        <v>237</v>
      </c>
      <c r="J38">
        <v>313</v>
      </c>
      <c r="K38">
        <v>365</v>
      </c>
      <c r="L38">
        <v>416</v>
      </c>
      <c r="M38">
        <v>458</v>
      </c>
      <c r="N38">
        <v>470</v>
      </c>
      <c r="O38">
        <v>370</v>
      </c>
      <c r="P38">
        <v>529</v>
      </c>
      <c r="Q38">
        <v>516</v>
      </c>
      <c r="R38">
        <v>697</v>
      </c>
      <c r="S38">
        <v>649</v>
      </c>
      <c r="T38">
        <v>501</v>
      </c>
      <c r="U38">
        <v>554</v>
      </c>
      <c r="V38">
        <v>592</v>
      </c>
      <c r="W38">
        <v>699</v>
      </c>
      <c r="X38">
        <v>836</v>
      </c>
      <c r="Y38">
        <v>1250</v>
      </c>
      <c r="Z38">
        <v>1112</v>
      </c>
      <c r="AA38">
        <v>930</v>
      </c>
      <c r="AB38">
        <v>983</v>
      </c>
      <c r="AC38">
        <v>1489</v>
      </c>
      <c r="AD38">
        <v>1087</v>
      </c>
      <c r="AE38">
        <v>1308</v>
      </c>
    </row>
    <row r="39" spans="1:31" x14ac:dyDescent="0.3">
      <c r="A39" t="s">
        <v>247</v>
      </c>
      <c r="B39" t="s">
        <v>196</v>
      </c>
      <c r="C39" t="s">
        <v>0</v>
      </c>
      <c r="D39" t="s">
        <v>197</v>
      </c>
      <c r="E39" t="s">
        <v>123</v>
      </c>
      <c r="F39">
        <v>20</v>
      </c>
      <c r="G39">
        <v>72</v>
      </c>
      <c r="H39">
        <v>-26</v>
      </c>
      <c r="I39">
        <v>158</v>
      </c>
      <c r="J39">
        <v>185</v>
      </c>
      <c r="K39">
        <v>291</v>
      </c>
      <c r="L39">
        <v>283</v>
      </c>
      <c r="M39">
        <v>333</v>
      </c>
      <c r="N39">
        <v>263</v>
      </c>
      <c r="O39">
        <v>230</v>
      </c>
      <c r="P39">
        <v>344</v>
      </c>
      <c r="Q39">
        <v>393</v>
      </c>
      <c r="R39">
        <v>596</v>
      </c>
      <c r="S39">
        <v>660</v>
      </c>
      <c r="T39">
        <v>617</v>
      </c>
      <c r="U39">
        <v>443</v>
      </c>
      <c r="V39">
        <v>476</v>
      </c>
      <c r="W39">
        <v>438</v>
      </c>
      <c r="X39">
        <v>426</v>
      </c>
      <c r="Y39">
        <v>532</v>
      </c>
      <c r="Z39">
        <v>523</v>
      </c>
      <c r="AA39">
        <v>626</v>
      </c>
      <c r="AB39">
        <v>690</v>
      </c>
      <c r="AC39">
        <v>580</v>
      </c>
      <c r="AD39">
        <v>712</v>
      </c>
      <c r="AE39">
        <v>533</v>
      </c>
    </row>
    <row r="40" spans="1:31" x14ac:dyDescent="0.3">
      <c r="A40" t="s">
        <v>247</v>
      </c>
      <c r="B40" t="s">
        <v>198</v>
      </c>
      <c r="C40" t="s">
        <v>0</v>
      </c>
      <c r="D40" t="s">
        <v>199</v>
      </c>
      <c r="E40" t="s">
        <v>123</v>
      </c>
      <c r="F40">
        <v>4917</v>
      </c>
      <c r="G40">
        <v>5491</v>
      </c>
      <c r="H40">
        <v>6166</v>
      </c>
      <c r="I40">
        <v>7745</v>
      </c>
      <c r="J40">
        <v>8970</v>
      </c>
      <c r="K40">
        <v>10912</v>
      </c>
      <c r="L40">
        <v>11243</v>
      </c>
      <c r="M40">
        <v>10576</v>
      </c>
      <c r="N40">
        <v>11064</v>
      </c>
      <c r="O40">
        <v>12634</v>
      </c>
      <c r="P40">
        <v>14475</v>
      </c>
      <c r="Q40">
        <v>15503</v>
      </c>
      <c r="R40">
        <v>18079</v>
      </c>
      <c r="S40">
        <v>18381</v>
      </c>
      <c r="T40">
        <v>14606</v>
      </c>
      <c r="U40">
        <v>15932</v>
      </c>
      <c r="V40">
        <v>17703</v>
      </c>
      <c r="W40">
        <v>18467</v>
      </c>
      <c r="X40">
        <v>17602</v>
      </c>
      <c r="Y40">
        <v>16283</v>
      </c>
      <c r="Z40">
        <v>17251</v>
      </c>
      <c r="AA40">
        <v>19003</v>
      </c>
      <c r="AB40">
        <v>20627</v>
      </c>
      <c r="AC40">
        <v>22948</v>
      </c>
      <c r="AD40">
        <v>23652</v>
      </c>
      <c r="AE40">
        <v>22888</v>
      </c>
    </row>
    <row r="41" spans="1:31" x14ac:dyDescent="0.3">
      <c r="A41" t="s">
        <v>247</v>
      </c>
      <c r="B41" t="s">
        <v>200</v>
      </c>
      <c r="C41" t="s">
        <v>0</v>
      </c>
      <c r="D41" t="s">
        <v>201</v>
      </c>
      <c r="E41" t="s">
        <v>123</v>
      </c>
      <c r="F41">
        <v>3181</v>
      </c>
      <c r="G41">
        <v>3210</v>
      </c>
      <c r="H41">
        <v>3774</v>
      </c>
      <c r="I41">
        <v>4650</v>
      </c>
      <c r="J41">
        <v>5461</v>
      </c>
      <c r="K41">
        <v>6112</v>
      </c>
      <c r="L41">
        <v>5669</v>
      </c>
      <c r="M41">
        <v>5646</v>
      </c>
      <c r="N41">
        <v>6452</v>
      </c>
      <c r="O41">
        <v>7476</v>
      </c>
      <c r="P41">
        <v>8391</v>
      </c>
      <c r="Q41">
        <v>9187</v>
      </c>
      <c r="R41">
        <v>9875</v>
      </c>
      <c r="S41">
        <v>9341</v>
      </c>
      <c r="T41">
        <v>8006</v>
      </c>
      <c r="U41">
        <v>9736</v>
      </c>
      <c r="V41">
        <v>10691</v>
      </c>
      <c r="W41">
        <v>10967</v>
      </c>
      <c r="X41">
        <v>10595</v>
      </c>
      <c r="Y41">
        <v>10066</v>
      </c>
      <c r="Z41">
        <v>10102</v>
      </c>
      <c r="AA41">
        <v>11364</v>
      </c>
      <c r="AB41">
        <v>12214</v>
      </c>
      <c r="AC41">
        <v>13187</v>
      </c>
      <c r="AD41">
        <v>13279</v>
      </c>
      <c r="AE41">
        <v>12947</v>
      </c>
    </row>
    <row r="42" spans="1:31" x14ac:dyDescent="0.3">
      <c r="A42" t="s">
        <v>247</v>
      </c>
      <c r="B42" t="s">
        <v>202</v>
      </c>
      <c r="C42" t="s">
        <v>0</v>
      </c>
      <c r="D42" t="s">
        <v>203</v>
      </c>
      <c r="E42" t="s">
        <v>123</v>
      </c>
      <c r="F42">
        <v>609</v>
      </c>
      <c r="G42">
        <v>658</v>
      </c>
      <c r="H42">
        <v>743</v>
      </c>
      <c r="I42">
        <v>796</v>
      </c>
      <c r="J42">
        <v>872</v>
      </c>
      <c r="K42">
        <v>935</v>
      </c>
      <c r="L42">
        <v>946</v>
      </c>
      <c r="M42">
        <v>1087</v>
      </c>
      <c r="N42">
        <v>1007</v>
      </c>
      <c r="O42">
        <v>1067</v>
      </c>
      <c r="P42">
        <v>1102</v>
      </c>
      <c r="Q42">
        <v>1124</v>
      </c>
      <c r="R42">
        <v>1264</v>
      </c>
      <c r="S42">
        <v>1269</v>
      </c>
      <c r="T42">
        <v>1123</v>
      </c>
      <c r="U42">
        <v>1291</v>
      </c>
      <c r="V42">
        <v>1395</v>
      </c>
      <c r="W42">
        <v>1308</v>
      </c>
      <c r="X42">
        <v>1226</v>
      </c>
      <c r="Y42">
        <v>1225</v>
      </c>
      <c r="Z42">
        <v>1251</v>
      </c>
      <c r="AA42">
        <v>1188</v>
      </c>
      <c r="AB42">
        <v>1190</v>
      </c>
      <c r="AC42">
        <v>1341</v>
      </c>
      <c r="AD42">
        <v>1574</v>
      </c>
      <c r="AE42">
        <v>1478</v>
      </c>
    </row>
    <row r="43" spans="1:31" x14ac:dyDescent="0.3">
      <c r="A43" t="s">
        <v>247</v>
      </c>
      <c r="B43" t="s">
        <v>204</v>
      </c>
      <c r="C43" t="s">
        <v>0</v>
      </c>
      <c r="D43" t="s">
        <v>205</v>
      </c>
      <c r="E43" t="s">
        <v>123</v>
      </c>
      <c r="F43">
        <v>790</v>
      </c>
      <c r="G43">
        <v>935</v>
      </c>
      <c r="H43">
        <v>965</v>
      </c>
      <c r="I43">
        <v>1082</v>
      </c>
      <c r="J43">
        <v>1163</v>
      </c>
      <c r="K43">
        <v>1316</v>
      </c>
      <c r="L43">
        <v>1286</v>
      </c>
      <c r="M43">
        <v>1511</v>
      </c>
      <c r="N43">
        <v>1497</v>
      </c>
      <c r="O43">
        <v>1531</v>
      </c>
      <c r="P43">
        <v>1581</v>
      </c>
      <c r="Q43">
        <v>1733</v>
      </c>
      <c r="R43">
        <v>1870</v>
      </c>
      <c r="S43">
        <v>1997</v>
      </c>
      <c r="T43">
        <v>1637</v>
      </c>
      <c r="U43">
        <v>1832</v>
      </c>
      <c r="V43">
        <v>1995</v>
      </c>
      <c r="W43">
        <v>1926</v>
      </c>
      <c r="X43">
        <v>1812</v>
      </c>
      <c r="Y43">
        <v>1846</v>
      </c>
      <c r="Z43">
        <v>1821</v>
      </c>
      <c r="AA43">
        <v>1865</v>
      </c>
      <c r="AB43">
        <v>1945</v>
      </c>
      <c r="AC43">
        <v>2149</v>
      </c>
      <c r="AD43">
        <v>2407</v>
      </c>
      <c r="AE43">
        <v>2225</v>
      </c>
    </row>
    <row r="44" spans="1:31" x14ac:dyDescent="0.3">
      <c r="A44" t="s">
        <v>247</v>
      </c>
      <c r="B44" t="s">
        <v>206</v>
      </c>
      <c r="C44" t="s">
        <v>0</v>
      </c>
      <c r="D44" t="s">
        <v>207</v>
      </c>
      <c r="E44" t="s">
        <v>123</v>
      </c>
      <c r="F44">
        <v>10815</v>
      </c>
      <c r="G44">
        <v>11861</v>
      </c>
      <c r="H44">
        <v>13363</v>
      </c>
      <c r="I44">
        <v>14721</v>
      </c>
      <c r="J44">
        <v>15129</v>
      </c>
      <c r="K44">
        <v>16173</v>
      </c>
      <c r="L44">
        <v>17360</v>
      </c>
      <c r="M44">
        <v>16544</v>
      </c>
      <c r="N44">
        <v>16745</v>
      </c>
      <c r="O44">
        <v>17200</v>
      </c>
      <c r="P44">
        <v>17682</v>
      </c>
      <c r="Q44">
        <v>18384</v>
      </c>
      <c r="R44">
        <v>21489</v>
      </c>
      <c r="S44">
        <v>22785</v>
      </c>
      <c r="T44">
        <v>20694</v>
      </c>
      <c r="U44">
        <v>19552</v>
      </c>
      <c r="V44">
        <v>20454</v>
      </c>
      <c r="W44">
        <v>20723</v>
      </c>
      <c r="X44">
        <v>20009</v>
      </c>
      <c r="Y44">
        <v>20484</v>
      </c>
      <c r="Z44">
        <v>20586</v>
      </c>
      <c r="AA44">
        <v>22781</v>
      </c>
      <c r="AB44">
        <v>24080</v>
      </c>
      <c r="AC44">
        <v>24675</v>
      </c>
      <c r="AD44">
        <v>24332</v>
      </c>
      <c r="AE44">
        <v>24317</v>
      </c>
    </row>
    <row r="45" spans="1:31" x14ac:dyDescent="0.3">
      <c r="A45" t="s">
        <v>247</v>
      </c>
      <c r="B45" t="s">
        <v>208</v>
      </c>
      <c r="C45" t="s">
        <v>0</v>
      </c>
      <c r="D45" t="s">
        <v>209</v>
      </c>
      <c r="E45" t="s">
        <v>123</v>
      </c>
      <c r="F45">
        <v>9848</v>
      </c>
      <c r="G45">
        <v>10929</v>
      </c>
      <c r="H45">
        <v>12170</v>
      </c>
      <c r="I45">
        <v>13456</v>
      </c>
      <c r="J45">
        <v>13798</v>
      </c>
      <c r="K45">
        <v>14861</v>
      </c>
      <c r="L45">
        <v>15965</v>
      </c>
      <c r="M45">
        <v>15081</v>
      </c>
      <c r="N45">
        <v>15304</v>
      </c>
      <c r="O45">
        <v>15826</v>
      </c>
      <c r="P45">
        <v>16229</v>
      </c>
      <c r="Q45">
        <v>16887</v>
      </c>
      <c r="R45">
        <v>19769</v>
      </c>
      <c r="S45">
        <v>21105</v>
      </c>
      <c r="T45">
        <v>19048</v>
      </c>
      <c r="U45">
        <v>18018</v>
      </c>
      <c r="V45">
        <v>18833</v>
      </c>
      <c r="W45">
        <v>19095</v>
      </c>
      <c r="X45">
        <v>18294</v>
      </c>
      <c r="Y45">
        <v>18809</v>
      </c>
      <c r="Z45">
        <v>19231</v>
      </c>
      <c r="AA45">
        <v>21406</v>
      </c>
      <c r="AB45">
        <v>22599</v>
      </c>
      <c r="AC45">
        <v>23091</v>
      </c>
      <c r="AD45">
        <v>22648</v>
      </c>
      <c r="AE45">
        <v>22668</v>
      </c>
    </row>
    <row r="46" spans="1:31" x14ac:dyDescent="0.3">
      <c r="A46" t="s">
        <v>247</v>
      </c>
      <c r="B46" t="s">
        <v>210</v>
      </c>
      <c r="C46" t="s">
        <v>0</v>
      </c>
      <c r="D46" t="s">
        <v>211</v>
      </c>
      <c r="E46" t="s">
        <v>123</v>
      </c>
      <c r="F46">
        <v>181</v>
      </c>
      <c r="G46">
        <v>277</v>
      </c>
      <c r="H46">
        <v>222</v>
      </c>
      <c r="I46">
        <v>286</v>
      </c>
      <c r="J46">
        <v>291</v>
      </c>
      <c r="K46">
        <v>381</v>
      </c>
      <c r="L46">
        <v>340</v>
      </c>
      <c r="M46">
        <v>424</v>
      </c>
      <c r="N46">
        <v>490</v>
      </c>
      <c r="O46">
        <v>464</v>
      </c>
      <c r="P46">
        <v>479</v>
      </c>
      <c r="Q46">
        <v>609</v>
      </c>
      <c r="R46">
        <v>606</v>
      </c>
      <c r="S46">
        <v>728</v>
      </c>
      <c r="T46">
        <v>514</v>
      </c>
      <c r="U46">
        <v>541</v>
      </c>
      <c r="V46">
        <v>600</v>
      </c>
      <c r="W46">
        <v>618</v>
      </c>
      <c r="X46">
        <v>586</v>
      </c>
      <c r="Y46">
        <v>621</v>
      </c>
      <c r="Z46">
        <v>570</v>
      </c>
      <c r="AA46">
        <v>677</v>
      </c>
      <c r="AB46">
        <v>755</v>
      </c>
      <c r="AC46">
        <v>808</v>
      </c>
      <c r="AD46">
        <v>833</v>
      </c>
      <c r="AE46">
        <v>747</v>
      </c>
    </row>
    <row r="47" spans="1:31" x14ac:dyDescent="0.3">
      <c r="A47" t="s">
        <v>247</v>
      </c>
      <c r="B47" t="s">
        <v>212</v>
      </c>
      <c r="C47" t="s">
        <v>0</v>
      </c>
      <c r="D47" t="s">
        <v>213</v>
      </c>
      <c r="E47" t="s">
        <v>123</v>
      </c>
      <c r="F47">
        <v>1898</v>
      </c>
      <c r="G47">
        <v>1973</v>
      </c>
      <c r="H47">
        <v>2277</v>
      </c>
      <c r="I47">
        <v>2535</v>
      </c>
      <c r="J47">
        <v>2539</v>
      </c>
      <c r="K47">
        <v>2473</v>
      </c>
      <c r="L47">
        <v>2286</v>
      </c>
      <c r="M47">
        <v>2483</v>
      </c>
      <c r="N47">
        <v>2681</v>
      </c>
      <c r="O47">
        <v>2892</v>
      </c>
      <c r="P47">
        <v>3055</v>
      </c>
      <c r="Q47">
        <v>2729</v>
      </c>
      <c r="R47">
        <v>2697</v>
      </c>
      <c r="S47">
        <v>3259</v>
      </c>
      <c r="T47">
        <v>3175</v>
      </c>
      <c r="U47">
        <v>3128</v>
      </c>
      <c r="V47">
        <v>3130</v>
      </c>
      <c r="W47">
        <v>3622</v>
      </c>
      <c r="X47">
        <v>3688</v>
      </c>
      <c r="Y47">
        <v>3933</v>
      </c>
      <c r="Z47">
        <v>3388</v>
      </c>
      <c r="AA47">
        <v>3595</v>
      </c>
      <c r="AB47">
        <v>3792</v>
      </c>
      <c r="AC47">
        <v>4126</v>
      </c>
      <c r="AD47">
        <v>4185</v>
      </c>
      <c r="AE47">
        <v>4820</v>
      </c>
    </row>
    <row r="48" spans="1:31" x14ac:dyDescent="0.3">
      <c r="A48" t="s">
        <v>247</v>
      </c>
      <c r="B48" t="s">
        <v>214</v>
      </c>
      <c r="C48" t="s">
        <v>0</v>
      </c>
      <c r="D48" t="s">
        <v>215</v>
      </c>
      <c r="E48" t="s">
        <v>123</v>
      </c>
      <c r="F48">
        <v>3267</v>
      </c>
      <c r="G48">
        <v>3578</v>
      </c>
      <c r="H48">
        <v>4141</v>
      </c>
      <c r="I48">
        <v>4291</v>
      </c>
      <c r="J48">
        <v>4386</v>
      </c>
      <c r="K48">
        <v>4375</v>
      </c>
      <c r="L48">
        <v>4481</v>
      </c>
      <c r="M48">
        <v>4956</v>
      </c>
      <c r="N48">
        <v>5247</v>
      </c>
      <c r="O48">
        <v>5502</v>
      </c>
      <c r="P48">
        <v>5586</v>
      </c>
      <c r="Q48">
        <v>5471</v>
      </c>
      <c r="R48">
        <v>5695</v>
      </c>
      <c r="S48">
        <v>6417</v>
      </c>
      <c r="T48">
        <v>6420</v>
      </c>
      <c r="U48">
        <v>6465</v>
      </c>
      <c r="V48">
        <v>6623</v>
      </c>
      <c r="W48">
        <v>7205</v>
      </c>
      <c r="X48">
        <v>7356</v>
      </c>
      <c r="Y48">
        <v>7658</v>
      </c>
      <c r="Z48">
        <v>7040</v>
      </c>
      <c r="AA48">
        <v>7690</v>
      </c>
      <c r="AB48">
        <v>8132</v>
      </c>
      <c r="AC48">
        <v>8583</v>
      </c>
      <c r="AD48">
        <v>9165</v>
      </c>
      <c r="AE48">
        <v>10026</v>
      </c>
    </row>
    <row r="49" spans="1:31" x14ac:dyDescent="0.3">
      <c r="A49" t="s">
        <v>247</v>
      </c>
      <c r="B49" t="s">
        <v>216</v>
      </c>
      <c r="C49" t="s">
        <v>0</v>
      </c>
      <c r="D49" t="s">
        <v>217</v>
      </c>
      <c r="E49" t="s">
        <v>123</v>
      </c>
      <c r="F49">
        <v>954</v>
      </c>
      <c r="G49">
        <v>1122</v>
      </c>
      <c r="H49">
        <v>1354</v>
      </c>
      <c r="I49">
        <v>1267</v>
      </c>
      <c r="J49">
        <v>1318</v>
      </c>
      <c r="K49">
        <v>1297</v>
      </c>
      <c r="L49">
        <v>1499</v>
      </c>
      <c r="M49">
        <v>1694</v>
      </c>
      <c r="N49">
        <v>1782</v>
      </c>
      <c r="O49">
        <v>1828</v>
      </c>
      <c r="P49">
        <v>1720</v>
      </c>
      <c r="Q49">
        <v>1779</v>
      </c>
      <c r="R49">
        <v>1916</v>
      </c>
      <c r="S49">
        <v>2001</v>
      </c>
      <c r="T49">
        <v>2023</v>
      </c>
      <c r="U49">
        <v>2214</v>
      </c>
      <c r="V49">
        <v>2330</v>
      </c>
      <c r="W49">
        <v>2204</v>
      </c>
      <c r="X49">
        <v>2218</v>
      </c>
      <c r="Y49">
        <v>2307</v>
      </c>
      <c r="Z49">
        <v>2405</v>
      </c>
      <c r="AA49">
        <v>2578</v>
      </c>
      <c r="AB49">
        <v>2619</v>
      </c>
      <c r="AC49">
        <v>2704</v>
      </c>
      <c r="AD49">
        <v>3080</v>
      </c>
      <c r="AE49">
        <v>3222</v>
      </c>
    </row>
    <row r="50" spans="1:31" x14ac:dyDescent="0.3">
      <c r="A50" t="s">
        <v>247</v>
      </c>
      <c r="B50" t="s">
        <v>218</v>
      </c>
      <c r="C50" t="s">
        <v>0</v>
      </c>
      <c r="D50" t="s">
        <v>219</v>
      </c>
      <c r="E50" t="s">
        <v>123</v>
      </c>
      <c r="F50">
        <v>415</v>
      </c>
      <c r="G50">
        <v>483</v>
      </c>
      <c r="H50">
        <v>510</v>
      </c>
      <c r="I50">
        <v>489</v>
      </c>
      <c r="J50">
        <v>529</v>
      </c>
      <c r="K50">
        <v>605</v>
      </c>
      <c r="L50">
        <v>696</v>
      </c>
      <c r="M50">
        <v>779</v>
      </c>
      <c r="N50">
        <v>784</v>
      </c>
      <c r="O50">
        <v>782</v>
      </c>
      <c r="P50">
        <v>811</v>
      </c>
      <c r="Q50">
        <v>963</v>
      </c>
      <c r="R50">
        <v>1082</v>
      </c>
      <c r="S50">
        <v>1157</v>
      </c>
      <c r="T50">
        <v>1222</v>
      </c>
      <c r="U50">
        <v>1123</v>
      </c>
      <c r="V50">
        <v>1163</v>
      </c>
      <c r="W50">
        <v>1379</v>
      </c>
      <c r="X50">
        <v>1450</v>
      </c>
      <c r="Y50">
        <v>1418</v>
      </c>
      <c r="Z50">
        <v>1247</v>
      </c>
      <c r="AA50">
        <v>1517</v>
      </c>
      <c r="AB50">
        <v>1721</v>
      </c>
      <c r="AC50">
        <v>1753</v>
      </c>
      <c r="AD50">
        <v>1900</v>
      </c>
      <c r="AE50">
        <v>1984</v>
      </c>
    </row>
    <row r="51" spans="1:31" x14ac:dyDescent="0.3">
      <c r="A51" t="s">
        <v>247</v>
      </c>
      <c r="B51" t="s">
        <v>220</v>
      </c>
      <c r="C51" t="s">
        <v>0</v>
      </c>
      <c r="D51" t="s">
        <v>221</v>
      </c>
      <c r="E51" t="s">
        <v>123</v>
      </c>
      <c r="F51">
        <v>259</v>
      </c>
      <c r="G51">
        <v>281</v>
      </c>
      <c r="H51">
        <v>323</v>
      </c>
      <c r="I51">
        <v>306</v>
      </c>
      <c r="J51">
        <v>323</v>
      </c>
      <c r="K51">
        <v>372</v>
      </c>
      <c r="L51">
        <v>428</v>
      </c>
      <c r="M51">
        <v>520</v>
      </c>
      <c r="N51">
        <v>504</v>
      </c>
      <c r="O51">
        <v>500</v>
      </c>
      <c r="P51">
        <v>544</v>
      </c>
      <c r="Q51">
        <v>665</v>
      </c>
      <c r="R51">
        <v>678</v>
      </c>
      <c r="S51">
        <v>698</v>
      </c>
      <c r="T51">
        <v>787</v>
      </c>
      <c r="U51">
        <v>720</v>
      </c>
      <c r="V51">
        <v>760</v>
      </c>
      <c r="W51">
        <v>920</v>
      </c>
      <c r="X51">
        <v>979</v>
      </c>
      <c r="Y51">
        <v>941</v>
      </c>
      <c r="Z51">
        <v>815</v>
      </c>
      <c r="AA51">
        <v>1009</v>
      </c>
      <c r="AB51">
        <v>1228</v>
      </c>
      <c r="AC51">
        <v>1269</v>
      </c>
      <c r="AD51">
        <v>1353</v>
      </c>
      <c r="AE51">
        <v>1420</v>
      </c>
    </row>
    <row r="52" spans="1:31" x14ac:dyDescent="0.3">
      <c r="A52" t="s">
        <v>247</v>
      </c>
      <c r="B52" t="s">
        <v>222</v>
      </c>
      <c r="C52" t="s">
        <v>0</v>
      </c>
      <c r="D52" t="s">
        <v>223</v>
      </c>
      <c r="E52" t="s">
        <v>123</v>
      </c>
      <c r="F52">
        <v>156</v>
      </c>
      <c r="G52">
        <v>202</v>
      </c>
      <c r="H52">
        <v>187</v>
      </c>
      <c r="I52">
        <v>183</v>
      </c>
      <c r="J52">
        <v>206</v>
      </c>
      <c r="K52">
        <v>233</v>
      </c>
      <c r="L52">
        <v>268</v>
      </c>
      <c r="M52">
        <v>259</v>
      </c>
      <c r="N52">
        <v>280</v>
      </c>
      <c r="O52">
        <v>282</v>
      </c>
      <c r="P52">
        <v>267</v>
      </c>
      <c r="Q52">
        <v>298</v>
      </c>
      <c r="R52">
        <v>404</v>
      </c>
      <c r="S52">
        <v>459</v>
      </c>
      <c r="T52">
        <v>435</v>
      </c>
      <c r="U52">
        <v>403</v>
      </c>
      <c r="V52">
        <v>403</v>
      </c>
      <c r="W52">
        <v>459</v>
      </c>
      <c r="X52">
        <v>471</v>
      </c>
      <c r="Y52">
        <v>477</v>
      </c>
      <c r="Z52">
        <v>432</v>
      </c>
      <c r="AA52">
        <v>508</v>
      </c>
      <c r="AB52">
        <v>493</v>
      </c>
      <c r="AC52">
        <v>484</v>
      </c>
      <c r="AD52">
        <v>547</v>
      </c>
      <c r="AE52">
        <v>564</v>
      </c>
    </row>
    <row r="53" spans="1:31" x14ac:dyDescent="0.3">
      <c r="A53" t="s">
        <v>247</v>
      </c>
      <c r="B53" t="s">
        <v>224</v>
      </c>
      <c r="C53" t="s">
        <v>0</v>
      </c>
      <c r="D53" t="s">
        <v>225</v>
      </c>
      <c r="E53" t="s">
        <v>123</v>
      </c>
      <c r="F53">
        <v>268</v>
      </c>
      <c r="G53">
        <v>339</v>
      </c>
      <c r="H53">
        <v>399</v>
      </c>
      <c r="I53">
        <v>376</v>
      </c>
      <c r="J53">
        <v>278</v>
      </c>
      <c r="K53">
        <v>377</v>
      </c>
      <c r="L53">
        <v>371</v>
      </c>
      <c r="M53">
        <v>385</v>
      </c>
      <c r="N53">
        <v>458</v>
      </c>
      <c r="O53">
        <v>427</v>
      </c>
      <c r="P53">
        <v>416</v>
      </c>
      <c r="Q53">
        <v>479</v>
      </c>
      <c r="R53">
        <v>545</v>
      </c>
      <c r="S53">
        <v>533</v>
      </c>
      <c r="T53">
        <v>518</v>
      </c>
      <c r="U53">
        <v>510</v>
      </c>
      <c r="V53">
        <v>536</v>
      </c>
      <c r="W53">
        <v>622</v>
      </c>
      <c r="X53">
        <v>609</v>
      </c>
      <c r="Y53">
        <v>572</v>
      </c>
      <c r="Z53">
        <v>641</v>
      </c>
      <c r="AA53">
        <v>730</v>
      </c>
      <c r="AB53">
        <v>816</v>
      </c>
      <c r="AC53">
        <v>984</v>
      </c>
      <c r="AD53">
        <v>984</v>
      </c>
      <c r="AE53">
        <v>900</v>
      </c>
    </row>
    <row r="54" spans="1:31" x14ac:dyDescent="0.3">
      <c r="A54" t="s">
        <v>247</v>
      </c>
      <c r="B54" t="s">
        <v>226</v>
      </c>
      <c r="C54" t="s">
        <v>0</v>
      </c>
      <c r="D54" t="s">
        <v>227</v>
      </c>
      <c r="E54" t="s">
        <v>123</v>
      </c>
      <c r="F54">
        <v>384</v>
      </c>
      <c r="G54">
        <v>465</v>
      </c>
      <c r="H54">
        <v>557</v>
      </c>
      <c r="I54">
        <v>561</v>
      </c>
      <c r="J54">
        <v>489</v>
      </c>
      <c r="K54">
        <v>560</v>
      </c>
      <c r="L54">
        <v>559</v>
      </c>
      <c r="M54">
        <v>563</v>
      </c>
      <c r="N54">
        <v>670</v>
      </c>
      <c r="O54">
        <v>661</v>
      </c>
      <c r="P54">
        <v>639</v>
      </c>
      <c r="Q54">
        <v>681</v>
      </c>
      <c r="R54">
        <v>783</v>
      </c>
      <c r="S54">
        <v>812</v>
      </c>
      <c r="T54">
        <v>798</v>
      </c>
      <c r="U54">
        <v>795</v>
      </c>
      <c r="V54">
        <v>791</v>
      </c>
      <c r="W54">
        <v>868</v>
      </c>
      <c r="X54">
        <v>838</v>
      </c>
      <c r="Y54">
        <v>799</v>
      </c>
      <c r="Z54">
        <v>887</v>
      </c>
      <c r="AA54">
        <v>969</v>
      </c>
      <c r="AB54">
        <v>1045</v>
      </c>
      <c r="AC54">
        <v>1213</v>
      </c>
      <c r="AD54">
        <v>1230</v>
      </c>
      <c r="AE54">
        <v>1143</v>
      </c>
    </row>
    <row r="55" spans="1:31" x14ac:dyDescent="0.3">
      <c r="A55" t="s">
        <v>247</v>
      </c>
      <c r="B55" t="s">
        <v>228</v>
      </c>
      <c r="C55" t="s">
        <v>0</v>
      </c>
      <c r="D55" t="s">
        <v>229</v>
      </c>
      <c r="E55" t="s">
        <v>123</v>
      </c>
      <c r="F55">
        <v>116</v>
      </c>
      <c r="G55">
        <v>126</v>
      </c>
      <c r="H55">
        <v>158</v>
      </c>
      <c r="I55">
        <v>185</v>
      </c>
      <c r="J55">
        <v>211</v>
      </c>
      <c r="K55">
        <v>183</v>
      </c>
      <c r="L55">
        <v>188</v>
      </c>
      <c r="M55">
        <v>178</v>
      </c>
      <c r="N55">
        <v>212</v>
      </c>
      <c r="O55">
        <v>234</v>
      </c>
      <c r="P55">
        <v>223</v>
      </c>
      <c r="Q55">
        <v>202</v>
      </c>
      <c r="R55">
        <v>238</v>
      </c>
      <c r="S55">
        <v>279</v>
      </c>
      <c r="T55">
        <v>280</v>
      </c>
      <c r="U55">
        <v>285</v>
      </c>
      <c r="V55">
        <v>255</v>
      </c>
      <c r="W55">
        <v>246</v>
      </c>
      <c r="X55">
        <v>229</v>
      </c>
      <c r="Y55">
        <v>227</v>
      </c>
      <c r="Z55">
        <v>246</v>
      </c>
      <c r="AA55">
        <v>239</v>
      </c>
      <c r="AB55">
        <v>229</v>
      </c>
      <c r="AC55">
        <v>229</v>
      </c>
      <c r="AD55">
        <v>246</v>
      </c>
      <c r="AE55">
        <v>243</v>
      </c>
    </row>
    <row r="56" spans="1:31" x14ac:dyDescent="0.3">
      <c r="A56" t="s">
        <v>247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247</v>
      </c>
      <c r="B57" t="s">
        <v>232</v>
      </c>
      <c r="C57" t="s">
        <v>0</v>
      </c>
      <c r="D57" t="s">
        <v>233</v>
      </c>
      <c r="E57" t="s">
        <v>123</v>
      </c>
      <c r="F57">
        <v>18999</v>
      </c>
      <c r="G57">
        <v>20930</v>
      </c>
      <c r="H57">
        <v>23670</v>
      </c>
      <c r="I57">
        <v>26757</v>
      </c>
      <c r="J57">
        <v>28485</v>
      </c>
      <c r="K57">
        <v>31460</v>
      </c>
      <c r="L57">
        <v>33084</v>
      </c>
      <c r="M57">
        <v>32076</v>
      </c>
      <c r="N57">
        <v>33056</v>
      </c>
      <c r="O57">
        <v>35336</v>
      </c>
      <c r="P57">
        <v>37743</v>
      </c>
      <c r="Q57">
        <v>39358</v>
      </c>
      <c r="R57">
        <v>45263</v>
      </c>
      <c r="S57">
        <v>47583</v>
      </c>
      <c r="T57">
        <v>41720</v>
      </c>
      <c r="U57">
        <v>41949</v>
      </c>
      <c r="V57">
        <v>44780</v>
      </c>
      <c r="W57">
        <v>46395</v>
      </c>
      <c r="X57">
        <v>44967</v>
      </c>
      <c r="Y57">
        <v>44425</v>
      </c>
      <c r="Z57">
        <v>44877</v>
      </c>
      <c r="AA57">
        <v>49474</v>
      </c>
      <c r="AB57">
        <v>52839</v>
      </c>
      <c r="AC57">
        <v>56206</v>
      </c>
      <c r="AD57">
        <v>57149</v>
      </c>
      <c r="AE57">
        <v>57231</v>
      </c>
    </row>
    <row r="58" spans="1:31" x14ac:dyDescent="0.3">
      <c r="A58" t="s">
        <v>247</v>
      </c>
      <c r="B58" t="s">
        <v>234</v>
      </c>
      <c r="C58" t="s">
        <v>0</v>
      </c>
      <c r="D58" t="s">
        <v>235</v>
      </c>
      <c r="E58" t="s">
        <v>123</v>
      </c>
      <c r="F58">
        <v>18999</v>
      </c>
      <c r="G58">
        <v>20930</v>
      </c>
      <c r="H58">
        <v>23670</v>
      </c>
      <c r="I58">
        <v>26757</v>
      </c>
      <c r="J58">
        <v>28485</v>
      </c>
      <c r="K58">
        <v>31460</v>
      </c>
      <c r="L58">
        <v>33084</v>
      </c>
      <c r="M58">
        <v>32076</v>
      </c>
      <c r="N58">
        <v>33056</v>
      </c>
      <c r="O58">
        <v>35336</v>
      </c>
      <c r="P58">
        <v>37743</v>
      </c>
      <c r="Q58">
        <v>39358</v>
      </c>
      <c r="R58">
        <v>45263</v>
      </c>
      <c r="S58">
        <v>47583</v>
      </c>
      <c r="T58">
        <v>41720</v>
      </c>
      <c r="U58">
        <v>41949</v>
      </c>
      <c r="V58">
        <v>44780</v>
      </c>
      <c r="W58">
        <v>46395</v>
      </c>
      <c r="X58">
        <v>44967</v>
      </c>
      <c r="Y58">
        <v>44425</v>
      </c>
      <c r="Z58">
        <v>44877</v>
      </c>
      <c r="AA58">
        <v>49474</v>
      </c>
      <c r="AB58">
        <v>52839</v>
      </c>
      <c r="AC58">
        <v>56206</v>
      </c>
      <c r="AD58">
        <v>57149</v>
      </c>
      <c r="AE58">
        <v>57231</v>
      </c>
    </row>
    <row r="59" spans="1:31" x14ac:dyDescent="0.3">
      <c r="A59" t="s">
        <v>247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248</v>
      </c>
      <c r="B2" t="s">
        <v>121</v>
      </c>
      <c r="C2" t="s">
        <v>0</v>
      </c>
      <c r="D2" t="s">
        <v>122</v>
      </c>
      <c r="E2" t="s">
        <v>123</v>
      </c>
      <c r="F2">
        <v>58</v>
      </c>
      <c r="G2">
        <v>27</v>
      </c>
      <c r="H2">
        <v>28</v>
      </c>
      <c r="I2">
        <v>35</v>
      </c>
      <c r="J2">
        <v>34</v>
      </c>
      <c r="K2">
        <v>22</v>
      </c>
      <c r="L2">
        <v>9</v>
      </c>
      <c r="M2">
        <v>11</v>
      </c>
      <c r="N2">
        <v>14</v>
      </c>
      <c r="O2">
        <v>15</v>
      </c>
      <c r="P2">
        <v>14</v>
      </c>
      <c r="Q2">
        <v>13</v>
      </c>
      <c r="R2">
        <v>13</v>
      </c>
      <c r="S2">
        <v>13</v>
      </c>
      <c r="T2">
        <v>14</v>
      </c>
      <c r="U2">
        <v>16</v>
      </c>
      <c r="V2">
        <v>14</v>
      </c>
      <c r="W2">
        <v>14</v>
      </c>
      <c r="X2">
        <v>14</v>
      </c>
      <c r="Y2">
        <v>14</v>
      </c>
      <c r="Z2">
        <v>14</v>
      </c>
      <c r="AA2">
        <v>14</v>
      </c>
      <c r="AB2">
        <v>14</v>
      </c>
      <c r="AC2">
        <v>11</v>
      </c>
      <c r="AD2">
        <v>10</v>
      </c>
      <c r="AE2">
        <v>8</v>
      </c>
    </row>
    <row r="3" spans="1:31" x14ac:dyDescent="0.3">
      <c r="A3" t="s">
        <v>248</v>
      </c>
      <c r="B3" t="s">
        <v>124</v>
      </c>
      <c r="C3" t="s">
        <v>0</v>
      </c>
      <c r="D3" t="s">
        <v>125</v>
      </c>
      <c r="E3" t="s">
        <v>123</v>
      </c>
      <c r="F3">
        <v>3</v>
      </c>
      <c r="G3">
        <v>2</v>
      </c>
      <c r="H3">
        <v>1</v>
      </c>
      <c r="I3">
        <v>2</v>
      </c>
      <c r="J3">
        <v>2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0</v>
      </c>
      <c r="S3">
        <v>2</v>
      </c>
      <c r="T3">
        <v>1</v>
      </c>
      <c r="U3">
        <v>1</v>
      </c>
      <c r="V3">
        <v>1</v>
      </c>
      <c r="W3">
        <v>4</v>
      </c>
      <c r="X3">
        <v>6</v>
      </c>
      <c r="Y3">
        <v>4</v>
      </c>
      <c r="Z3">
        <v>3</v>
      </c>
      <c r="AA3">
        <v>2</v>
      </c>
      <c r="AB3">
        <v>3</v>
      </c>
      <c r="AC3">
        <v>3</v>
      </c>
      <c r="AD3">
        <v>2</v>
      </c>
      <c r="AE3">
        <v>6</v>
      </c>
    </row>
    <row r="4" spans="1:31" x14ac:dyDescent="0.3">
      <c r="A4" t="s">
        <v>248</v>
      </c>
      <c r="B4" t="s">
        <v>126</v>
      </c>
      <c r="C4" t="s">
        <v>0</v>
      </c>
      <c r="D4" t="s">
        <v>127</v>
      </c>
      <c r="E4" t="s">
        <v>123</v>
      </c>
      <c r="F4">
        <v>366</v>
      </c>
      <c r="G4">
        <v>243</v>
      </c>
      <c r="H4">
        <v>186</v>
      </c>
      <c r="I4">
        <v>249</v>
      </c>
      <c r="J4">
        <v>214</v>
      </c>
      <c r="K4">
        <v>153</v>
      </c>
      <c r="L4">
        <v>87</v>
      </c>
      <c r="M4">
        <v>78</v>
      </c>
      <c r="N4">
        <v>86</v>
      </c>
      <c r="O4">
        <v>93</v>
      </c>
      <c r="P4">
        <v>90</v>
      </c>
      <c r="Q4">
        <v>144</v>
      </c>
      <c r="R4">
        <v>186</v>
      </c>
      <c r="S4">
        <v>134</v>
      </c>
      <c r="T4">
        <v>138</v>
      </c>
      <c r="U4">
        <v>102</v>
      </c>
      <c r="V4">
        <v>98</v>
      </c>
      <c r="W4">
        <v>107</v>
      </c>
      <c r="X4">
        <v>74</v>
      </c>
      <c r="Y4">
        <v>84</v>
      </c>
      <c r="Z4">
        <v>115</v>
      </c>
      <c r="AA4">
        <v>93</v>
      </c>
      <c r="AB4">
        <v>99</v>
      </c>
      <c r="AC4">
        <v>101</v>
      </c>
      <c r="AD4">
        <v>99</v>
      </c>
      <c r="AE4">
        <v>90</v>
      </c>
    </row>
    <row r="5" spans="1:31" x14ac:dyDescent="0.3">
      <c r="A5" t="s">
        <v>248</v>
      </c>
      <c r="B5" t="s">
        <v>128</v>
      </c>
      <c r="C5" t="s">
        <v>0</v>
      </c>
      <c r="D5" t="s">
        <v>129</v>
      </c>
      <c r="E5" t="s">
        <v>123</v>
      </c>
      <c r="F5">
        <v>47</v>
      </c>
      <c r="G5">
        <v>25</v>
      </c>
      <c r="H5">
        <v>17</v>
      </c>
      <c r="I5">
        <v>30</v>
      </c>
      <c r="J5">
        <v>26</v>
      </c>
      <c r="K5">
        <v>16</v>
      </c>
      <c r="L5">
        <v>9</v>
      </c>
      <c r="M5">
        <v>12</v>
      </c>
      <c r="N5">
        <v>11</v>
      </c>
      <c r="O5">
        <v>11</v>
      </c>
      <c r="P5">
        <v>11</v>
      </c>
      <c r="Q5">
        <v>13</v>
      </c>
      <c r="R5">
        <v>16</v>
      </c>
      <c r="S5">
        <v>15</v>
      </c>
      <c r="T5">
        <v>20</v>
      </c>
      <c r="U5">
        <v>11</v>
      </c>
      <c r="V5">
        <v>11</v>
      </c>
      <c r="W5">
        <v>12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248</v>
      </c>
      <c r="B6" t="s">
        <v>130</v>
      </c>
      <c r="C6" t="s">
        <v>0</v>
      </c>
      <c r="D6" t="s">
        <v>131</v>
      </c>
      <c r="E6" t="s">
        <v>123</v>
      </c>
      <c r="F6">
        <v>8</v>
      </c>
      <c r="G6">
        <v>4</v>
      </c>
      <c r="H6">
        <v>3</v>
      </c>
      <c r="I6">
        <v>5</v>
      </c>
      <c r="J6">
        <v>3</v>
      </c>
      <c r="K6">
        <v>2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248</v>
      </c>
      <c r="B7" t="s">
        <v>132</v>
      </c>
      <c r="C7" t="s">
        <v>0</v>
      </c>
      <c r="D7" t="s">
        <v>133</v>
      </c>
      <c r="E7" t="s">
        <v>123</v>
      </c>
      <c r="F7">
        <v>104</v>
      </c>
      <c r="G7">
        <v>112</v>
      </c>
      <c r="H7">
        <v>59</v>
      </c>
      <c r="I7">
        <v>90</v>
      </c>
      <c r="J7">
        <v>68</v>
      </c>
      <c r="K7">
        <v>46</v>
      </c>
      <c r="L7">
        <v>33</v>
      </c>
      <c r="M7">
        <v>22</v>
      </c>
      <c r="N7">
        <v>31</v>
      </c>
      <c r="O7">
        <v>22</v>
      </c>
      <c r="P7">
        <v>24</v>
      </c>
      <c r="Q7">
        <v>32</v>
      </c>
      <c r="R7">
        <v>30</v>
      </c>
      <c r="S7">
        <v>31</v>
      </c>
      <c r="T7">
        <v>17</v>
      </c>
      <c r="U7">
        <v>15</v>
      </c>
      <c r="V7">
        <v>19</v>
      </c>
      <c r="W7">
        <v>15</v>
      </c>
      <c r="X7">
        <v>13</v>
      </c>
      <c r="Y7">
        <v>12</v>
      </c>
      <c r="Z7">
        <v>17</v>
      </c>
      <c r="AA7">
        <v>22</v>
      </c>
      <c r="AB7">
        <v>38</v>
      </c>
      <c r="AC7">
        <v>19</v>
      </c>
      <c r="AD7">
        <v>20</v>
      </c>
      <c r="AE7">
        <v>17</v>
      </c>
    </row>
    <row r="8" spans="1:31" x14ac:dyDescent="0.3">
      <c r="A8" t="s">
        <v>248</v>
      </c>
      <c r="B8" t="s">
        <v>134</v>
      </c>
      <c r="C8" t="s">
        <v>0</v>
      </c>
      <c r="D8" t="s">
        <v>135</v>
      </c>
      <c r="E8" t="s">
        <v>123</v>
      </c>
      <c r="F8">
        <v>5</v>
      </c>
      <c r="G8">
        <v>2</v>
      </c>
      <c r="H8">
        <v>9</v>
      </c>
      <c r="I8">
        <v>2</v>
      </c>
      <c r="J8">
        <v>5</v>
      </c>
      <c r="K8">
        <v>2</v>
      </c>
      <c r="L8">
        <v>4</v>
      </c>
      <c r="M8">
        <v>0</v>
      </c>
      <c r="N8">
        <v>2</v>
      </c>
      <c r="O8">
        <v>1</v>
      </c>
      <c r="P8">
        <v>7</v>
      </c>
      <c r="Q8">
        <v>10</v>
      </c>
      <c r="R8">
        <v>33</v>
      </c>
      <c r="S8">
        <v>9</v>
      </c>
      <c r="T8">
        <v>5</v>
      </c>
      <c r="U8">
        <v>11</v>
      </c>
      <c r="V8">
        <v>3</v>
      </c>
      <c r="W8">
        <v>7</v>
      </c>
      <c r="X8">
        <v>6</v>
      </c>
      <c r="Y8">
        <v>7</v>
      </c>
      <c r="Z8">
        <v>18</v>
      </c>
      <c r="AA8">
        <v>-5</v>
      </c>
      <c r="AB8">
        <v>-34</v>
      </c>
      <c r="AC8">
        <v>2</v>
      </c>
      <c r="AD8">
        <v>1</v>
      </c>
      <c r="AE8">
        <v>1</v>
      </c>
    </row>
    <row r="9" spans="1:31" x14ac:dyDescent="0.3">
      <c r="A9" t="s">
        <v>248</v>
      </c>
      <c r="B9" t="s">
        <v>136</v>
      </c>
      <c r="C9" t="s">
        <v>0</v>
      </c>
      <c r="D9" t="s">
        <v>137</v>
      </c>
      <c r="E9" t="s">
        <v>123</v>
      </c>
      <c r="F9">
        <v>32</v>
      </c>
      <c r="G9">
        <v>9</v>
      </c>
      <c r="H9">
        <v>13</v>
      </c>
      <c r="I9">
        <v>13</v>
      </c>
      <c r="J9">
        <v>15</v>
      </c>
      <c r="K9">
        <v>7</v>
      </c>
      <c r="L9">
        <v>5</v>
      </c>
      <c r="M9">
        <v>6</v>
      </c>
      <c r="N9">
        <v>5</v>
      </c>
      <c r="O9">
        <v>7</v>
      </c>
      <c r="P9">
        <v>6</v>
      </c>
      <c r="Q9">
        <v>7</v>
      </c>
      <c r="R9">
        <v>15</v>
      </c>
      <c r="S9">
        <v>8</v>
      </c>
      <c r="T9">
        <v>9</v>
      </c>
      <c r="U9">
        <v>4</v>
      </c>
      <c r="V9">
        <v>6</v>
      </c>
      <c r="W9">
        <v>7</v>
      </c>
      <c r="X9">
        <v>9</v>
      </c>
      <c r="Y9">
        <v>6</v>
      </c>
      <c r="Z9">
        <v>12</v>
      </c>
      <c r="AA9">
        <v>16</v>
      </c>
      <c r="AB9">
        <v>20</v>
      </c>
      <c r="AC9">
        <v>15</v>
      </c>
      <c r="AD9">
        <v>12</v>
      </c>
      <c r="AE9">
        <v>12</v>
      </c>
    </row>
    <row r="10" spans="1:31" x14ac:dyDescent="0.3">
      <c r="A10" t="s">
        <v>248</v>
      </c>
      <c r="B10" t="s">
        <v>138</v>
      </c>
      <c r="C10" t="s">
        <v>0</v>
      </c>
      <c r="D10" t="s">
        <v>139</v>
      </c>
      <c r="E10" t="s">
        <v>123</v>
      </c>
      <c r="F10">
        <v>35</v>
      </c>
      <c r="G10">
        <v>10</v>
      </c>
      <c r="H10">
        <v>14</v>
      </c>
      <c r="I10">
        <v>14</v>
      </c>
      <c r="J10">
        <v>16</v>
      </c>
      <c r="K10">
        <v>8</v>
      </c>
      <c r="L10">
        <v>5</v>
      </c>
      <c r="M10">
        <v>7</v>
      </c>
      <c r="N10">
        <v>5</v>
      </c>
      <c r="O10">
        <v>7</v>
      </c>
      <c r="P10">
        <v>6</v>
      </c>
      <c r="Q10">
        <v>8</v>
      </c>
      <c r="R10">
        <v>16</v>
      </c>
      <c r="S10">
        <v>9</v>
      </c>
      <c r="T10">
        <v>10</v>
      </c>
      <c r="U10">
        <v>5</v>
      </c>
      <c r="V10">
        <v>7</v>
      </c>
      <c r="W10">
        <v>8</v>
      </c>
      <c r="X10">
        <v>10</v>
      </c>
      <c r="Y10">
        <v>7</v>
      </c>
      <c r="Z10">
        <v>13</v>
      </c>
      <c r="AA10">
        <v>17</v>
      </c>
      <c r="AB10">
        <v>21</v>
      </c>
      <c r="AC10">
        <v>17</v>
      </c>
      <c r="AD10">
        <v>14</v>
      </c>
      <c r="AE10">
        <v>13</v>
      </c>
    </row>
    <row r="11" spans="1:31" x14ac:dyDescent="0.3">
      <c r="A11" t="s">
        <v>248</v>
      </c>
      <c r="B11" t="s">
        <v>140</v>
      </c>
      <c r="C11" t="s">
        <v>0</v>
      </c>
      <c r="D11" t="s">
        <v>141</v>
      </c>
      <c r="E11" t="s">
        <v>123</v>
      </c>
      <c r="F11">
        <v>3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2</v>
      </c>
      <c r="AE11">
        <v>1</v>
      </c>
    </row>
    <row r="12" spans="1:31" x14ac:dyDescent="0.3">
      <c r="A12" t="s">
        <v>248</v>
      </c>
      <c r="B12" t="s">
        <v>142</v>
      </c>
      <c r="C12" t="s">
        <v>0</v>
      </c>
      <c r="D12" t="s">
        <v>143</v>
      </c>
      <c r="E12" t="s">
        <v>123</v>
      </c>
      <c r="F12">
        <v>25</v>
      </c>
      <c r="G12">
        <v>12</v>
      </c>
      <c r="H12">
        <v>11</v>
      </c>
      <c r="I12">
        <v>18</v>
      </c>
      <c r="J12">
        <v>18</v>
      </c>
      <c r="K12">
        <v>15</v>
      </c>
      <c r="L12">
        <v>4</v>
      </c>
      <c r="M12">
        <v>5</v>
      </c>
      <c r="N12">
        <v>8</v>
      </c>
      <c r="O12">
        <v>7</v>
      </c>
      <c r="P12">
        <v>8</v>
      </c>
      <c r="Q12">
        <v>12</v>
      </c>
      <c r="R12">
        <v>16</v>
      </c>
      <c r="S12">
        <v>9</v>
      </c>
      <c r="T12">
        <v>15</v>
      </c>
      <c r="U12">
        <v>8</v>
      </c>
      <c r="V12">
        <v>9</v>
      </c>
      <c r="W12">
        <v>8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248</v>
      </c>
      <c r="B13" t="s">
        <v>144</v>
      </c>
      <c r="C13" t="s">
        <v>0</v>
      </c>
      <c r="D13" t="s">
        <v>145</v>
      </c>
      <c r="E13" t="s">
        <v>123</v>
      </c>
      <c r="F13">
        <v>66</v>
      </c>
      <c r="G13">
        <v>34</v>
      </c>
      <c r="H13">
        <v>36</v>
      </c>
      <c r="I13">
        <v>41</v>
      </c>
      <c r="J13">
        <v>25</v>
      </c>
      <c r="K13">
        <v>26</v>
      </c>
      <c r="L13">
        <v>12</v>
      </c>
      <c r="M13">
        <v>19</v>
      </c>
      <c r="N13">
        <v>12</v>
      </c>
      <c r="O13">
        <v>27</v>
      </c>
      <c r="P13">
        <v>14</v>
      </c>
      <c r="Q13">
        <v>16</v>
      </c>
      <c r="R13">
        <v>24</v>
      </c>
      <c r="S13">
        <v>16</v>
      </c>
      <c r="T13">
        <v>30</v>
      </c>
      <c r="U13">
        <v>19</v>
      </c>
      <c r="V13">
        <v>12</v>
      </c>
      <c r="W13">
        <v>26</v>
      </c>
      <c r="X13">
        <v>9</v>
      </c>
      <c r="Y13">
        <v>12</v>
      </c>
      <c r="Z13">
        <v>14</v>
      </c>
      <c r="AA13">
        <v>13</v>
      </c>
      <c r="AB13">
        <v>15</v>
      </c>
      <c r="AC13">
        <v>17</v>
      </c>
      <c r="AD13">
        <v>20</v>
      </c>
      <c r="AE13">
        <v>12</v>
      </c>
    </row>
    <row r="14" spans="1:31" x14ac:dyDescent="0.3">
      <c r="A14" t="s">
        <v>248</v>
      </c>
      <c r="B14" t="s">
        <v>146</v>
      </c>
      <c r="C14" t="s">
        <v>0</v>
      </c>
      <c r="D14" t="s">
        <v>147</v>
      </c>
      <c r="E14" t="s">
        <v>123</v>
      </c>
      <c r="F14">
        <v>31</v>
      </c>
      <c r="G14">
        <v>12</v>
      </c>
      <c r="H14">
        <v>12</v>
      </c>
      <c r="I14">
        <v>20</v>
      </c>
      <c r="J14">
        <v>27</v>
      </c>
      <c r="K14">
        <v>20</v>
      </c>
      <c r="L14">
        <v>10</v>
      </c>
      <c r="M14">
        <v>6</v>
      </c>
      <c r="N14">
        <v>6</v>
      </c>
      <c r="O14">
        <v>8</v>
      </c>
      <c r="P14">
        <v>9</v>
      </c>
      <c r="Q14">
        <v>36</v>
      </c>
      <c r="R14">
        <v>32</v>
      </c>
      <c r="S14">
        <v>25</v>
      </c>
      <c r="T14">
        <v>20</v>
      </c>
      <c r="U14">
        <v>23</v>
      </c>
      <c r="V14">
        <v>24</v>
      </c>
      <c r="W14">
        <v>19</v>
      </c>
      <c r="X14">
        <v>10</v>
      </c>
      <c r="Y14">
        <v>17</v>
      </c>
      <c r="Z14">
        <v>23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248</v>
      </c>
      <c r="B15" t="s">
        <v>148</v>
      </c>
      <c r="C15" t="s">
        <v>0</v>
      </c>
      <c r="D15" t="s">
        <v>149</v>
      </c>
      <c r="E15" t="s">
        <v>123</v>
      </c>
      <c r="F15">
        <v>38</v>
      </c>
      <c r="G15">
        <v>18</v>
      </c>
      <c r="H15">
        <v>17</v>
      </c>
      <c r="I15">
        <v>26</v>
      </c>
      <c r="J15">
        <v>31</v>
      </c>
      <c r="K15">
        <v>23</v>
      </c>
      <c r="L15">
        <v>12</v>
      </c>
      <c r="M15">
        <v>6</v>
      </c>
      <c r="N15">
        <v>8</v>
      </c>
      <c r="O15">
        <v>9</v>
      </c>
      <c r="P15">
        <v>11</v>
      </c>
      <c r="Q15">
        <v>39</v>
      </c>
      <c r="R15">
        <v>36</v>
      </c>
      <c r="S15">
        <v>28</v>
      </c>
      <c r="T15">
        <v>26</v>
      </c>
      <c r="U15">
        <v>26</v>
      </c>
      <c r="V15">
        <v>28</v>
      </c>
      <c r="W15">
        <v>22</v>
      </c>
      <c r="X15">
        <v>14</v>
      </c>
      <c r="Y15">
        <v>18</v>
      </c>
      <c r="Z15">
        <v>25</v>
      </c>
      <c r="AA15">
        <v>20</v>
      </c>
      <c r="AB15">
        <v>24</v>
      </c>
      <c r="AC15">
        <v>20</v>
      </c>
      <c r="AD15">
        <v>20</v>
      </c>
      <c r="AE15">
        <v>26</v>
      </c>
    </row>
    <row r="16" spans="1:31" x14ac:dyDescent="0.3">
      <c r="A16" t="s">
        <v>248</v>
      </c>
      <c r="B16" t="s">
        <v>150</v>
      </c>
      <c r="C16" t="s">
        <v>0</v>
      </c>
      <c r="D16" t="s">
        <v>151</v>
      </c>
      <c r="E16" t="s">
        <v>123</v>
      </c>
      <c r="F16">
        <v>7</v>
      </c>
      <c r="G16">
        <v>6</v>
      </c>
      <c r="H16">
        <v>5</v>
      </c>
      <c r="I16">
        <v>6</v>
      </c>
      <c r="J16">
        <v>4</v>
      </c>
      <c r="K16">
        <v>3</v>
      </c>
      <c r="L16">
        <v>2</v>
      </c>
      <c r="M16">
        <v>0</v>
      </c>
      <c r="N16">
        <v>2</v>
      </c>
      <c r="O16">
        <v>1</v>
      </c>
      <c r="P16">
        <v>2</v>
      </c>
      <c r="Q16">
        <v>3</v>
      </c>
      <c r="R16">
        <v>4</v>
      </c>
      <c r="S16">
        <v>3</v>
      </c>
      <c r="T16">
        <v>6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248</v>
      </c>
      <c r="B17" t="s">
        <v>152</v>
      </c>
      <c r="C17" t="s">
        <v>0</v>
      </c>
      <c r="D17" t="s">
        <v>153</v>
      </c>
      <c r="E17" t="s">
        <v>123</v>
      </c>
      <c r="F17">
        <v>20</v>
      </c>
      <c r="G17">
        <v>16</v>
      </c>
      <c r="H17">
        <v>10</v>
      </c>
      <c r="I17">
        <v>11</v>
      </c>
      <c r="J17">
        <v>10</v>
      </c>
      <c r="K17">
        <v>8</v>
      </c>
      <c r="L17">
        <v>3</v>
      </c>
      <c r="M17">
        <v>3</v>
      </c>
      <c r="N17">
        <v>6</v>
      </c>
      <c r="O17">
        <v>4</v>
      </c>
      <c r="P17">
        <v>4</v>
      </c>
      <c r="Q17">
        <v>7</v>
      </c>
      <c r="R17">
        <v>7</v>
      </c>
      <c r="S17">
        <v>9</v>
      </c>
      <c r="T17">
        <v>10</v>
      </c>
      <c r="U17">
        <v>3</v>
      </c>
      <c r="V17">
        <v>5</v>
      </c>
      <c r="W17">
        <v>5</v>
      </c>
      <c r="X17">
        <v>3</v>
      </c>
      <c r="Y17">
        <v>5</v>
      </c>
      <c r="Z17">
        <v>4</v>
      </c>
      <c r="AA17">
        <v>4</v>
      </c>
      <c r="AB17">
        <v>3</v>
      </c>
      <c r="AC17">
        <v>6</v>
      </c>
      <c r="AD17">
        <v>7</v>
      </c>
      <c r="AE17">
        <v>4</v>
      </c>
    </row>
    <row r="18" spans="1:31" x14ac:dyDescent="0.3">
      <c r="A18" t="s">
        <v>248</v>
      </c>
      <c r="B18" t="s">
        <v>154</v>
      </c>
      <c r="C18" t="s">
        <v>0</v>
      </c>
      <c r="D18" t="s">
        <v>155</v>
      </c>
      <c r="E18" t="s">
        <v>123</v>
      </c>
      <c r="F18">
        <v>6</v>
      </c>
      <c r="G18">
        <v>3</v>
      </c>
      <c r="H18">
        <v>3</v>
      </c>
      <c r="I18">
        <v>3</v>
      </c>
      <c r="J18">
        <v>3</v>
      </c>
      <c r="K18">
        <v>2</v>
      </c>
      <c r="L18">
        <v>2</v>
      </c>
      <c r="M18">
        <v>1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3</v>
      </c>
      <c r="U18">
        <v>2</v>
      </c>
      <c r="V18">
        <v>2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248</v>
      </c>
      <c r="B19" t="s">
        <v>156</v>
      </c>
      <c r="C19" t="s">
        <v>0</v>
      </c>
      <c r="D19" t="s">
        <v>157</v>
      </c>
      <c r="E19" t="s">
        <v>123</v>
      </c>
      <c r="F19">
        <v>12</v>
      </c>
      <c r="G19">
        <v>7</v>
      </c>
      <c r="H19">
        <v>7</v>
      </c>
      <c r="I19">
        <v>9</v>
      </c>
      <c r="J19">
        <v>9</v>
      </c>
      <c r="K19">
        <v>5</v>
      </c>
      <c r="L19">
        <v>2</v>
      </c>
      <c r="M19">
        <v>2</v>
      </c>
      <c r="N19">
        <v>1</v>
      </c>
      <c r="O19">
        <v>2</v>
      </c>
      <c r="P19">
        <v>2</v>
      </c>
      <c r="Q19">
        <v>3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248</v>
      </c>
      <c r="B20" t="s">
        <v>158</v>
      </c>
      <c r="C20" t="s">
        <v>0</v>
      </c>
      <c r="D20" t="s">
        <v>159</v>
      </c>
      <c r="E20" t="s">
        <v>123</v>
      </c>
      <c r="F20">
        <v>58</v>
      </c>
      <c r="G20">
        <v>30</v>
      </c>
      <c r="H20">
        <v>34</v>
      </c>
      <c r="I20">
        <v>26</v>
      </c>
      <c r="J20">
        <v>25</v>
      </c>
      <c r="K20">
        <v>25</v>
      </c>
      <c r="L20">
        <v>10</v>
      </c>
      <c r="M20">
        <v>16</v>
      </c>
      <c r="N20">
        <v>14</v>
      </c>
      <c r="O20">
        <v>22</v>
      </c>
      <c r="P20">
        <v>21</v>
      </c>
      <c r="Q20">
        <v>15</v>
      </c>
      <c r="R20">
        <v>17</v>
      </c>
      <c r="S20">
        <v>11</v>
      </c>
      <c r="T20">
        <v>22</v>
      </c>
      <c r="U20">
        <v>12</v>
      </c>
      <c r="V20">
        <v>11</v>
      </c>
      <c r="W20">
        <v>9</v>
      </c>
      <c r="X20">
        <v>9</v>
      </c>
      <c r="Y20">
        <v>8</v>
      </c>
      <c r="Z20">
        <v>10</v>
      </c>
      <c r="AA20">
        <v>12</v>
      </c>
      <c r="AB20">
        <v>11</v>
      </c>
      <c r="AC20">
        <v>10</v>
      </c>
      <c r="AD20">
        <v>8</v>
      </c>
      <c r="AE20">
        <v>9</v>
      </c>
    </row>
    <row r="21" spans="1:31" x14ac:dyDescent="0.3">
      <c r="A21" t="s">
        <v>248</v>
      </c>
      <c r="B21" t="s">
        <v>160</v>
      </c>
      <c r="C21" t="s">
        <v>0</v>
      </c>
      <c r="D21" t="s">
        <v>161</v>
      </c>
      <c r="E21" t="s">
        <v>123</v>
      </c>
      <c r="F21">
        <v>62</v>
      </c>
      <c r="G21">
        <v>32</v>
      </c>
      <c r="H21">
        <v>35</v>
      </c>
      <c r="I21">
        <v>27</v>
      </c>
      <c r="J21">
        <v>26</v>
      </c>
      <c r="K21">
        <v>27</v>
      </c>
      <c r="L21">
        <v>10</v>
      </c>
      <c r="M21">
        <v>16</v>
      </c>
      <c r="N21">
        <v>15</v>
      </c>
      <c r="O21">
        <v>22</v>
      </c>
      <c r="P21">
        <v>23</v>
      </c>
      <c r="Q21">
        <v>16</v>
      </c>
      <c r="R21">
        <v>19</v>
      </c>
      <c r="S21">
        <v>12</v>
      </c>
      <c r="T21">
        <v>24</v>
      </c>
      <c r="U21">
        <v>14</v>
      </c>
      <c r="V21">
        <v>14</v>
      </c>
      <c r="W21">
        <v>13</v>
      </c>
      <c r="X21">
        <v>13</v>
      </c>
      <c r="Y21">
        <v>11</v>
      </c>
      <c r="Z21">
        <v>14</v>
      </c>
      <c r="AA21">
        <v>17</v>
      </c>
      <c r="AB21">
        <v>16</v>
      </c>
      <c r="AC21">
        <v>15</v>
      </c>
      <c r="AD21">
        <v>13</v>
      </c>
      <c r="AE21">
        <v>13</v>
      </c>
    </row>
    <row r="22" spans="1:31" x14ac:dyDescent="0.3">
      <c r="A22" t="s">
        <v>248</v>
      </c>
      <c r="B22" t="s">
        <v>162</v>
      </c>
      <c r="C22" t="s">
        <v>0</v>
      </c>
      <c r="D22" t="s">
        <v>163</v>
      </c>
      <c r="E22" t="s">
        <v>123</v>
      </c>
      <c r="F22">
        <v>4</v>
      </c>
      <c r="G22">
        <v>2</v>
      </c>
      <c r="H22">
        <v>1</v>
      </c>
      <c r="I22">
        <v>1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2</v>
      </c>
      <c r="Q22">
        <v>1</v>
      </c>
      <c r="R22">
        <v>2</v>
      </c>
      <c r="S22">
        <v>1</v>
      </c>
      <c r="T22">
        <v>2</v>
      </c>
      <c r="U22">
        <v>2</v>
      </c>
      <c r="V22">
        <v>3</v>
      </c>
      <c r="W22">
        <v>4</v>
      </c>
      <c r="X22">
        <v>4</v>
      </c>
      <c r="Y22">
        <v>3</v>
      </c>
      <c r="Z22">
        <v>4</v>
      </c>
      <c r="AA22">
        <v>5</v>
      </c>
      <c r="AB22">
        <v>5</v>
      </c>
      <c r="AC22">
        <v>5</v>
      </c>
      <c r="AD22">
        <v>5</v>
      </c>
      <c r="AE22">
        <v>4</v>
      </c>
    </row>
    <row r="23" spans="1:31" x14ac:dyDescent="0.3">
      <c r="A23" t="s">
        <v>248</v>
      </c>
      <c r="B23" t="s">
        <v>164</v>
      </c>
      <c r="C23" t="s">
        <v>0</v>
      </c>
      <c r="D23" t="s">
        <v>165</v>
      </c>
      <c r="E23" t="s">
        <v>123</v>
      </c>
      <c r="F23">
        <v>26</v>
      </c>
      <c r="G23">
        <v>14</v>
      </c>
      <c r="H23">
        <v>15</v>
      </c>
      <c r="I23">
        <v>16</v>
      </c>
      <c r="J23">
        <v>24</v>
      </c>
      <c r="K23">
        <v>20</v>
      </c>
      <c r="L23">
        <v>8</v>
      </c>
      <c r="M23">
        <v>9</v>
      </c>
      <c r="N23">
        <v>13</v>
      </c>
      <c r="O23">
        <v>15</v>
      </c>
      <c r="P23">
        <v>17</v>
      </c>
      <c r="Q23">
        <v>12</v>
      </c>
      <c r="R23">
        <v>13</v>
      </c>
      <c r="S23">
        <v>15</v>
      </c>
      <c r="T23">
        <v>10</v>
      </c>
      <c r="U23">
        <v>7</v>
      </c>
      <c r="V23">
        <v>8</v>
      </c>
      <c r="W23">
        <v>7</v>
      </c>
      <c r="X23">
        <v>7</v>
      </c>
      <c r="Y23">
        <v>7</v>
      </c>
      <c r="Z23">
        <v>4</v>
      </c>
      <c r="AA23">
        <v>4</v>
      </c>
      <c r="AB23">
        <v>3</v>
      </c>
      <c r="AC23">
        <v>4</v>
      </c>
      <c r="AD23">
        <v>2</v>
      </c>
      <c r="AE23">
        <v>2</v>
      </c>
    </row>
    <row r="24" spans="1:31" x14ac:dyDescent="0.3">
      <c r="A24" t="s">
        <v>248</v>
      </c>
      <c r="B24" t="s">
        <v>166</v>
      </c>
      <c r="C24" t="s">
        <v>0</v>
      </c>
      <c r="D24" t="s">
        <v>167</v>
      </c>
      <c r="E24" t="s">
        <v>123</v>
      </c>
      <c r="F24">
        <v>80</v>
      </c>
      <c r="G24">
        <v>49</v>
      </c>
      <c r="H24">
        <v>60</v>
      </c>
      <c r="I24">
        <v>76</v>
      </c>
      <c r="J24">
        <v>76</v>
      </c>
      <c r="K24">
        <v>50</v>
      </c>
      <c r="L24">
        <v>22</v>
      </c>
      <c r="M24">
        <v>24</v>
      </c>
      <c r="N24">
        <v>30</v>
      </c>
      <c r="O24">
        <v>29</v>
      </c>
      <c r="P24">
        <v>29</v>
      </c>
      <c r="Q24">
        <v>25</v>
      </c>
      <c r="R24">
        <v>34</v>
      </c>
      <c r="S24">
        <v>52</v>
      </c>
      <c r="T24">
        <v>36</v>
      </c>
      <c r="U24">
        <v>35</v>
      </c>
      <c r="V24">
        <v>33</v>
      </c>
      <c r="W24">
        <v>41</v>
      </c>
      <c r="X24">
        <v>32</v>
      </c>
      <c r="Y24">
        <v>39</v>
      </c>
      <c r="Z24">
        <v>35</v>
      </c>
      <c r="AA24">
        <v>43</v>
      </c>
      <c r="AB24">
        <v>30</v>
      </c>
      <c r="AC24">
        <v>32</v>
      </c>
      <c r="AD24">
        <v>21</v>
      </c>
      <c r="AE24">
        <v>14</v>
      </c>
    </row>
    <row r="25" spans="1:31" x14ac:dyDescent="0.3">
      <c r="A25" t="s">
        <v>248</v>
      </c>
      <c r="B25" t="s">
        <v>168</v>
      </c>
      <c r="C25" t="s">
        <v>0</v>
      </c>
      <c r="D25" t="s">
        <v>169</v>
      </c>
      <c r="E25" t="s">
        <v>123</v>
      </c>
      <c r="F25">
        <v>9</v>
      </c>
      <c r="G25">
        <v>5</v>
      </c>
      <c r="H25">
        <v>7</v>
      </c>
      <c r="I25">
        <v>10</v>
      </c>
      <c r="J25">
        <v>9</v>
      </c>
      <c r="K25">
        <v>5</v>
      </c>
      <c r="L25">
        <v>2</v>
      </c>
      <c r="M25">
        <v>2</v>
      </c>
      <c r="N25">
        <v>2</v>
      </c>
      <c r="O25">
        <v>3</v>
      </c>
      <c r="P25">
        <v>2</v>
      </c>
      <c r="Q25">
        <v>3</v>
      </c>
      <c r="R25">
        <v>2</v>
      </c>
      <c r="S25">
        <v>9</v>
      </c>
      <c r="T25">
        <v>4</v>
      </c>
      <c r="U25">
        <v>5</v>
      </c>
      <c r="V25">
        <v>5</v>
      </c>
      <c r="W25">
        <v>3</v>
      </c>
      <c r="X25">
        <v>3</v>
      </c>
      <c r="Y25">
        <v>5</v>
      </c>
      <c r="Z25">
        <v>4</v>
      </c>
      <c r="AA25">
        <v>7</v>
      </c>
      <c r="AB25">
        <v>4</v>
      </c>
      <c r="AC25">
        <v>4</v>
      </c>
      <c r="AD25">
        <v>3</v>
      </c>
      <c r="AE25">
        <v>2</v>
      </c>
    </row>
    <row r="26" spans="1:31" x14ac:dyDescent="0.3">
      <c r="A26" t="s">
        <v>248</v>
      </c>
      <c r="B26" t="s">
        <v>170</v>
      </c>
      <c r="C26" t="s">
        <v>0</v>
      </c>
      <c r="D26" t="s">
        <v>171</v>
      </c>
      <c r="E26" t="s">
        <v>123</v>
      </c>
      <c r="F26">
        <v>44</v>
      </c>
      <c r="G26">
        <v>29</v>
      </c>
      <c r="H26">
        <v>38</v>
      </c>
      <c r="I26">
        <v>43</v>
      </c>
      <c r="J26">
        <v>41</v>
      </c>
      <c r="K26">
        <v>29</v>
      </c>
      <c r="L26">
        <v>13</v>
      </c>
      <c r="M26">
        <v>14</v>
      </c>
      <c r="N26">
        <v>16</v>
      </c>
      <c r="O26">
        <v>16</v>
      </c>
      <c r="P26">
        <v>17</v>
      </c>
      <c r="Q26">
        <v>12</v>
      </c>
      <c r="R26">
        <v>20</v>
      </c>
      <c r="S26">
        <v>28</v>
      </c>
      <c r="T26">
        <v>19</v>
      </c>
      <c r="U26">
        <v>18</v>
      </c>
      <c r="V26">
        <v>17</v>
      </c>
      <c r="W26">
        <v>21</v>
      </c>
      <c r="X26">
        <v>15</v>
      </c>
      <c r="Y26">
        <v>20</v>
      </c>
      <c r="Z26">
        <v>17</v>
      </c>
      <c r="AA26">
        <v>21</v>
      </c>
      <c r="AB26">
        <v>15</v>
      </c>
      <c r="AC26">
        <v>17</v>
      </c>
      <c r="AD26">
        <v>10</v>
      </c>
      <c r="AE26">
        <v>6</v>
      </c>
    </row>
    <row r="27" spans="1:31" x14ac:dyDescent="0.3">
      <c r="A27" t="s">
        <v>248</v>
      </c>
      <c r="B27" t="s">
        <v>172</v>
      </c>
      <c r="C27" t="s">
        <v>0</v>
      </c>
      <c r="D27" t="s">
        <v>173</v>
      </c>
      <c r="E27" t="s">
        <v>123</v>
      </c>
      <c r="F27">
        <v>27</v>
      </c>
      <c r="G27">
        <v>15</v>
      </c>
      <c r="H27">
        <v>15</v>
      </c>
      <c r="I27">
        <v>23</v>
      </c>
      <c r="J27">
        <v>26</v>
      </c>
      <c r="K27">
        <v>16</v>
      </c>
      <c r="L27">
        <v>7</v>
      </c>
      <c r="M27">
        <v>8</v>
      </c>
      <c r="N27">
        <v>12</v>
      </c>
      <c r="O27">
        <v>10</v>
      </c>
      <c r="P27">
        <v>10</v>
      </c>
      <c r="Q27">
        <v>10</v>
      </c>
      <c r="R27">
        <v>12</v>
      </c>
      <c r="S27">
        <v>15</v>
      </c>
      <c r="T27">
        <v>13</v>
      </c>
      <c r="U27">
        <v>12</v>
      </c>
      <c r="V27">
        <v>11</v>
      </c>
      <c r="W27">
        <v>17</v>
      </c>
      <c r="X27">
        <v>14</v>
      </c>
      <c r="Y27">
        <v>14</v>
      </c>
      <c r="Z27">
        <v>14</v>
      </c>
      <c r="AA27">
        <v>15</v>
      </c>
      <c r="AB27">
        <v>11</v>
      </c>
      <c r="AC27">
        <v>11</v>
      </c>
      <c r="AD27">
        <v>8</v>
      </c>
      <c r="AE27">
        <v>6</v>
      </c>
    </row>
    <row r="28" spans="1:31" x14ac:dyDescent="0.3">
      <c r="A28" t="s">
        <v>248</v>
      </c>
      <c r="B28" t="s">
        <v>174</v>
      </c>
      <c r="C28" t="s">
        <v>0</v>
      </c>
      <c r="D28" t="s">
        <v>175</v>
      </c>
      <c r="E28" t="s">
        <v>123</v>
      </c>
      <c r="F28">
        <v>59</v>
      </c>
      <c r="G28">
        <v>19</v>
      </c>
      <c r="H28">
        <v>13</v>
      </c>
      <c r="I28">
        <v>22</v>
      </c>
      <c r="J28">
        <v>21</v>
      </c>
      <c r="K28">
        <v>12</v>
      </c>
      <c r="L28">
        <v>2</v>
      </c>
      <c r="M28">
        <v>2</v>
      </c>
      <c r="N28">
        <v>6</v>
      </c>
      <c r="O28">
        <v>6</v>
      </c>
      <c r="P28">
        <v>7</v>
      </c>
      <c r="Q28">
        <v>9</v>
      </c>
      <c r="R28">
        <v>11</v>
      </c>
      <c r="S28">
        <v>13</v>
      </c>
      <c r="T28">
        <v>14</v>
      </c>
      <c r="U28">
        <v>10</v>
      </c>
      <c r="V28">
        <v>11</v>
      </c>
      <c r="W28">
        <v>10</v>
      </c>
      <c r="X28">
        <v>11</v>
      </c>
      <c r="Y28">
        <v>12</v>
      </c>
      <c r="Z28">
        <v>11</v>
      </c>
      <c r="AA28">
        <v>16</v>
      </c>
      <c r="AB28">
        <v>11</v>
      </c>
      <c r="AC28">
        <v>10</v>
      </c>
      <c r="AD28">
        <v>12</v>
      </c>
      <c r="AE28">
        <v>7</v>
      </c>
    </row>
    <row r="29" spans="1:31" x14ac:dyDescent="0.3">
      <c r="A29" t="s">
        <v>248</v>
      </c>
      <c r="B29" t="s">
        <v>176</v>
      </c>
      <c r="C29" t="s">
        <v>0</v>
      </c>
      <c r="D29" t="s">
        <v>177</v>
      </c>
      <c r="E29" t="s">
        <v>123</v>
      </c>
      <c r="F29">
        <v>8</v>
      </c>
      <c r="G29">
        <v>2</v>
      </c>
      <c r="H29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5</v>
      </c>
      <c r="AB29">
        <v>4</v>
      </c>
      <c r="AC29">
        <v>5</v>
      </c>
      <c r="AD29">
        <v>4</v>
      </c>
      <c r="AE29">
        <v>2</v>
      </c>
    </row>
    <row r="30" spans="1:31" x14ac:dyDescent="0.3">
      <c r="A30" t="s">
        <v>248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248</v>
      </c>
      <c r="B31" t="s">
        <v>180</v>
      </c>
      <c r="C31" t="s">
        <v>0</v>
      </c>
      <c r="D31" t="s">
        <v>181</v>
      </c>
      <c r="E31" t="s">
        <v>123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248</v>
      </c>
      <c r="B32" t="s">
        <v>182</v>
      </c>
      <c r="C32" t="s">
        <v>0</v>
      </c>
      <c r="D32" t="s">
        <v>183</v>
      </c>
      <c r="E32" t="s">
        <v>123</v>
      </c>
      <c r="F32">
        <v>34</v>
      </c>
      <c r="G32">
        <v>13</v>
      </c>
      <c r="H32">
        <v>9</v>
      </c>
      <c r="I32">
        <v>12</v>
      </c>
      <c r="J32">
        <v>10</v>
      </c>
      <c r="K32">
        <v>7</v>
      </c>
      <c r="L32">
        <v>1</v>
      </c>
      <c r="M32">
        <v>1</v>
      </c>
      <c r="N32">
        <v>5</v>
      </c>
      <c r="O32">
        <v>6</v>
      </c>
      <c r="P32">
        <v>5</v>
      </c>
      <c r="Q32">
        <v>6</v>
      </c>
      <c r="R32">
        <v>8</v>
      </c>
      <c r="S32">
        <v>8</v>
      </c>
      <c r="T32">
        <v>10</v>
      </c>
      <c r="U32">
        <v>5</v>
      </c>
      <c r="V32">
        <v>4</v>
      </c>
      <c r="W32">
        <v>5</v>
      </c>
      <c r="X32">
        <v>6</v>
      </c>
      <c r="Y32">
        <v>7</v>
      </c>
      <c r="Z32">
        <v>7</v>
      </c>
      <c r="AA32">
        <v>7</v>
      </c>
      <c r="AB32">
        <v>3</v>
      </c>
      <c r="AC32">
        <v>2</v>
      </c>
      <c r="AD32">
        <v>6</v>
      </c>
      <c r="AE32">
        <v>2</v>
      </c>
    </row>
    <row r="33" spans="1:31" x14ac:dyDescent="0.3">
      <c r="A33" t="s">
        <v>248</v>
      </c>
      <c r="B33" t="s">
        <v>184</v>
      </c>
      <c r="C33" t="s">
        <v>0</v>
      </c>
      <c r="D33" t="s">
        <v>185</v>
      </c>
      <c r="E33" t="s">
        <v>123</v>
      </c>
      <c r="F33">
        <v>16</v>
      </c>
      <c r="G33">
        <v>4</v>
      </c>
      <c r="H33">
        <v>4</v>
      </c>
      <c r="I33">
        <v>7</v>
      </c>
      <c r="J33">
        <v>9</v>
      </c>
      <c r="K33">
        <v>5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248</v>
      </c>
      <c r="B34" t="s">
        <v>186</v>
      </c>
      <c r="C34" t="s">
        <v>0</v>
      </c>
      <c r="D34" t="s">
        <v>187</v>
      </c>
      <c r="E34" t="s">
        <v>123</v>
      </c>
      <c r="F34">
        <v>9</v>
      </c>
      <c r="G34">
        <v>7</v>
      </c>
      <c r="H34">
        <v>7</v>
      </c>
      <c r="I34">
        <v>12</v>
      </c>
      <c r="J34">
        <v>10</v>
      </c>
      <c r="K34">
        <v>8</v>
      </c>
      <c r="L34">
        <v>2</v>
      </c>
      <c r="M34">
        <v>3</v>
      </c>
      <c r="N34">
        <v>4</v>
      </c>
      <c r="O34">
        <v>4</v>
      </c>
      <c r="P34">
        <v>4</v>
      </c>
      <c r="Q34">
        <v>3</v>
      </c>
      <c r="R34">
        <v>5</v>
      </c>
      <c r="S34">
        <v>9</v>
      </c>
      <c r="T34">
        <v>8</v>
      </c>
      <c r="U34">
        <v>4</v>
      </c>
      <c r="V34">
        <v>5</v>
      </c>
      <c r="W34">
        <v>5</v>
      </c>
      <c r="X34">
        <v>3</v>
      </c>
      <c r="Y34">
        <v>3</v>
      </c>
      <c r="Z34">
        <v>3</v>
      </c>
      <c r="AA34">
        <v>4</v>
      </c>
      <c r="AB34">
        <v>2</v>
      </c>
      <c r="AC34">
        <v>4</v>
      </c>
      <c r="AD34">
        <v>3</v>
      </c>
      <c r="AE34">
        <v>2</v>
      </c>
    </row>
    <row r="35" spans="1:31" x14ac:dyDescent="0.3">
      <c r="A35" t="s">
        <v>248</v>
      </c>
      <c r="B35" t="s">
        <v>188</v>
      </c>
      <c r="C35" t="s">
        <v>0</v>
      </c>
      <c r="D35" t="s">
        <v>189</v>
      </c>
      <c r="E35" t="s">
        <v>123</v>
      </c>
      <c r="F35">
        <v>157</v>
      </c>
      <c r="G35">
        <v>119</v>
      </c>
      <c r="H35">
        <v>117</v>
      </c>
      <c r="I35">
        <v>157</v>
      </c>
      <c r="J35">
        <v>161</v>
      </c>
      <c r="K35">
        <v>138</v>
      </c>
      <c r="L35">
        <v>64</v>
      </c>
      <c r="M35">
        <v>73</v>
      </c>
      <c r="N35">
        <v>63</v>
      </c>
      <c r="O35">
        <v>87</v>
      </c>
      <c r="P35">
        <v>133</v>
      </c>
      <c r="Q35">
        <v>113</v>
      </c>
      <c r="R35">
        <v>105</v>
      </c>
      <c r="S35">
        <v>129</v>
      </c>
      <c r="T35">
        <v>87</v>
      </c>
      <c r="U35">
        <v>144</v>
      </c>
      <c r="V35">
        <v>151</v>
      </c>
      <c r="W35">
        <v>159</v>
      </c>
      <c r="X35">
        <v>151</v>
      </c>
      <c r="Y35">
        <v>222</v>
      </c>
      <c r="Z35">
        <v>358</v>
      </c>
      <c r="AA35">
        <v>341</v>
      </c>
      <c r="AB35">
        <v>374</v>
      </c>
      <c r="AC35">
        <v>700</v>
      </c>
      <c r="AD35">
        <v>258</v>
      </c>
      <c r="AE35">
        <v>216</v>
      </c>
    </row>
    <row r="36" spans="1:31" x14ac:dyDescent="0.3">
      <c r="A36" t="s">
        <v>248</v>
      </c>
      <c r="B36" t="s">
        <v>190</v>
      </c>
      <c r="C36" t="s">
        <v>0</v>
      </c>
      <c r="D36" t="s">
        <v>191</v>
      </c>
      <c r="E36" t="s">
        <v>123</v>
      </c>
      <c r="F36">
        <v>15</v>
      </c>
      <c r="G36">
        <v>11</v>
      </c>
      <c r="H36">
        <v>14</v>
      </c>
      <c r="I36">
        <v>13</v>
      </c>
      <c r="J36">
        <v>8</v>
      </c>
      <c r="K36">
        <v>10</v>
      </c>
      <c r="L36">
        <v>3</v>
      </c>
      <c r="M36">
        <v>3</v>
      </c>
      <c r="N36">
        <v>4</v>
      </c>
      <c r="O36">
        <v>3</v>
      </c>
      <c r="P36">
        <v>5</v>
      </c>
      <c r="Q36">
        <v>4</v>
      </c>
      <c r="R36">
        <v>4</v>
      </c>
      <c r="S36">
        <v>16</v>
      </c>
      <c r="T36">
        <v>6</v>
      </c>
      <c r="U36">
        <v>7</v>
      </c>
      <c r="V36">
        <v>4</v>
      </c>
      <c r="W36">
        <v>6</v>
      </c>
      <c r="X36">
        <v>4</v>
      </c>
      <c r="Y36">
        <v>3</v>
      </c>
      <c r="Z36">
        <v>31</v>
      </c>
      <c r="AA36">
        <v>34</v>
      </c>
      <c r="AB36">
        <v>37</v>
      </c>
      <c r="AC36">
        <v>22</v>
      </c>
      <c r="AD36">
        <v>10</v>
      </c>
      <c r="AE36">
        <v>5</v>
      </c>
    </row>
    <row r="37" spans="1:31" x14ac:dyDescent="0.3">
      <c r="A37" t="s">
        <v>248</v>
      </c>
      <c r="B37" t="s">
        <v>192</v>
      </c>
      <c r="C37" t="s">
        <v>0</v>
      </c>
      <c r="D37" t="s">
        <v>193</v>
      </c>
      <c r="E37" t="s">
        <v>123</v>
      </c>
      <c r="F37">
        <v>112</v>
      </c>
      <c r="G37">
        <v>82</v>
      </c>
      <c r="H37">
        <v>76</v>
      </c>
      <c r="I37">
        <v>106</v>
      </c>
      <c r="J37">
        <v>104</v>
      </c>
      <c r="K37">
        <v>82</v>
      </c>
      <c r="L37">
        <v>37</v>
      </c>
      <c r="M37">
        <v>43</v>
      </c>
      <c r="N37">
        <v>30</v>
      </c>
      <c r="O37">
        <v>48</v>
      </c>
      <c r="P37">
        <v>94</v>
      </c>
      <c r="Q37">
        <v>41</v>
      </c>
      <c r="R37">
        <v>34</v>
      </c>
      <c r="S37">
        <v>44</v>
      </c>
      <c r="T37">
        <v>27</v>
      </c>
      <c r="U37">
        <v>42</v>
      </c>
      <c r="V37">
        <v>55</v>
      </c>
      <c r="W37">
        <v>55</v>
      </c>
      <c r="X37">
        <v>56</v>
      </c>
      <c r="Y37">
        <v>55</v>
      </c>
      <c r="Z37">
        <v>56</v>
      </c>
      <c r="AA37">
        <v>62</v>
      </c>
      <c r="AB37">
        <v>47</v>
      </c>
      <c r="AC37">
        <v>57</v>
      </c>
      <c r="AD37">
        <v>45</v>
      </c>
      <c r="AE37">
        <v>56</v>
      </c>
    </row>
    <row r="38" spans="1:31" x14ac:dyDescent="0.3">
      <c r="A38" t="s">
        <v>248</v>
      </c>
      <c r="B38" t="s">
        <v>194</v>
      </c>
      <c r="C38" t="s">
        <v>0</v>
      </c>
      <c r="D38" t="s">
        <v>195</v>
      </c>
      <c r="E38" t="s">
        <v>123</v>
      </c>
      <c r="F38">
        <v>30</v>
      </c>
      <c r="G38">
        <v>26</v>
      </c>
      <c r="H38">
        <v>27</v>
      </c>
      <c r="I38">
        <v>38</v>
      </c>
      <c r="J38">
        <v>49</v>
      </c>
      <c r="K38">
        <v>46</v>
      </c>
      <c r="L38">
        <v>24</v>
      </c>
      <c r="M38">
        <v>27</v>
      </c>
      <c r="N38">
        <v>29</v>
      </c>
      <c r="O38">
        <v>36</v>
      </c>
      <c r="P38">
        <v>34</v>
      </c>
      <c r="Q38">
        <v>68</v>
      </c>
      <c r="R38">
        <v>67</v>
      </c>
      <c r="S38">
        <v>69</v>
      </c>
      <c r="T38">
        <v>54</v>
      </c>
      <c r="U38">
        <v>95</v>
      </c>
      <c r="V38">
        <v>92</v>
      </c>
      <c r="W38">
        <v>98</v>
      </c>
      <c r="X38">
        <v>91</v>
      </c>
      <c r="Y38">
        <v>164</v>
      </c>
      <c r="Z38">
        <v>271</v>
      </c>
      <c r="AA38">
        <v>245</v>
      </c>
      <c r="AB38">
        <v>290</v>
      </c>
      <c r="AC38">
        <v>621</v>
      </c>
      <c r="AD38">
        <v>203</v>
      </c>
      <c r="AE38">
        <v>155</v>
      </c>
    </row>
    <row r="39" spans="1:31" x14ac:dyDescent="0.3">
      <c r="A39" t="s">
        <v>248</v>
      </c>
      <c r="B39" t="s">
        <v>196</v>
      </c>
      <c r="C39" t="s">
        <v>0</v>
      </c>
      <c r="D39" t="s">
        <v>197</v>
      </c>
      <c r="E39" t="s">
        <v>123</v>
      </c>
      <c r="F39">
        <v>12</v>
      </c>
      <c r="G39">
        <v>29</v>
      </c>
      <c r="H39">
        <v>30</v>
      </c>
      <c r="I39">
        <v>29</v>
      </c>
      <c r="J39">
        <v>25</v>
      </c>
      <c r="K39">
        <v>55</v>
      </c>
      <c r="L39">
        <v>38</v>
      </c>
      <c r="M39">
        <v>46</v>
      </c>
      <c r="N39">
        <v>55</v>
      </c>
      <c r="O39">
        <v>23</v>
      </c>
      <c r="P39">
        <v>45</v>
      </c>
      <c r="Q39">
        <v>3</v>
      </c>
      <c r="R39">
        <v>41</v>
      </c>
      <c r="S39">
        <v>50</v>
      </c>
      <c r="T39">
        <v>33</v>
      </c>
      <c r="U39">
        <v>34</v>
      </c>
      <c r="V39">
        <v>35</v>
      </c>
      <c r="W39">
        <v>34</v>
      </c>
      <c r="X39">
        <v>45</v>
      </c>
      <c r="Y39">
        <v>44</v>
      </c>
      <c r="Z39">
        <v>42</v>
      </c>
      <c r="AA39">
        <v>41</v>
      </c>
      <c r="AB39">
        <v>109</v>
      </c>
      <c r="AC39">
        <v>62</v>
      </c>
      <c r="AD39">
        <v>100</v>
      </c>
      <c r="AE39">
        <v>78</v>
      </c>
    </row>
    <row r="40" spans="1:31" x14ac:dyDescent="0.3">
      <c r="A40" t="s">
        <v>248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1</v>
      </c>
      <c r="H40">
        <v>2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2</v>
      </c>
      <c r="Q40">
        <v>2</v>
      </c>
      <c r="R40">
        <v>2</v>
      </c>
      <c r="S40">
        <v>12</v>
      </c>
      <c r="T40">
        <v>5</v>
      </c>
      <c r="U40">
        <v>3</v>
      </c>
      <c r="V40">
        <v>3</v>
      </c>
      <c r="W40">
        <v>4</v>
      </c>
      <c r="X40">
        <v>6</v>
      </c>
      <c r="Y40">
        <v>5</v>
      </c>
      <c r="Z40">
        <v>5</v>
      </c>
      <c r="AA40">
        <v>6</v>
      </c>
      <c r="AB40">
        <v>6</v>
      </c>
      <c r="AC40">
        <v>6</v>
      </c>
      <c r="AD40">
        <v>5</v>
      </c>
      <c r="AE40">
        <v>5</v>
      </c>
    </row>
    <row r="41" spans="1:31" x14ac:dyDescent="0.3">
      <c r="A41" t="s">
        <v>248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248</v>
      </c>
      <c r="B42" t="s">
        <v>202</v>
      </c>
      <c r="C42" t="s">
        <v>0</v>
      </c>
      <c r="D42" t="s">
        <v>203</v>
      </c>
      <c r="E42" t="s">
        <v>123</v>
      </c>
      <c r="F42">
        <v>45</v>
      </c>
      <c r="G42">
        <v>28</v>
      </c>
      <c r="H42">
        <v>14</v>
      </c>
      <c r="I42">
        <v>22</v>
      </c>
      <c r="J42">
        <v>20</v>
      </c>
      <c r="K42">
        <v>12</v>
      </c>
      <c r="L42">
        <v>1</v>
      </c>
      <c r="M42">
        <v>4</v>
      </c>
      <c r="N42">
        <v>9</v>
      </c>
      <c r="O42">
        <v>9</v>
      </c>
      <c r="P42">
        <v>10</v>
      </c>
      <c r="Q42">
        <v>16</v>
      </c>
      <c r="R42">
        <v>20</v>
      </c>
      <c r="S42">
        <v>52</v>
      </c>
      <c r="T42">
        <v>12</v>
      </c>
      <c r="U42">
        <v>18</v>
      </c>
      <c r="V42">
        <v>100</v>
      </c>
      <c r="W42">
        <v>43</v>
      </c>
      <c r="X42">
        <v>34</v>
      </c>
      <c r="Y42">
        <v>33</v>
      </c>
      <c r="Z42">
        <v>30</v>
      </c>
      <c r="AA42">
        <v>41</v>
      </c>
      <c r="AB42">
        <v>41</v>
      </c>
      <c r="AC42">
        <v>30</v>
      </c>
      <c r="AD42">
        <v>30</v>
      </c>
      <c r="AE42">
        <v>20</v>
      </c>
    </row>
    <row r="43" spans="1:31" x14ac:dyDescent="0.3">
      <c r="A43" t="s">
        <v>248</v>
      </c>
      <c r="B43" t="s">
        <v>204</v>
      </c>
      <c r="C43" t="s">
        <v>0</v>
      </c>
      <c r="D43" t="s">
        <v>205</v>
      </c>
      <c r="E43" t="s">
        <v>123</v>
      </c>
      <c r="F43">
        <v>53</v>
      </c>
      <c r="G43">
        <v>30</v>
      </c>
      <c r="H43">
        <v>15</v>
      </c>
      <c r="I43">
        <v>25</v>
      </c>
      <c r="J43">
        <v>22</v>
      </c>
      <c r="K43">
        <v>14</v>
      </c>
      <c r="L43">
        <v>1</v>
      </c>
      <c r="M43">
        <v>4</v>
      </c>
      <c r="N43">
        <v>9</v>
      </c>
      <c r="O43">
        <v>9</v>
      </c>
      <c r="P43">
        <v>11</v>
      </c>
      <c r="Q43">
        <v>20</v>
      </c>
      <c r="R43">
        <v>102</v>
      </c>
      <c r="S43">
        <v>175</v>
      </c>
      <c r="T43">
        <v>79</v>
      </c>
      <c r="U43">
        <v>69</v>
      </c>
      <c r="V43">
        <v>167</v>
      </c>
      <c r="W43">
        <v>112</v>
      </c>
      <c r="X43">
        <v>91</v>
      </c>
      <c r="Y43">
        <v>81</v>
      </c>
      <c r="Z43">
        <v>55</v>
      </c>
      <c r="AA43">
        <v>74</v>
      </c>
      <c r="AB43">
        <v>66</v>
      </c>
      <c r="AC43">
        <v>58</v>
      </c>
      <c r="AD43">
        <v>56</v>
      </c>
      <c r="AE43">
        <v>40</v>
      </c>
    </row>
    <row r="44" spans="1:31" x14ac:dyDescent="0.3">
      <c r="A44" t="s">
        <v>248</v>
      </c>
      <c r="B44" t="s">
        <v>206</v>
      </c>
      <c r="C44" t="s">
        <v>0</v>
      </c>
      <c r="D44" t="s">
        <v>207</v>
      </c>
      <c r="E44" t="s">
        <v>123</v>
      </c>
      <c r="F44">
        <v>905</v>
      </c>
      <c r="G44">
        <v>584</v>
      </c>
      <c r="H44">
        <v>522</v>
      </c>
      <c r="I44">
        <v>668</v>
      </c>
      <c r="J44">
        <v>623</v>
      </c>
      <c r="K44">
        <v>512</v>
      </c>
      <c r="L44">
        <v>251</v>
      </c>
      <c r="M44">
        <v>273</v>
      </c>
      <c r="N44">
        <v>308</v>
      </c>
      <c r="O44">
        <v>314</v>
      </c>
      <c r="P44">
        <v>381</v>
      </c>
      <c r="Q44">
        <v>371</v>
      </c>
      <c r="R44">
        <v>540</v>
      </c>
      <c r="S44">
        <v>614</v>
      </c>
      <c r="T44">
        <v>453</v>
      </c>
      <c r="U44">
        <v>445</v>
      </c>
      <c r="V44">
        <v>546</v>
      </c>
      <c r="W44">
        <v>518</v>
      </c>
      <c r="X44">
        <v>460</v>
      </c>
      <c r="Y44">
        <v>531</v>
      </c>
      <c r="Z44">
        <v>665</v>
      </c>
      <c r="AA44">
        <v>662</v>
      </c>
      <c r="AB44">
        <v>738</v>
      </c>
      <c r="AC44">
        <v>1008</v>
      </c>
      <c r="AD44">
        <v>583</v>
      </c>
      <c r="AE44">
        <v>480</v>
      </c>
    </row>
    <row r="45" spans="1:31" x14ac:dyDescent="0.3">
      <c r="A45" t="s">
        <v>248</v>
      </c>
      <c r="B45" t="s">
        <v>208</v>
      </c>
      <c r="C45" t="s">
        <v>0</v>
      </c>
      <c r="D45" t="s">
        <v>209</v>
      </c>
      <c r="E45" t="s">
        <v>123</v>
      </c>
      <c r="F45">
        <v>847</v>
      </c>
      <c r="G45">
        <v>557</v>
      </c>
      <c r="H45">
        <v>494</v>
      </c>
      <c r="I45">
        <v>633</v>
      </c>
      <c r="J45">
        <v>589</v>
      </c>
      <c r="K45">
        <v>490</v>
      </c>
      <c r="L45">
        <v>242</v>
      </c>
      <c r="M45">
        <v>262</v>
      </c>
      <c r="N45">
        <v>294</v>
      </c>
      <c r="O45">
        <v>299</v>
      </c>
      <c r="P45">
        <v>367</v>
      </c>
      <c r="Q45">
        <v>358</v>
      </c>
      <c r="R45">
        <v>527</v>
      </c>
      <c r="S45">
        <v>601</v>
      </c>
      <c r="T45">
        <v>439</v>
      </c>
      <c r="U45">
        <v>429</v>
      </c>
      <c r="V45">
        <v>532</v>
      </c>
      <c r="W45">
        <v>504</v>
      </c>
      <c r="X45">
        <v>446</v>
      </c>
      <c r="Y45">
        <v>517</v>
      </c>
      <c r="Z45">
        <v>651</v>
      </c>
      <c r="AA45">
        <v>648</v>
      </c>
      <c r="AB45">
        <v>724</v>
      </c>
      <c r="AC45">
        <v>997</v>
      </c>
      <c r="AD45">
        <v>573</v>
      </c>
      <c r="AE45">
        <v>472</v>
      </c>
    </row>
    <row r="46" spans="1:31" x14ac:dyDescent="0.3">
      <c r="A46" t="s">
        <v>248</v>
      </c>
      <c r="B46" t="s">
        <v>210</v>
      </c>
      <c r="C46" t="s">
        <v>0</v>
      </c>
      <c r="D46" t="s">
        <v>211</v>
      </c>
      <c r="E46" t="s">
        <v>123</v>
      </c>
      <c r="F46">
        <v>8</v>
      </c>
      <c r="G46">
        <v>2</v>
      </c>
      <c r="H46">
        <v>1</v>
      </c>
      <c r="I46">
        <v>3</v>
      </c>
      <c r="J46">
        <v>2</v>
      </c>
      <c r="K46">
        <v>2</v>
      </c>
      <c r="L46">
        <v>0</v>
      </c>
      <c r="M46">
        <v>0</v>
      </c>
      <c r="N46">
        <v>0</v>
      </c>
      <c r="O46">
        <v>0</v>
      </c>
      <c r="P46">
        <v>1</v>
      </c>
      <c r="Q46">
        <v>4</v>
      </c>
      <c r="R46">
        <v>82</v>
      </c>
      <c r="S46">
        <v>123</v>
      </c>
      <c r="T46">
        <v>67</v>
      </c>
      <c r="U46">
        <v>51</v>
      </c>
      <c r="V46">
        <v>67</v>
      </c>
      <c r="W46">
        <v>69</v>
      </c>
      <c r="X46">
        <v>57</v>
      </c>
      <c r="Y46">
        <v>48</v>
      </c>
      <c r="Z46">
        <v>25</v>
      </c>
      <c r="AA46">
        <v>33</v>
      </c>
      <c r="AB46">
        <v>25</v>
      </c>
      <c r="AC46">
        <v>28</v>
      </c>
      <c r="AD46">
        <v>26</v>
      </c>
      <c r="AE46">
        <v>20</v>
      </c>
    </row>
    <row r="47" spans="1:31" x14ac:dyDescent="0.3">
      <c r="A47" t="s">
        <v>248</v>
      </c>
      <c r="B47" t="s">
        <v>212</v>
      </c>
      <c r="C47" t="s">
        <v>0</v>
      </c>
      <c r="D47" t="s">
        <v>213</v>
      </c>
      <c r="E47" t="s">
        <v>123</v>
      </c>
      <c r="F47">
        <v>100</v>
      </c>
      <c r="G47">
        <v>72</v>
      </c>
      <c r="H47">
        <v>55</v>
      </c>
      <c r="I47">
        <v>77</v>
      </c>
      <c r="J47">
        <v>94</v>
      </c>
      <c r="K47">
        <v>66</v>
      </c>
      <c r="L47">
        <v>33</v>
      </c>
      <c r="M47">
        <v>35</v>
      </c>
      <c r="N47">
        <v>41</v>
      </c>
      <c r="O47">
        <v>45</v>
      </c>
      <c r="P47">
        <v>38</v>
      </c>
      <c r="Q47">
        <v>16</v>
      </c>
      <c r="R47">
        <v>19</v>
      </c>
      <c r="S47">
        <v>24</v>
      </c>
      <c r="T47">
        <v>28</v>
      </c>
      <c r="U47">
        <v>37</v>
      </c>
      <c r="V47">
        <v>28</v>
      </c>
      <c r="W47">
        <v>33</v>
      </c>
      <c r="X47">
        <v>24</v>
      </c>
      <c r="Y47">
        <v>27</v>
      </c>
      <c r="Z47">
        <v>33</v>
      </c>
      <c r="AA47">
        <v>36</v>
      </c>
      <c r="AB47">
        <v>35</v>
      </c>
      <c r="AC47">
        <v>43</v>
      </c>
      <c r="AD47">
        <v>54</v>
      </c>
      <c r="AE47">
        <v>86</v>
      </c>
    </row>
    <row r="48" spans="1:31" x14ac:dyDescent="0.3">
      <c r="A48" t="s">
        <v>248</v>
      </c>
      <c r="B48" t="s">
        <v>214</v>
      </c>
      <c r="C48" t="s">
        <v>0</v>
      </c>
      <c r="D48" t="s">
        <v>215</v>
      </c>
      <c r="E48" t="s">
        <v>123</v>
      </c>
      <c r="F48">
        <v>146</v>
      </c>
      <c r="G48">
        <v>99</v>
      </c>
      <c r="H48">
        <v>80</v>
      </c>
      <c r="I48">
        <v>109</v>
      </c>
      <c r="J48">
        <v>128</v>
      </c>
      <c r="K48">
        <v>93</v>
      </c>
      <c r="L48">
        <v>47</v>
      </c>
      <c r="M48">
        <v>53</v>
      </c>
      <c r="N48">
        <v>60</v>
      </c>
      <c r="O48">
        <v>64</v>
      </c>
      <c r="P48">
        <v>57</v>
      </c>
      <c r="Q48">
        <v>48</v>
      </c>
      <c r="R48">
        <v>61</v>
      </c>
      <c r="S48">
        <v>70</v>
      </c>
      <c r="T48">
        <v>82</v>
      </c>
      <c r="U48">
        <v>69</v>
      </c>
      <c r="V48">
        <v>63</v>
      </c>
      <c r="W48">
        <v>72</v>
      </c>
      <c r="X48">
        <v>69</v>
      </c>
      <c r="Y48">
        <v>63</v>
      </c>
      <c r="Z48">
        <v>71</v>
      </c>
      <c r="AA48">
        <v>73</v>
      </c>
      <c r="AB48">
        <v>73</v>
      </c>
      <c r="AC48">
        <v>86</v>
      </c>
      <c r="AD48">
        <v>91</v>
      </c>
      <c r="AE48">
        <v>122</v>
      </c>
    </row>
    <row r="49" spans="1:31" x14ac:dyDescent="0.3">
      <c r="A49" t="s">
        <v>248</v>
      </c>
      <c r="B49" t="s">
        <v>216</v>
      </c>
      <c r="C49" t="s">
        <v>0</v>
      </c>
      <c r="D49" t="s">
        <v>217</v>
      </c>
      <c r="E49" t="s">
        <v>123</v>
      </c>
      <c r="F49">
        <v>24</v>
      </c>
      <c r="G49">
        <v>13</v>
      </c>
      <c r="H49">
        <v>11</v>
      </c>
      <c r="I49">
        <v>13</v>
      </c>
      <c r="J49">
        <v>15</v>
      </c>
      <c r="K49">
        <v>11</v>
      </c>
      <c r="L49">
        <v>6</v>
      </c>
      <c r="M49">
        <v>8</v>
      </c>
      <c r="N49">
        <v>8</v>
      </c>
      <c r="O49">
        <v>7</v>
      </c>
      <c r="P49">
        <v>6</v>
      </c>
      <c r="Q49">
        <v>23</v>
      </c>
      <c r="R49">
        <v>27</v>
      </c>
      <c r="S49">
        <v>30</v>
      </c>
      <c r="T49">
        <v>37</v>
      </c>
      <c r="U49">
        <v>17</v>
      </c>
      <c r="V49">
        <v>20</v>
      </c>
      <c r="W49">
        <v>25</v>
      </c>
      <c r="X49">
        <v>28</v>
      </c>
      <c r="Y49">
        <v>24</v>
      </c>
      <c r="Z49">
        <v>23</v>
      </c>
      <c r="AA49">
        <v>22</v>
      </c>
      <c r="AB49">
        <v>22</v>
      </c>
      <c r="AC49">
        <v>22</v>
      </c>
      <c r="AD49">
        <v>19</v>
      </c>
      <c r="AE49">
        <v>19</v>
      </c>
    </row>
    <row r="50" spans="1:31" x14ac:dyDescent="0.3">
      <c r="A50" t="s">
        <v>248</v>
      </c>
      <c r="B50" t="s">
        <v>218</v>
      </c>
      <c r="C50" t="s">
        <v>0</v>
      </c>
      <c r="D50" t="s">
        <v>219</v>
      </c>
      <c r="E50" t="s">
        <v>123</v>
      </c>
      <c r="F50">
        <v>22</v>
      </c>
      <c r="G50">
        <v>14</v>
      </c>
      <c r="H50">
        <v>14</v>
      </c>
      <c r="I50">
        <v>19</v>
      </c>
      <c r="J50">
        <v>19</v>
      </c>
      <c r="K50">
        <v>16</v>
      </c>
      <c r="L50">
        <v>8</v>
      </c>
      <c r="M50">
        <v>10</v>
      </c>
      <c r="N50">
        <v>11</v>
      </c>
      <c r="O50">
        <v>12</v>
      </c>
      <c r="P50">
        <v>13</v>
      </c>
      <c r="Q50">
        <v>9</v>
      </c>
      <c r="R50">
        <v>15</v>
      </c>
      <c r="S50">
        <v>16</v>
      </c>
      <c r="T50">
        <v>17</v>
      </c>
      <c r="U50">
        <v>15</v>
      </c>
      <c r="V50">
        <v>15</v>
      </c>
      <c r="W50">
        <v>14</v>
      </c>
      <c r="X50">
        <v>17</v>
      </c>
      <c r="Y50">
        <v>12</v>
      </c>
      <c r="Z50">
        <v>15</v>
      </c>
      <c r="AA50">
        <v>15</v>
      </c>
      <c r="AB50">
        <v>16</v>
      </c>
      <c r="AC50">
        <v>21</v>
      </c>
      <c r="AD50">
        <v>18</v>
      </c>
      <c r="AE50">
        <v>17</v>
      </c>
    </row>
    <row r="51" spans="1:31" x14ac:dyDescent="0.3">
      <c r="A51" t="s">
        <v>248</v>
      </c>
      <c r="B51" t="s">
        <v>220</v>
      </c>
      <c r="C51" t="s">
        <v>0</v>
      </c>
      <c r="D51" t="s">
        <v>221</v>
      </c>
      <c r="E51" t="s">
        <v>123</v>
      </c>
      <c r="F51">
        <v>21</v>
      </c>
      <c r="G51">
        <v>13</v>
      </c>
      <c r="H51">
        <v>13</v>
      </c>
      <c r="I51">
        <v>18</v>
      </c>
      <c r="J51">
        <v>18</v>
      </c>
      <c r="K51">
        <v>15</v>
      </c>
      <c r="L51">
        <v>8</v>
      </c>
      <c r="M51">
        <v>10</v>
      </c>
      <c r="N51">
        <v>11</v>
      </c>
      <c r="O51">
        <v>11</v>
      </c>
      <c r="P51">
        <v>12</v>
      </c>
      <c r="Q51">
        <v>8</v>
      </c>
      <c r="R51">
        <v>12</v>
      </c>
      <c r="S51">
        <v>13</v>
      </c>
      <c r="T51">
        <v>14</v>
      </c>
      <c r="U51">
        <v>11</v>
      </c>
      <c r="V51">
        <v>12</v>
      </c>
      <c r="W51">
        <v>11</v>
      </c>
      <c r="X51">
        <v>14</v>
      </c>
      <c r="Y51">
        <v>11</v>
      </c>
      <c r="Z51">
        <v>13</v>
      </c>
      <c r="AA51">
        <v>12</v>
      </c>
      <c r="AB51">
        <v>13</v>
      </c>
      <c r="AC51">
        <v>14</v>
      </c>
      <c r="AD51">
        <v>13</v>
      </c>
      <c r="AE51">
        <v>10</v>
      </c>
    </row>
    <row r="52" spans="1:31" x14ac:dyDescent="0.3">
      <c r="A52" t="s">
        <v>248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1</v>
      </c>
      <c r="R52">
        <v>3</v>
      </c>
      <c r="S52">
        <v>3</v>
      </c>
      <c r="T52">
        <v>3</v>
      </c>
      <c r="U52">
        <v>4</v>
      </c>
      <c r="V52">
        <v>3</v>
      </c>
      <c r="W52">
        <v>3</v>
      </c>
      <c r="X52">
        <v>3</v>
      </c>
      <c r="Y52">
        <v>1</v>
      </c>
      <c r="Z52">
        <v>2</v>
      </c>
      <c r="AA52">
        <v>3</v>
      </c>
      <c r="AB52">
        <v>3</v>
      </c>
      <c r="AC52">
        <v>7</v>
      </c>
      <c r="AD52">
        <v>5</v>
      </c>
      <c r="AE52">
        <v>7</v>
      </c>
    </row>
    <row r="53" spans="1:31" x14ac:dyDescent="0.3">
      <c r="A53" t="s">
        <v>248</v>
      </c>
      <c r="B53" t="s">
        <v>224</v>
      </c>
      <c r="C53" t="s">
        <v>0</v>
      </c>
      <c r="D53" t="s">
        <v>225</v>
      </c>
      <c r="E53" t="s">
        <v>123</v>
      </c>
      <c r="F53">
        <v>12</v>
      </c>
      <c r="G53">
        <v>10</v>
      </c>
      <c r="H53">
        <v>12</v>
      </c>
      <c r="I53">
        <v>12</v>
      </c>
      <c r="J53">
        <v>2</v>
      </c>
      <c r="K53">
        <v>8</v>
      </c>
      <c r="L53">
        <v>4</v>
      </c>
      <c r="M53">
        <v>4</v>
      </c>
      <c r="N53">
        <v>6</v>
      </c>
      <c r="O53">
        <v>7</v>
      </c>
      <c r="P53">
        <v>4</v>
      </c>
      <c r="Q53">
        <v>6</v>
      </c>
      <c r="R53">
        <v>6</v>
      </c>
      <c r="S53">
        <v>5</v>
      </c>
      <c r="T53">
        <v>5</v>
      </c>
      <c r="U53">
        <v>3</v>
      </c>
      <c r="V53">
        <v>6</v>
      </c>
      <c r="W53">
        <v>6</v>
      </c>
      <c r="X53">
        <v>8</v>
      </c>
      <c r="Y53">
        <v>6</v>
      </c>
      <c r="Z53">
        <v>6</v>
      </c>
      <c r="AA53">
        <v>8</v>
      </c>
      <c r="AB53">
        <v>7</v>
      </c>
      <c r="AC53">
        <v>6</v>
      </c>
      <c r="AD53">
        <v>5</v>
      </c>
      <c r="AE53">
        <v>4</v>
      </c>
    </row>
    <row r="54" spans="1:31" x14ac:dyDescent="0.3">
      <c r="A54" t="s">
        <v>248</v>
      </c>
      <c r="B54" t="s">
        <v>226</v>
      </c>
      <c r="C54" t="s">
        <v>0</v>
      </c>
      <c r="D54" t="s">
        <v>227</v>
      </c>
      <c r="E54" t="s">
        <v>123</v>
      </c>
      <c r="F54">
        <v>20</v>
      </c>
      <c r="G54">
        <v>13</v>
      </c>
      <c r="H54">
        <v>15</v>
      </c>
      <c r="I54">
        <v>18</v>
      </c>
      <c r="J54">
        <v>8</v>
      </c>
      <c r="K54">
        <v>12</v>
      </c>
      <c r="L54">
        <v>7</v>
      </c>
      <c r="M54">
        <v>6</v>
      </c>
      <c r="N54">
        <v>11</v>
      </c>
      <c r="O54">
        <v>10</v>
      </c>
      <c r="P54">
        <v>7</v>
      </c>
      <c r="Q54">
        <v>12</v>
      </c>
      <c r="R54">
        <v>11</v>
      </c>
      <c r="S54">
        <v>10</v>
      </c>
      <c r="T54">
        <v>9</v>
      </c>
      <c r="U54">
        <v>9</v>
      </c>
      <c r="V54">
        <v>9</v>
      </c>
      <c r="W54">
        <v>12</v>
      </c>
      <c r="X54">
        <v>13</v>
      </c>
      <c r="Y54">
        <v>10</v>
      </c>
      <c r="Z54">
        <v>11</v>
      </c>
      <c r="AA54">
        <v>13</v>
      </c>
      <c r="AB54">
        <v>11</v>
      </c>
      <c r="AC54">
        <v>8</v>
      </c>
      <c r="AD54">
        <v>7</v>
      </c>
      <c r="AE54">
        <v>4</v>
      </c>
    </row>
    <row r="55" spans="1:31" x14ac:dyDescent="0.3">
      <c r="A55" t="s">
        <v>248</v>
      </c>
      <c r="B55" t="s">
        <v>228</v>
      </c>
      <c r="C55" t="s">
        <v>0</v>
      </c>
      <c r="D55" t="s">
        <v>229</v>
      </c>
      <c r="E55" t="s">
        <v>123</v>
      </c>
      <c r="F55">
        <v>8</v>
      </c>
      <c r="G55">
        <v>3</v>
      </c>
      <c r="H55">
        <v>3</v>
      </c>
      <c r="I55">
        <v>6</v>
      </c>
      <c r="J55">
        <v>6</v>
      </c>
      <c r="K55">
        <v>4</v>
      </c>
      <c r="L55">
        <v>3</v>
      </c>
      <c r="M55">
        <v>2</v>
      </c>
      <c r="N55">
        <v>5</v>
      </c>
      <c r="O55">
        <v>3</v>
      </c>
      <c r="P55">
        <v>3</v>
      </c>
      <c r="Q55">
        <v>6</v>
      </c>
      <c r="R55">
        <v>5</v>
      </c>
      <c r="S55">
        <v>5</v>
      </c>
      <c r="T55">
        <v>4</v>
      </c>
      <c r="U55">
        <v>6</v>
      </c>
      <c r="V55">
        <v>3</v>
      </c>
      <c r="W55">
        <v>6</v>
      </c>
      <c r="X55">
        <v>5</v>
      </c>
      <c r="Y55">
        <v>4</v>
      </c>
      <c r="Z55">
        <v>5</v>
      </c>
      <c r="AA55">
        <v>5</v>
      </c>
      <c r="AB55">
        <v>4</v>
      </c>
      <c r="AC55">
        <v>2</v>
      </c>
      <c r="AD55">
        <v>2</v>
      </c>
      <c r="AE55">
        <v>0</v>
      </c>
    </row>
    <row r="56" spans="1:31" x14ac:dyDescent="0.3">
      <c r="A56" t="s">
        <v>248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248</v>
      </c>
      <c r="B57" t="s">
        <v>232</v>
      </c>
      <c r="C57" t="s">
        <v>0</v>
      </c>
      <c r="D57" t="s">
        <v>233</v>
      </c>
      <c r="E57" t="s">
        <v>123</v>
      </c>
      <c r="F57">
        <v>1053</v>
      </c>
      <c r="G57">
        <v>684</v>
      </c>
      <c r="H57">
        <v>604</v>
      </c>
      <c r="I57">
        <v>778</v>
      </c>
      <c r="J57">
        <v>752</v>
      </c>
      <c r="K57">
        <v>606</v>
      </c>
      <c r="L57">
        <v>298</v>
      </c>
      <c r="M57">
        <v>326</v>
      </c>
      <c r="N57">
        <v>369</v>
      </c>
      <c r="O57">
        <v>379</v>
      </c>
      <c r="P57">
        <v>440</v>
      </c>
      <c r="Q57">
        <v>421</v>
      </c>
      <c r="R57">
        <v>603</v>
      </c>
      <c r="S57">
        <v>696</v>
      </c>
      <c r="T57">
        <v>540</v>
      </c>
      <c r="U57">
        <v>517</v>
      </c>
      <c r="V57">
        <v>612</v>
      </c>
      <c r="W57">
        <v>594</v>
      </c>
      <c r="X57">
        <v>535</v>
      </c>
      <c r="Y57">
        <v>599</v>
      </c>
      <c r="Z57">
        <v>741</v>
      </c>
      <c r="AA57">
        <v>741</v>
      </c>
      <c r="AB57">
        <v>817</v>
      </c>
      <c r="AC57">
        <v>1100</v>
      </c>
      <c r="AD57">
        <v>679</v>
      </c>
      <c r="AE57">
        <v>607</v>
      </c>
    </row>
    <row r="58" spans="1:31" x14ac:dyDescent="0.3">
      <c r="A58" t="s">
        <v>248</v>
      </c>
      <c r="B58" t="s">
        <v>234</v>
      </c>
      <c r="C58" t="s">
        <v>0</v>
      </c>
      <c r="D58" t="s">
        <v>235</v>
      </c>
      <c r="E58" t="s">
        <v>123</v>
      </c>
      <c r="F58">
        <v>1053</v>
      </c>
      <c r="G58">
        <v>684</v>
      </c>
      <c r="H58">
        <v>604</v>
      </c>
      <c r="I58">
        <v>778</v>
      </c>
      <c r="J58">
        <v>752</v>
      </c>
      <c r="K58">
        <v>606</v>
      </c>
      <c r="L58">
        <v>298</v>
      </c>
      <c r="M58">
        <v>326</v>
      </c>
      <c r="N58">
        <v>369</v>
      </c>
      <c r="O58">
        <v>379</v>
      </c>
      <c r="P58">
        <v>440</v>
      </c>
      <c r="Q58">
        <v>421</v>
      </c>
      <c r="R58">
        <v>603</v>
      </c>
      <c r="S58">
        <v>696</v>
      </c>
      <c r="T58">
        <v>540</v>
      </c>
      <c r="U58">
        <v>517</v>
      </c>
      <c r="V58">
        <v>612</v>
      </c>
      <c r="W58">
        <v>594</v>
      </c>
      <c r="X58">
        <v>535</v>
      </c>
      <c r="Y58">
        <v>599</v>
      </c>
      <c r="Z58">
        <v>741</v>
      </c>
      <c r="AA58">
        <v>741</v>
      </c>
      <c r="AB58">
        <v>817</v>
      </c>
      <c r="AC58">
        <v>1100</v>
      </c>
      <c r="AD58">
        <v>679</v>
      </c>
      <c r="AE58">
        <v>607</v>
      </c>
    </row>
    <row r="59" spans="1:31" x14ac:dyDescent="0.3">
      <c r="A59" t="s">
        <v>248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249</v>
      </c>
      <c r="B2" t="s">
        <v>121</v>
      </c>
      <c r="C2" t="s">
        <v>0</v>
      </c>
      <c r="D2" t="s">
        <v>122</v>
      </c>
      <c r="E2" t="s">
        <v>123</v>
      </c>
      <c r="F2">
        <v>11</v>
      </c>
      <c r="G2">
        <v>8</v>
      </c>
      <c r="H2">
        <v>12</v>
      </c>
      <c r="I2">
        <v>14</v>
      </c>
      <c r="J2">
        <v>16</v>
      </c>
      <c r="K2">
        <v>11</v>
      </c>
      <c r="L2">
        <v>11</v>
      </c>
      <c r="M2">
        <v>7</v>
      </c>
      <c r="N2">
        <v>14</v>
      </c>
      <c r="O2">
        <v>20</v>
      </c>
      <c r="P2">
        <v>15</v>
      </c>
      <c r="Q2">
        <v>10</v>
      </c>
      <c r="R2">
        <v>11</v>
      </c>
      <c r="S2">
        <v>8</v>
      </c>
      <c r="T2">
        <v>10</v>
      </c>
      <c r="U2">
        <v>8</v>
      </c>
      <c r="V2">
        <v>7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</row>
    <row r="3" spans="1:31" x14ac:dyDescent="0.3">
      <c r="A3" t="s">
        <v>249</v>
      </c>
      <c r="B3" t="s">
        <v>124</v>
      </c>
      <c r="C3" t="s">
        <v>0</v>
      </c>
      <c r="D3" t="s">
        <v>125</v>
      </c>
      <c r="E3" t="s">
        <v>123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2</v>
      </c>
      <c r="P3">
        <v>2</v>
      </c>
      <c r="Q3">
        <v>9</v>
      </c>
      <c r="R3">
        <v>13</v>
      </c>
      <c r="S3">
        <v>12</v>
      </c>
      <c r="T3">
        <v>8</v>
      </c>
      <c r="U3">
        <v>6</v>
      </c>
      <c r="V3">
        <v>9</v>
      </c>
      <c r="W3">
        <v>12</v>
      </c>
      <c r="X3">
        <v>11</v>
      </c>
      <c r="Y3">
        <v>11</v>
      </c>
      <c r="Z3">
        <v>7</v>
      </c>
      <c r="AA3">
        <v>5</v>
      </c>
      <c r="AB3">
        <v>5</v>
      </c>
      <c r="AC3">
        <v>4</v>
      </c>
      <c r="AD3">
        <v>3</v>
      </c>
      <c r="AE3">
        <v>7</v>
      </c>
    </row>
    <row r="4" spans="1:31" x14ac:dyDescent="0.3">
      <c r="A4" t="s">
        <v>249</v>
      </c>
      <c r="B4" t="s">
        <v>126</v>
      </c>
      <c r="C4" t="s">
        <v>0</v>
      </c>
      <c r="D4" t="s">
        <v>127</v>
      </c>
      <c r="E4" t="s">
        <v>123</v>
      </c>
      <c r="F4">
        <v>101</v>
      </c>
      <c r="G4">
        <v>100</v>
      </c>
      <c r="H4">
        <v>118</v>
      </c>
      <c r="I4">
        <v>142</v>
      </c>
      <c r="J4">
        <v>146</v>
      </c>
      <c r="K4">
        <v>114</v>
      </c>
      <c r="L4">
        <v>152</v>
      </c>
      <c r="M4">
        <v>71</v>
      </c>
      <c r="N4">
        <v>128</v>
      </c>
      <c r="O4">
        <v>149</v>
      </c>
      <c r="P4">
        <v>128</v>
      </c>
      <c r="Q4">
        <v>245</v>
      </c>
      <c r="R4">
        <v>352</v>
      </c>
      <c r="S4">
        <v>285</v>
      </c>
      <c r="T4">
        <v>210</v>
      </c>
      <c r="U4">
        <v>183</v>
      </c>
      <c r="V4">
        <v>162</v>
      </c>
      <c r="W4">
        <v>180</v>
      </c>
      <c r="X4">
        <v>135</v>
      </c>
      <c r="Y4">
        <v>137</v>
      </c>
      <c r="Z4">
        <v>191</v>
      </c>
      <c r="AA4">
        <v>184</v>
      </c>
      <c r="AB4">
        <v>232</v>
      </c>
      <c r="AC4">
        <v>178</v>
      </c>
      <c r="AD4">
        <v>168</v>
      </c>
      <c r="AE4">
        <v>151</v>
      </c>
    </row>
    <row r="5" spans="1:31" x14ac:dyDescent="0.3">
      <c r="A5" t="s">
        <v>249</v>
      </c>
      <c r="B5" t="s">
        <v>128</v>
      </c>
      <c r="C5" t="s">
        <v>0</v>
      </c>
      <c r="D5" t="s">
        <v>129</v>
      </c>
      <c r="E5" t="s">
        <v>123</v>
      </c>
      <c r="F5">
        <v>8</v>
      </c>
      <c r="G5">
        <v>7</v>
      </c>
      <c r="H5">
        <v>8</v>
      </c>
      <c r="I5">
        <v>10</v>
      </c>
      <c r="J5">
        <v>10</v>
      </c>
      <c r="K5">
        <v>7</v>
      </c>
      <c r="L5">
        <v>9</v>
      </c>
      <c r="M5">
        <v>6</v>
      </c>
      <c r="N5">
        <v>12</v>
      </c>
      <c r="O5">
        <v>12</v>
      </c>
      <c r="P5">
        <v>9</v>
      </c>
      <c r="Q5">
        <v>19</v>
      </c>
      <c r="R5">
        <v>24</v>
      </c>
      <c r="S5">
        <v>23</v>
      </c>
      <c r="T5">
        <v>22</v>
      </c>
      <c r="U5">
        <v>18</v>
      </c>
      <c r="V5">
        <v>15</v>
      </c>
      <c r="W5">
        <v>15</v>
      </c>
      <c r="X5">
        <v>12</v>
      </c>
      <c r="Y5">
        <v>14</v>
      </c>
      <c r="Z5">
        <v>14</v>
      </c>
      <c r="AA5">
        <v>13</v>
      </c>
      <c r="AB5">
        <v>27</v>
      </c>
      <c r="AC5">
        <v>14</v>
      </c>
      <c r="AD5">
        <v>11</v>
      </c>
      <c r="AE5">
        <v>11</v>
      </c>
    </row>
    <row r="6" spans="1:31" x14ac:dyDescent="0.3">
      <c r="A6" t="s">
        <v>249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0</v>
      </c>
      <c r="H6">
        <v>2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249</v>
      </c>
      <c r="B7" t="s">
        <v>132</v>
      </c>
      <c r="C7" t="s">
        <v>0</v>
      </c>
      <c r="D7" t="s">
        <v>133</v>
      </c>
      <c r="E7" t="s">
        <v>123</v>
      </c>
      <c r="F7">
        <v>26</v>
      </c>
      <c r="G7">
        <v>44</v>
      </c>
      <c r="H7">
        <v>36</v>
      </c>
      <c r="I7">
        <v>50</v>
      </c>
      <c r="J7">
        <v>41</v>
      </c>
      <c r="K7">
        <v>30</v>
      </c>
      <c r="L7">
        <v>53</v>
      </c>
      <c r="M7">
        <v>19</v>
      </c>
      <c r="N7">
        <v>45</v>
      </c>
      <c r="O7">
        <v>41</v>
      </c>
      <c r="P7">
        <v>33</v>
      </c>
      <c r="Q7">
        <v>70</v>
      </c>
      <c r="R7">
        <v>90</v>
      </c>
      <c r="S7">
        <v>77</v>
      </c>
      <c r="T7">
        <v>32</v>
      </c>
      <c r="U7">
        <v>37</v>
      </c>
      <c r="V7">
        <v>41</v>
      </c>
      <c r="W7">
        <v>30</v>
      </c>
      <c r="X7">
        <v>29</v>
      </c>
      <c r="Y7">
        <v>25</v>
      </c>
      <c r="Z7">
        <v>33</v>
      </c>
      <c r="AA7">
        <v>41</v>
      </c>
      <c r="AB7">
        <v>84</v>
      </c>
      <c r="AC7">
        <v>28</v>
      </c>
      <c r="AD7">
        <v>30</v>
      </c>
      <c r="AE7">
        <v>23</v>
      </c>
    </row>
    <row r="8" spans="1:31" x14ac:dyDescent="0.3">
      <c r="A8" t="s">
        <v>249</v>
      </c>
      <c r="B8" t="s">
        <v>134</v>
      </c>
      <c r="C8" t="s">
        <v>0</v>
      </c>
      <c r="D8" t="s">
        <v>135</v>
      </c>
      <c r="E8" t="s">
        <v>123</v>
      </c>
      <c r="F8">
        <v>1</v>
      </c>
      <c r="G8">
        <v>1</v>
      </c>
      <c r="H8">
        <v>6</v>
      </c>
      <c r="I8">
        <v>1</v>
      </c>
      <c r="J8">
        <v>3</v>
      </c>
      <c r="K8">
        <v>1</v>
      </c>
      <c r="L8">
        <v>5</v>
      </c>
      <c r="M8">
        <v>0</v>
      </c>
      <c r="N8">
        <v>3</v>
      </c>
      <c r="O8">
        <v>2</v>
      </c>
      <c r="P8">
        <v>9</v>
      </c>
      <c r="Q8">
        <v>13</v>
      </c>
      <c r="R8">
        <v>46</v>
      </c>
      <c r="S8">
        <v>16</v>
      </c>
      <c r="T8">
        <v>8</v>
      </c>
      <c r="U8">
        <v>11</v>
      </c>
      <c r="V8">
        <v>3</v>
      </c>
      <c r="W8">
        <v>7</v>
      </c>
      <c r="X8">
        <v>6</v>
      </c>
      <c r="Y8">
        <v>7</v>
      </c>
      <c r="Z8">
        <v>17</v>
      </c>
      <c r="AA8">
        <v>-5</v>
      </c>
      <c r="AB8">
        <v>-35</v>
      </c>
      <c r="AC8">
        <v>2</v>
      </c>
      <c r="AD8">
        <v>1</v>
      </c>
      <c r="AE8">
        <v>1</v>
      </c>
    </row>
    <row r="9" spans="1:31" x14ac:dyDescent="0.3">
      <c r="A9" t="s">
        <v>249</v>
      </c>
      <c r="B9" t="s">
        <v>136</v>
      </c>
      <c r="C9" t="s">
        <v>0</v>
      </c>
      <c r="D9" t="s">
        <v>137</v>
      </c>
      <c r="E9" t="s">
        <v>123</v>
      </c>
      <c r="F9">
        <v>16</v>
      </c>
      <c r="G9">
        <v>9</v>
      </c>
      <c r="H9">
        <v>17</v>
      </c>
      <c r="I9">
        <v>14</v>
      </c>
      <c r="J9">
        <v>16</v>
      </c>
      <c r="K9">
        <v>9</v>
      </c>
      <c r="L9">
        <v>11</v>
      </c>
      <c r="M9">
        <v>11</v>
      </c>
      <c r="N9">
        <v>13</v>
      </c>
      <c r="O9">
        <v>19</v>
      </c>
      <c r="P9">
        <v>12</v>
      </c>
      <c r="Q9">
        <v>27</v>
      </c>
      <c r="R9">
        <v>59</v>
      </c>
      <c r="S9">
        <v>36</v>
      </c>
      <c r="T9">
        <v>26</v>
      </c>
      <c r="U9">
        <v>17</v>
      </c>
      <c r="V9">
        <v>22</v>
      </c>
      <c r="W9">
        <v>27</v>
      </c>
      <c r="X9">
        <v>32</v>
      </c>
      <c r="Y9">
        <v>23</v>
      </c>
      <c r="Z9">
        <v>46</v>
      </c>
      <c r="AA9">
        <v>66</v>
      </c>
      <c r="AB9">
        <v>86</v>
      </c>
      <c r="AC9">
        <v>63</v>
      </c>
      <c r="AD9">
        <v>49</v>
      </c>
      <c r="AE9">
        <v>49</v>
      </c>
    </row>
    <row r="10" spans="1:31" x14ac:dyDescent="0.3">
      <c r="A10" t="s">
        <v>249</v>
      </c>
      <c r="B10" t="s">
        <v>138</v>
      </c>
      <c r="C10" t="s">
        <v>0</v>
      </c>
      <c r="D10" t="s">
        <v>139</v>
      </c>
      <c r="E10" t="s">
        <v>123</v>
      </c>
      <c r="F10">
        <v>18</v>
      </c>
      <c r="G10">
        <v>10</v>
      </c>
      <c r="H10">
        <v>18</v>
      </c>
      <c r="I10">
        <v>16</v>
      </c>
      <c r="J10">
        <v>17</v>
      </c>
      <c r="K10">
        <v>10</v>
      </c>
      <c r="L10">
        <v>12</v>
      </c>
      <c r="M10">
        <v>13</v>
      </c>
      <c r="N10">
        <v>14</v>
      </c>
      <c r="O10">
        <v>21</v>
      </c>
      <c r="P10">
        <v>13</v>
      </c>
      <c r="Q10">
        <v>30</v>
      </c>
      <c r="R10">
        <v>64</v>
      </c>
      <c r="S10">
        <v>40</v>
      </c>
      <c r="T10">
        <v>31</v>
      </c>
      <c r="U10">
        <v>23</v>
      </c>
      <c r="V10">
        <v>26</v>
      </c>
      <c r="W10">
        <v>33</v>
      </c>
      <c r="X10">
        <v>40</v>
      </c>
      <c r="Y10">
        <v>29</v>
      </c>
      <c r="Z10">
        <v>52</v>
      </c>
      <c r="AA10">
        <v>71</v>
      </c>
      <c r="AB10">
        <v>90</v>
      </c>
      <c r="AC10">
        <v>69</v>
      </c>
      <c r="AD10">
        <v>55</v>
      </c>
      <c r="AE10">
        <v>53</v>
      </c>
    </row>
    <row r="11" spans="1:31" x14ac:dyDescent="0.3">
      <c r="A11" t="s">
        <v>249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2</v>
      </c>
      <c r="N11">
        <v>1</v>
      </c>
      <c r="O11">
        <v>2</v>
      </c>
      <c r="P11">
        <v>1</v>
      </c>
      <c r="Q11">
        <v>3</v>
      </c>
      <c r="R11">
        <v>5</v>
      </c>
      <c r="S11">
        <v>4</v>
      </c>
      <c r="T11">
        <v>5</v>
      </c>
      <c r="U11">
        <v>6</v>
      </c>
      <c r="V11">
        <v>4</v>
      </c>
      <c r="W11">
        <v>6</v>
      </c>
      <c r="X11">
        <v>8</v>
      </c>
      <c r="Y11">
        <v>6</v>
      </c>
      <c r="Z11">
        <v>6</v>
      </c>
      <c r="AA11">
        <v>5</v>
      </c>
      <c r="AB11">
        <v>4</v>
      </c>
      <c r="AC11">
        <v>6</v>
      </c>
      <c r="AD11">
        <v>6</v>
      </c>
      <c r="AE11">
        <v>4</v>
      </c>
    </row>
    <row r="12" spans="1:31" x14ac:dyDescent="0.3">
      <c r="A12" t="s">
        <v>249</v>
      </c>
      <c r="B12" t="s">
        <v>142</v>
      </c>
      <c r="C12" t="s">
        <v>0</v>
      </c>
      <c r="D12" t="s">
        <v>143</v>
      </c>
      <c r="E12" t="s">
        <v>123</v>
      </c>
      <c r="F12">
        <v>7</v>
      </c>
      <c r="G12">
        <v>6</v>
      </c>
      <c r="H12">
        <v>7</v>
      </c>
      <c r="I12">
        <v>9</v>
      </c>
      <c r="J12">
        <v>11</v>
      </c>
      <c r="K12">
        <v>9</v>
      </c>
      <c r="L12">
        <v>8</v>
      </c>
      <c r="M12">
        <v>6</v>
      </c>
      <c r="N12">
        <v>10</v>
      </c>
      <c r="O12">
        <v>13</v>
      </c>
      <c r="P12">
        <v>11</v>
      </c>
      <c r="Q12">
        <v>19</v>
      </c>
      <c r="R12">
        <v>21</v>
      </c>
      <c r="S12">
        <v>18</v>
      </c>
      <c r="T12">
        <v>17</v>
      </c>
      <c r="U12">
        <v>10</v>
      </c>
      <c r="V12">
        <v>10</v>
      </c>
      <c r="W12">
        <v>11</v>
      </c>
      <c r="X12">
        <v>8</v>
      </c>
      <c r="Y12">
        <v>9</v>
      </c>
      <c r="Z12">
        <v>11</v>
      </c>
      <c r="AA12">
        <v>9</v>
      </c>
      <c r="AB12">
        <v>6</v>
      </c>
      <c r="AC12">
        <v>5</v>
      </c>
      <c r="AD12">
        <v>6</v>
      </c>
      <c r="AE12">
        <v>5</v>
      </c>
    </row>
    <row r="13" spans="1:31" x14ac:dyDescent="0.3">
      <c r="A13" t="s">
        <v>249</v>
      </c>
      <c r="B13" t="s">
        <v>144</v>
      </c>
      <c r="C13" t="s">
        <v>0</v>
      </c>
      <c r="D13" t="s">
        <v>145</v>
      </c>
      <c r="E13" t="s">
        <v>123</v>
      </c>
      <c r="F13">
        <v>5</v>
      </c>
      <c r="G13">
        <v>4</v>
      </c>
      <c r="H13">
        <v>6</v>
      </c>
      <c r="I13">
        <v>8</v>
      </c>
      <c r="J13">
        <v>6</v>
      </c>
      <c r="K13">
        <v>7</v>
      </c>
      <c r="L13">
        <v>7</v>
      </c>
      <c r="M13">
        <v>6</v>
      </c>
      <c r="N13">
        <v>7</v>
      </c>
      <c r="O13">
        <v>11</v>
      </c>
      <c r="P13">
        <v>7</v>
      </c>
      <c r="Q13">
        <v>24</v>
      </c>
      <c r="R13">
        <v>40</v>
      </c>
      <c r="S13">
        <v>27</v>
      </c>
      <c r="T13">
        <v>45</v>
      </c>
      <c r="U13">
        <v>42</v>
      </c>
      <c r="V13">
        <v>23</v>
      </c>
      <c r="W13">
        <v>45</v>
      </c>
      <c r="X13">
        <v>15</v>
      </c>
      <c r="Y13">
        <v>20</v>
      </c>
      <c r="Z13">
        <v>22</v>
      </c>
      <c r="AA13">
        <v>19</v>
      </c>
      <c r="AB13">
        <v>21</v>
      </c>
      <c r="AC13">
        <v>26</v>
      </c>
      <c r="AD13">
        <v>30</v>
      </c>
      <c r="AE13">
        <v>21</v>
      </c>
    </row>
    <row r="14" spans="1:31" x14ac:dyDescent="0.3">
      <c r="A14" t="s">
        <v>249</v>
      </c>
      <c r="B14" t="s">
        <v>146</v>
      </c>
      <c r="C14" t="s">
        <v>0</v>
      </c>
      <c r="D14" t="s">
        <v>147</v>
      </c>
      <c r="E14" t="s">
        <v>123</v>
      </c>
      <c r="F14">
        <v>25</v>
      </c>
      <c r="G14">
        <v>14</v>
      </c>
      <c r="H14">
        <v>22</v>
      </c>
      <c r="I14">
        <v>30</v>
      </c>
      <c r="J14">
        <v>44</v>
      </c>
      <c r="K14">
        <v>38</v>
      </c>
      <c r="L14">
        <v>44</v>
      </c>
      <c r="M14">
        <v>14</v>
      </c>
      <c r="N14">
        <v>23</v>
      </c>
      <c r="O14">
        <v>36</v>
      </c>
      <c r="P14">
        <v>33</v>
      </c>
      <c r="Q14">
        <v>45</v>
      </c>
      <c r="R14">
        <v>36</v>
      </c>
      <c r="S14">
        <v>49</v>
      </c>
      <c r="T14">
        <v>20</v>
      </c>
      <c r="U14">
        <v>27</v>
      </c>
      <c r="V14">
        <v>26</v>
      </c>
      <c r="W14">
        <v>20</v>
      </c>
      <c r="X14">
        <v>10</v>
      </c>
      <c r="Y14">
        <v>17</v>
      </c>
      <c r="Z14">
        <v>22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249</v>
      </c>
      <c r="B15" t="s">
        <v>148</v>
      </c>
      <c r="C15" t="s">
        <v>0</v>
      </c>
      <c r="D15" t="s">
        <v>149</v>
      </c>
      <c r="E15" t="s">
        <v>123</v>
      </c>
      <c r="F15">
        <v>28</v>
      </c>
      <c r="G15">
        <v>18</v>
      </c>
      <c r="H15">
        <v>26</v>
      </c>
      <c r="I15">
        <v>36</v>
      </c>
      <c r="J15">
        <v>48</v>
      </c>
      <c r="K15">
        <v>42</v>
      </c>
      <c r="L15">
        <v>48</v>
      </c>
      <c r="M15">
        <v>16</v>
      </c>
      <c r="N15">
        <v>27</v>
      </c>
      <c r="O15">
        <v>40</v>
      </c>
      <c r="P15">
        <v>37</v>
      </c>
      <c r="Q15">
        <v>49</v>
      </c>
      <c r="R15">
        <v>43</v>
      </c>
      <c r="S15">
        <v>57</v>
      </c>
      <c r="T15">
        <v>26</v>
      </c>
      <c r="U15">
        <v>31</v>
      </c>
      <c r="V15">
        <v>31</v>
      </c>
      <c r="W15">
        <v>24</v>
      </c>
      <c r="X15">
        <v>15</v>
      </c>
      <c r="Y15">
        <v>19</v>
      </c>
      <c r="Z15">
        <v>26</v>
      </c>
      <c r="AA15">
        <v>23</v>
      </c>
      <c r="AB15">
        <v>27</v>
      </c>
      <c r="AC15">
        <v>21</v>
      </c>
      <c r="AD15">
        <v>22</v>
      </c>
      <c r="AE15">
        <v>27</v>
      </c>
    </row>
    <row r="16" spans="1:31" x14ac:dyDescent="0.3">
      <c r="A16" t="s">
        <v>249</v>
      </c>
      <c r="B16" t="s">
        <v>150</v>
      </c>
      <c r="C16" t="s">
        <v>0</v>
      </c>
      <c r="D16" t="s">
        <v>151</v>
      </c>
      <c r="E16" t="s">
        <v>123</v>
      </c>
      <c r="F16">
        <v>3</v>
      </c>
      <c r="G16">
        <v>4</v>
      </c>
      <c r="H16">
        <v>4</v>
      </c>
      <c r="I16">
        <v>6</v>
      </c>
      <c r="J16">
        <v>4</v>
      </c>
      <c r="K16">
        <v>4</v>
      </c>
      <c r="L16">
        <v>4</v>
      </c>
      <c r="M16">
        <v>2</v>
      </c>
      <c r="N16">
        <v>4</v>
      </c>
      <c r="O16">
        <v>4</v>
      </c>
      <c r="P16">
        <v>4</v>
      </c>
      <c r="Q16">
        <v>4</v>
      </c>
      <c r="R16">
        <v>7</v>
      </c>
      <c r="S16">
        <v>8</v>
      </c>
      <c r="T16">
        <v>6</v>
      </c>
      <c r="U16">
        <v>4</v>
      </c>
      <c r="V16">
        <v>5</v>
      </c>
      <c r="W16">
        <v>4</v>
      </c>
      <c r="X16">
        <v>5</v>
      </c>
      <c r="Y16">
        <v>2</v>
      </c>
      <c r="Z16">
        <v>4</v>
      </c>
      <c r="AA16">
        <v>5</v>
      </c>
      <c r="AB16">
        <v>5</v>
      </c>
      <c r="AC16">
        <v>3</v>
      </c>
      <c r="AD16">
        <v>4</v>
      </c>
      <c r="AE16">
        <v>3</v>
      </c>
    </row>
    <row r="17" spans="1:31" x14ac:dyDescent="0.3">
      <c r="A17" t="s">
        <v>249</v>
      </c>
      <c r="B17" t="s">
        <v>152</v>
      </c>
      <c r="C17" t="s">
        <v>0</v>
      </c>
      <c r="D17" t="s">
        <v>153</v>
      </c>
      <c r="E17" t="s">
        <v>123</v>
      </c>
      <c r="F17">
        <v>7</v>
      </c>
      <c r="G17">
        <v>8</v>
      </c>
      <c r="H17">
        <v>7</v>
      </c>
      <c r="I17">
        <v>8</v>
      </c>
      <c r="J17">
        <v>7</v>
      </c>
      <c r="K17">
        <v>7</v>
      </c>
      <c r="L17">
        <v>7</v>
      </c>
      <c r="M17">
        <v>4</v>
      </c>
      <c r="N17">
        <v>8</v>
      </c>
      <c r="O17">
        <v>7</v>
      </c>
      <c r="P17">
        <v>6</v>
      </c>
      <c r="Q17">
        <v>13</v>
      </c>
      <c r="R17">
        <v>15</v>
      </c>
      <c r="S17">
        <v>18</v>
      </c>
      <c r="T17">
        <v>21</v>
      </c>
      <c r="U17">
        <v>6</v>
      </c>
      <c r="V17">
        <v>8</v>
      </c>
      <c r="W17">
        <v>10</v>
      </c>
      <c r="X17">
        <v>7</v>
      </c>
      <c r="Y17">
        <v>10</v>
      </c>
      <c r="Z17">
        <v>12</v>
      </c>
      <c r="AA17">
        <v>9</v>
      </c>
      <c r="AB17">
        <v>9</v>
      </c>
      <c r="AC17">
        <v>10</v>
      </c>
      <c r="AD17">
        <v>11</v>
      </c>
      <c r="AE17">
        <v>8</v>
      </c>
    </row>
    <row r="18" spans="1:31" x14ac:dyDescent="0.3">
      <c r="A18" t="s">
        <v>249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1</v>
      </c>
      <c r="P18">
        <v>1</v>
      </c>
      <c r="Q18">
        <v>3</v>
      </c>
      <c r="R18">
        <v>4</v>
      </c>
      <c r="S18">
        <v>4</v>
      </c>
      <c r="T18">
        <v>6</v>
      </c>
      <c r="U18">
        <v>3</v>
      </c>
      <c r="V18">
        <v>3</v>
      </c>
      <c r="W18">
        <v>3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249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1</v>
      </c>
      <c r="H19">
        <v>1</v>
      </c>
      <c r="I19">
        <v>2</v>
      </c>
      <c r="J19">
        <v>2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4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249</v>
      </c>
      <c r="B20" t="s">
        <v>158</v>
      </c>
      <c r="C20" t="s">
        <v>0</v>
      </c>
      <c r="D20" t="s">
        <v>159</v>
      </c>
      <c r="E20" t="s">
        <v>123</v>
      </c>
      <c r="F20">
        <v>16</v>
      </c>
      <c r="G20">
        <v>12</v>
      </c>
      <c r="H20">
        <v>21</v>
      </c>
      <c r="I20">
        <v>15</v>
      </c>
      <c r="J20">
        <v>17</v>
      </c>
      <c r="K20">
        <v>18</v>
      </c>
      <c r="L20">
        <v>16</v>
      </c>
      <c r="M20">
        <v>14</v>
      </c>
      <c r="N20">
        <v>21</v>
      </c>
      <c r="O20">
        <v>33</v>
      </c>
      <c r="P20">
        <v>31</v>
      </c>
      <c r="Q20">
        <v>48</v>
      </c>
      <c r="R20">
        <v>48</v>
      </c>
      <c r="S20">
        <v>54</v>
      </c>
      <c r="T20">
        <v>52</v>
      </c>
      <c r="U20">
        <v>31</v>
      </c>
      <c r="V20">
        <v>17</v>
      </c>
      <c r="W20">
        <v>12</v>
      </c>
      <c r="X20">
        <v>21</v>
      </c>
      <c r="Y20">
        <v>28</v>
      </c>
      <c r="Z20">
        <v>34</v>
      </c>
      <c r="AA20">
        <v>45</v>
      </c>
      <c r="AB20">
        <v>35</v>
      </c>
      <c r="AC20">
        <v>32</v>
      </c>
      <c r="AD20">
        <v>25</v>
      </c>
      <c r="AE20">
        <v>41</v>
      </c>
    </row>
    <row r="21" spans="1:31" x14ac:dyDescent="0.3">
      <c r="A21" t="s">
        <v>249</v>
      </c>
      <c r="B21" t="s">
        <v>160</v>
      </c>
      <c r="C21" t="s">
        <v>0</v>
      </c>
      <c r="D21" t="s">
        <v>161</v>
      </c>
      <c r="E21" t="s">
        <v>123</v>
      </c>
      <c r="F21">
        <v>17</v>
      </c>
      <c r="G21">
        <v>13</v>
      </c>
      <c r="H21">
        <v>22</v>
      </c>
      <c r="I21">
        <v>17</v>
      </c>
      <c r="J21">
        <v>19</v>
      </c>
      <c r="K21">
        <v>19</v>
      </c>
      <c r="L21">
        <v>18</v>
      </c>
      <c r="M21">
        <v>15</v>
      </c>
      <c r="N21">
        <v>23</v>
      </c>
      <c r="O21">
        <v>35</v>
      </c>
      <c r="P21">
        <v>33</v>
      </c>
      <c r="Q21">
        <v>52</v>
      </c>
      <c r="R21">
        <v>54</v>
      </c>
      <c r="S21">
        <v>59</v>
      </c>
      <c r="T21">
        <v>58</v>
      </c>
      <c r="U21">
        <v>35</v>
      </c>
      <c r="V21">
        <v>21</v>
      </c>
      <c r="W21">
        <v>19</v>
      </c>
      <c r="X21">
        <v>26</v>
      </c>
      <c r="Y21">
        <v>31</v>
      </c>
      <c r="Z21">
        <v>38</v>
      </c>
      <c r="AA21">
        <v>50</v>
      </c>
      <c r="AB21">
        <v>39</v>
      </c>
      <c r="AC21">
        <v>35</v>
      </c>
      <c r="AD21">
        <v>28</v>
      </c>
      <c r="AE21">
        <v>43</v>
      </c>
    </row>
    <row r="22" spans="1:31" x14ac:dyDescent="0.3">
      <c r="A22" t="s">
        <v>249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1</v>
      </c>
      <c r="H22">
        <v>1</v>
      </c>
      <c r="I22">
        <v>2</v>
      </c>
      <c r="J22">
        <v>2</v>
      </c>
      <c r="K22">
        <v>1</v>
      </c>
      <c r="L22">
        <v>2</v>
      </c>
      <c r="M22">
        <v>1</v>
      </c>
      <c r="N22">
        <v>2</v>
      </c>
      <c r="O22">
        <v>2</v>
      </c>
      <c r="P22">
        <v>2</v>
      </c>
      <c r="Q22">
        <v>4</v>
      </c>
      <c r="R22">
        <v>6</v>
      </c>
      <c r="S22">
        <v>5</v>
      </c>
      <c r="T22">
        <v>6</v>
      </c>
      <c r="U22">
        <v>4</v>
      </c>
      <c r="V22">
        <v>4</v>
      </c>
      <c r="W22">
        <v>7</v>
      </c>
      <c r="X22">
        <v>5</v>
      </c>
      <c r="Y22">
        <v>3</v>
      </c>
      <c r="Z22">
        <v>4</v>
      </c>
      <c r="AA22">
        <v>5</v>
      </c>
      <c r="AB22">
        <v>4</v>
      </c>
      <c r="AC22">
        <v>3</v>
      </c>
      <c r="AD22">
        <v>3</v>
      </c>
      <c r="AE22">
        <v>2</v>
      </c>
    </row>
    <row r="23" spans="1:31" x14ac:dyDescent="0.3">
      <c r="A23" t="s">
        <v>249</v>
      </c>
      <c r="B23" t="s">
        <v>164</v>
      </c>
      <c r="C23" t="s">
        <v>0</v>
      </c>
      <c r="D23" t="s">
        <v>165</v>
      </c>
      <c r="E23" t="s">
        <v>123</v>
      </c>
      <c r="F23">
        <v>2</v>
      </c>
      <c r="G23">
        <v>2</v>
      </c>
      <c r="H23">
        <v>2</v>
      </c>
      <c r="I23">
        <v>2</v>
      </c>
      <c r="J23">
        <v>4</v>
      </c>
      <c r="K23">
        <v>3</v>
      </c>
      <c r="L23">
        <v>3</v>
      </c>
      <c r="M23">
        <v>2</v>
      </c>
      <c r="N23">
        <v>5</v>
      </c>
      <c r="O23">
        <v>6</v>
      </c>
      <c r="P23">
        <v>6</v>
      </c>
      <c r="Q23">
        <v>17</v>
      </c>
      <c r="R23">
        <v>10</v>
      </c>
      <c r="S23">
        <v>13</v>
      </c>
      <c r="T23">
        <v>8</v>
      </c>
      <c r="U23">
        <v>9</v>
      </c>
      <c r="V23">
        <v>9</v>
      </c>
      <c r="W23">
        <v>9</v>
      </c>
      <c r="X23">
        <v>6</v>
      </c>
      <c r="Y23">
        <v>6</v>
      </c>
      <c r="Z23">
        <v>6</v>
      </c>
      <c r="AA23">
        <v>8</v>
      </c>
      <c r="AB23">
        <v>6</v>
      </c>
      <c r="AC23">
        <v>6</v>
      </c>
      <c r="AD23">
        <v>4</v>
      </c>
      <c r="AE23">
        <v>3</v>
      </c>
    </row>
    <row r="24" spans="1:31" x14ac:dyDescent="0.3">
      <c r="A24" t="s">
        <v>249</v>
      </c>
      <c r="B24" t="s">
        <v>166</v>
      </c>
      <c r="C24" t="s">
        <v>0</v>
      </c>
      <c r="D24" t="s">
        <v>167</v>
      </c>
      <c r="E24" t="s">
        <v>123</v>
      </c>
      <c r="F24">
        <v>25</v>
      </c>
      <c r="G24">
        <v>24</v>
      </c>
      <c r="H24">
        <v>44</v>
      </c>
      <c r="I24">
        <v>50</v>
      </c>
      <c r="J24">
        <v>60</v>
      </c>
      <c r="K24">
        <v>42</v>
      </c>
      <c r="L24">
        <v>43</v>
      </c>
      <c r="M24">
        <v>25</v>
      </c>
      <c r="N24">
        <v>52</v>
      </c>
      <c r="O24">
        <v>54</v>
      </c>
      <c r="P24">
        <v>48</v>
      </c>
      <c r="Q24">
        <v>42</v>
      </c>
      <c r="R24">
        <v>65</v>
      </c>
      <c r="S24">
        <v>78</v>
      </c>
      <c r="T24">
        <v>51</v>
      </c>
      <c r="U24">
        <v>53</v>
      </c>
      <c r="V24">
        <v>34</v>
      </c>
      <c r="W24">
        <v>43</v>
      </c>
      <c r="X24">
        <v>30</v>
      </c>
      <c r="Y24">
        <v>35</v>
      </c>
      <c r="Z24">
        <v>31</v>
      </c>
      <c r="AA24">
        <v>35</v>
      </c>
      <c r="AB24">
        <v>23</v>
      </c>
      <c r="AC24">
        <v>26</v>
      </c>
      <c r="AD24">
        <v>19</v>
      </c>
      <c r="AE24">
        <v>15</v>
      </c>
    </row>
    <row r="25" spans="1:31" x14ac:dyDescent="0.3">
      <c r="A25" t="s">
        <v>249</v>
      </c>
      <c r="B25" t="s">
        <v>168</v>
      </c>
      <c r="C25" t="s">
        <v>0</v>
      </c>
      <c r="D25" t="s">
        <v>169</v>
      </c>
      <c r="E25" t="s">
        <v>123</v>
      </c>
      <c r="F25">
        <v>2</v>
      </c>
      <c r="G25">
        <v>1</v>
      </c>
      <c r="H25">
        <v>2</v>
      </c>
      <c r="I25">
        <v>2</v>
      </c>
      <c r="J25">
        <v>3</v>
      </c>
      <c r="K25">
        <v>2</v>
      </c>
      <c r="L25">
        <v>2</v>
      </c>
      <c r="M25">
        <v>1</v>
      </c>
      <c r="N25">
        <v>2</v>
      </c>
      <c r="O25">
        <v>2</v>
      </c>
      <c r="P25">
        <v>2</v>
      </c>
      <c r="Q25">
        <v>5</v>
      </c>
      <c r="R25">
        <v>3</v>
      </c>
      <c r="S25">
        <v>13</v>
      </c>
      <c r="T25">
        <v>4</v>
      </c>
      <c r="U25">
        <v>7</v>
      </c>
      <c r="V25">
        <v>7</v>
      </c>
      <c r="W25">
        <v>4</v>
      </c>
      <c r="X25">
        <v>2</v>
      </c>
      <c r="Y25">
        <v>4</v>
      </c>
      <c r="Z25">
        <v>3</v>
      </c>
      <c r="AA25">
        <v>4</v>
      </c>
      <c r="AB25">
        <v>2</v>
      </c>
      <c r="AC25">
        <v>2</v>
      </c>
      <c r="AD25">
        <v>2</v>
      </c>
      <c r="AE25">
        <v>2</v>
      </c>
    </row>
    <row r="26" spans="1:31" x14ac:dyDescent="0.3">
      <c r="A26" t="s">
        <v>249</v>
      </c>
      <c r="B26" t="s">
        <v>170</v>
      </c>
      <c r="C26" t="s">
        <v>0</v>
      </c>
      <c r="D26" t="s">
        <v>171</v>
      </c>
      <c r="E26" t="s">
        <v>123</v>
      </c>
      <c r="F26">
        <v>13</v>
      </c>
      <c r="G26">
        <v>15</v>
      </c>
      <c r="H26">
        <v>27</v>
      </c>
      <c r="I26">
        <v>30</v>
      </c>
      <c r="J26">
        <v>32</v>
      </c>
      <c r="K26">
        <v>23</v>
      </c>
      <c r="L26">
        <v>24</v>
      </c>
      <c r="M26">
        <v>14</v>
      </c>
      <c r="N26">
        <v>27</v>
      </c>
      <c r="O26">
        <v>28</v>
      </c>
      <c r="P26">
        <v>25</v>
      </c>
      <c r="Q26">
        <v>19</v>
      </c>
      <c r="R26">
        <v>30</v>
      </c>
      <c r="S26">
        <v>30</v>
      </c>
      <c r="T26">
        <v>21</v>
      </c>
      <c r="U26">
        <v>22</v>
      </c>
      <c r="V26">
        <v>7</v>
      </c>
      <c r="W26">
        <v>15</v>
      </c>
      <c r="X26">
        <v>11</v>
      </c>
      <c r="Y26">
        <v>13</v>
      </c>
      <c r="Z26">
        <v>11</v>
      </c>
      <c r="AA26">
        <v>13</v>
      </c>
      <c r="AB26">
        <v>9</v>
      </c>
      <c r="AC26">
        <v>11</v>
      </c>
      <c r="AD26">
        <v>7</v>
      </c>
      <c r="AE26">
        <v>5</v>
      </c>
    </row>
    <row r="27" spans="1:31" x14ac:dyDescent="0.3">
      <c r="A27" t="s">
        <v>249</v>
      </c>
      <c r="B27" t="s">
        <v>172</v>
      </c>
      <c r="C27" t="s">
        <v>0</v>
      </c>
      <c r="D27" t="s">
        <v>173</v>
      </c>
      <c r="E27" t="s">
        <v>123</v>
      </c>
      <c r="F27">
        <v>10</v>
      </c>
      <c r="G27">
        <v>8</v>
      </c>
      <c r="H27">
        <v>15</v>
      </c>
      <c r="I27">
        <v>18</v>
      </c>
      <c r="J27">
        <v>25</v>
      </c>
      <c r="K27">
        <v>17</v>
      </c>
      <c r="L27">
        <v>17</v>
      </c>
      <c r="M27">
        <v>10</v>
      </c>
      <c r="N27">
        <v>23</v>
      </c>
      <c r="O27">
        <v>24</v>
      </c>
      <c r="P27">
        <v>21</v>
      </c>
      <c r="Q27">
        <v>18</v>
      </c>
      <c r="R27">
        <v>32</v>
      </c>
      <c r="S27">
        <v>35</v>
      </c>
      <c r="T27">
        <v>26</v>
      </c>
      <c r="U27">
        <v>24</v>
      </c>
      <c r="V27">
        <v>20</v>
      </c>
      <c r="W27">
        <v>24</v>
      </c>
      <c r="X27">
        <v>17</v>
      </c>
      <c r="Y27">
        <v>18</v>
      </c>
      <c r="Z27">
        <v>17</v>
      </c>
      <c r="AA27">
        <v>18</v>
      </c>
      <c r="AB27">
        <v>12</v>
      </c>
      <c r="AC27">
        <v>13</v>
      </c>
      <c r="AD27">
        <v>10</v>
      </c>
      <c r="AE27">
        <v>8</v>
      </c>
    </row>
    <row r="28" spans="1:31" x14ac:dyDescent="0.3">
      <c r="A28" t="s">
        <v>249</v>
      </c>
      <c r="B28" t="s">
        <v>174</v>
      </c>
      <c r="C28" t="s">
        <v>0</v>
      </c>
      <c r="D28" t="s">
        <v>175</v>
      </c>
      <c r="E28" t="s">
        <v>123</v>
      </c>
      <c r="F28">
        <v>33</v>
      </c>
      <c r="G28">
        <v>27</v>
      </c>
      <c r="H28">
        <v>34</v>
      </c>
      <c r="I28">
        <v>48</v>
      </c>
      <c r="J28">
        <v>51</v>
      </c>
      <c r="K28">
        <v>39</v>
      </c>
      <c r="L28">
        <v>38</v>
      </c>
      <c r="M28">
        <v>26</v>
      </c>
      <c r="N28">
        <v>61</v>
      </c>
      <c r="O28">
        <v>61</v>
      </c>
      <c r="P28">
        <v>38</v>
      </c>
      <c r="Q28">
        <v>29</v>
      </c>
      <c r="R28">
        <v>33</v>
      </c>
      <c r="S28">
        <v>36</v>
      </c>
      <c r="T28">
        <v>30</v>
      </c>
      <c r="U28">
        <v>26</v>
      </c>
      <c r="V28">
        <v>29</v>
      </c>
      <c r="W28">
        <v>22</v>
      </c>
      <c r="X28">
        <v>22</v>
      </c>
      <c r="Y28">
        <v>26</v>
      </c>
      <c r="Z28">
        <v>20</v>
      </c>
      <c r="AA28">
        <v>27</v>
      </c>
      <c r="AB28">
        <v>21</v>
      </c>
      <c r="AC28">
        <v>18</v>
      </c>
      <c r="AD28">
        <v>18</v>
      </c>
      <c r="AE28">
        <v>15</v>
      </c>
    </row>
    <row r="29" spans="1:31" x14ac:dyDescent="0.3">
      <c r="A29" t="s">
        <v>249</v>
      </c>
      <c r="B29" t="s">
        <v>176</v>
      </c>
      <c r="C29" t="s">
        <v>0</v>
      </c>
      <c r="D29" t="s">
        <v>177</v>
      </c>
      <c r="E29" t="s">
        <v>123</v>
      </c>
      <c r="F29">
        <v>15</v>
      </c>
      <c r="G29">
        <v>13</v>
      </c>
      <c r="H29">
        <v>17</v>
      </c>
      <c r="I29">
        <v>24</v>
      </c>
      <c r="J29">
        <v>19</v>
      </c>
      <c r="K29">
        <v>15</v>
      </c>
      <c r="L29">
        <v>17</v>
      </c>
      <c r="M29">
        <v>12</v>
      </c>
      <c r="N29">
        <v>28</v>
      </c>
      <c r="O29">
        <v>34</v>
      </c>
      <c r="P29">
        <v>13</v>
      </c>
      <c r="Q29">
        <v>13</v>
      </c>
      <c r="R29">
        <v>15</v>
      </c>
      <c r="S29">
        <v>14</v>
      </c>
      <c r="T29">
        <v>11</v>
      </c>
      <c r="U29">
        <v>9</v>
      </c>
      <c r="V29">
        <v>12</v>
      </c>
      <c r="W29">
        <v>9</v>
      </c>
      <c r="X29">
        <v>7</v>
      </c>
      <c r="Y29">
        <v>8</v>
      </c>
      <c r="Z29">
        <v>8</v>
      </c>
      <c r="AA29">
        <v>13</v>
      </c>
      <c r="AB29">
        <v>12</v>
      </c>
      <c r="AC29">
        <v>12</v>
      </c>
      <c r="AD29">
        <v>10</v>
      </c>
      <c r="AE29">
        <v>8</v>
      </c>
    </row>
    <row r="30" spans="1:31" x14ac:dyDescent="0.3">
      <c r="A30" t="s">
        <v>249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>
        <v>2</v>
      </c>
      <c r="P30">
        <v>3</v>
      </c>
      <c r="Q30">
        <v>3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249</v>
      </c>
      <c r="B31" t="s">
        <v>180</v>
      </c>
      <c r="C31" t="s">
        <v>0</v>
      </c>
      <c r="D31" t="s">
        <v>181</v>
      </c>
      <c r="E31" t="s">
        <v>123</v>
      </c>
      <c r="F31">
        <v>2</v>
      </c>
      <c r="G31">
        <v>2</v>
      </c>
      <c r="H31">
        <v>3</v>
      </c>
      <c r="I31">
        <v>5</v>
      </c>
      <c r="J31">
        <v>5</v>
      </c>
      <c r="K31">
        <v>2</v>
      </c>
      <c r="L31">
        <v>4</v>
      </c>
      <c r="M31">
        <v>1</v>
      </c>
      <c r="N31">
        <v>1</v>
      </c>
      <c r="O31">
        <v>2</v>
      </c>
      <c r="P31">
        <v>2</v>
      </c>
      <c r="Q31">
        <v>1</v>
      </c>
      <c r="R31">
        <v>1</v>
      </c>
      <c r="S31">
        <v>6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249</v>
      </c>
      <c r="B32" t="s">
        <v>182</v>
      </c>
      <c r="C32" t="s">
        <v>0</v>
      </c>
      <c r="D32" t="s">
        <v>183</v>
      </c>
      <c r="E32" t="s">
        <v>123</v>
      </c>
      <c r="F32">
        <v>12</v>
      </c>
      <c r="G32">
        <v>10</v>
      </c>
      <c r="H32">
        <v>10</v>
      </c>
      <c r="I32">
        <v>13</v>
      </c>
      <c r="J32">
        <v>18</v>
      </c>
      <c r="K32">
        <v>16</v>
      </c>
      <c r="L32">
        <v>11</v>
      </c>
      <c r="M32">
        <v>8</v>
      </c>
      <c r="N32">
        <v>25</v>
      </c>
      <c r="O32">
        <v>22</v>
      </c>
      <c r="P32">
        <v>20</v>
      </c>
      <c r="Q32">
        <v>12</v>
      </c>
      <c r="R32">
        <v>15</v>
      </c>
      <c r="S32">
        <v>14</v>
      </c>
      <c r="T32">
        <v>15</v>
      </c>
      <c r="U32">
        <v>13</v>
      </c>
      <c r="V32">
        <v>11</v>
      </c>
      <c r="W32">
        <v>9</v>
      </c>
      <c r="X32">
        <v>11</v>
      </c>
      <c r="Y32">
        <v>14</v>
      </c>
      <c r="Z32">
        <v>9</v>
      </c>
      <c r="AA32">
        <v>10</v>
      </c>
      <c r="AB32">
        <v>5</v>
      </c>
      <c r="AC32">
        <v>3</v>
      </c>
      <c r="AD32">
        <v>6</v>
      </c>
      <c r="AE32">
        <v>4</v>
      </c>
    </row>
    <row r="33" spans="1:31" x14ac:dyDescent="0.3">
      <c r="A33" t="s">
        <v>249</v>
      </c>
      <c r="B33" t="s">
        <v>184</v>
      </c>
      <c r="C33" t="s">
        <v>0</v>
      </c>
      <c r="D33" t="s">
        <v>185</v>
      </c>
      <c r="E33" t="s">
        <v>123</v>
      </c>
      <c r="F33">
        <v>4</v>
      </c>
      <c r="G33">
        <v>2</v>
      </c>
      <c r="H33">
        <v>4</v>
      </c>
      <c r="I33">
        <v>6</v>
      </c>
      <c r="J33">
        <v>9</v>
      </c>
      <c r="K33">
        <v>6</v>
      </c>
      <c r="L33">
        <v>5</v>
      </c>
      <c r="M33">
        <v>4</v>
      </c>
      <c r="N33">
        <v>5</v>
      </c>
      <c r="O33">
        <v>1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249</v>
      </c>
      <c r="B34" t="s">
        <v>186</v>
      </c>
      <c r="C34" t="s">
        <v>0</v>
      </c>
      <c r="D34" t="s">
        <v>187</v>
      </c>
      <c r="E34" t="s">
        <v>123</v>
      </c>
      <c r="F34">
        <v>5</v>
      </c>
      <c r="G34">
        <v>6</v>
      </c>
      <c r="H34">
        <v>9</v>
      </c>
      <c r="I34">
        <v>14</v>
      </c>
      <c r="J34">
        <v>13</v>
      </c>
      <c r="K34">
        <v>10</v>
      </c>
      <c r="L34">
        <v>10</v>
      </c>
      <c r="M34">
        <v>6</v>
      </c>
      <c r="N34">
        <v>13</v>
      </c>
      <c r="O34">
        <v>15</v>
      </c>
      <c r="P34">
        <v>13</v>
      </c>
      <c r="Q34">
        <v>11</v>
      </c>
      <c r="R34">
        <v>12</v>
      </c>
      <c r="S34">
        <v>11</v>
      </c>
      <c r="T34">
        <v>8</v>
      </c>
      <c r="U34">
        <v>9</v>
      </c>
      <c r="V34">
        <v>10</v>
      </c>
      <c r="W34">
        <v>10</v>
      </c>
      <c r="X34">
        <v>5</v>
      </c>
      <c r="Y34">
        <v>5</v>
      </c>
      <c r="Z34">
        <v>5</v>
      </c>
      <c r="AA34">
        <v>6</v>
      </c>
      <c r="AB34">
        <v>3</v>
      </c>
      <c r="AC34">
        <v>6</v>
      </c>
      <c r="AD34">
        <v>4</v>
      </c>
      <c r="AE34">
        <v>3</v>
      </c>
    </row>
    <row r="35" spans="1:31" x14ac:dyDescent="0.3">
      <c r="A35" t="s">
        <v>249</v>
      </c>
      <c r="B35" t="s">
        <v>188</v>
      </c>
      <c r="C35" t="s">
        <v>0</v>
      </c>
      <c r="D35" t="s">
        <v>189</v>
      </c>
      <c r="E35" t="s">
        <v>123</v>
      </c>
      <c r="F35">
        <v>33</v>
      </c>
      <c r="G35">
        <v>30</v>
      </c>
      <c r="H35">
        <v>40</v>
      </c>
      <c r="I35">
        <v>47</v>
      </c>
      <c r="J35">
        <v>54</v>
      </c>
      <c r="K35">
        <v>46</v>
      </c>
      <c r="L35">
        <v>49</v>
      </c>
      <c r="M35">
        <v>31</v>
      </c>
      <c r="N35">
        <v>29</v>
      </c>
      <c r="O35">
        <v>89</v>
      </c>
      <c r="P35">
        <v>62</v>
      </c>
      <c r="Q35">
        <v>69</v>
      </c>
      <c r="R35">
        <v>70</v>
      </c>
      <c r="S35">
        <v>76</v>
      </c>
      <c r="T35">
        <v>40</v>
      </c>
      <c r="U35">
        <v>64</v>
      </c>
      <c r="V35">
        <v>114</v>
      </c>
      <c r="W35">
        <v>114</v>
      </c>
      <c r="X35">
        <v>93</v>
      </c>
      <c r="Y35">
        <v>102</v>
      </c>
      <c r="Z35">
        <v>109</v>
      </c>
      <c r="AA35">
        <v>118</v>
      </c>
      <c r="AB35">
        <v>107</v>
      </c>
      <c r="AC35">
        <v>149</v>
      </c>
      <c r="AD35">
        <v>99</v>
      </c>
      <c r="AE35">
        <v>115</v>
      </c>
    </row>
    <row r="36" spans="1:31" x14ac:dyDescent="0.3">
      <c r="A36" t="s">
        <v>249</v>
      </c>
      <c r="B36" t="s">
        <v>190</v>
      </c>
      <c r="C36" t="s">
        <v>0</v>
      </c>
      <c r="D36" t="s">
        <v>191</v>
      </c>
      <c r="E36" t="s">
        <v>123</v>
      </c>
      <c r="F36">
        <v>5</v>
      </c>
      <c r="G36">
        <v>4</v>
      </c>
      <c r="H36">
        <v>9</v>
      </c>
      <c r="I36">
        <v>8</v>
      </c>
      <c r="J36">
        <v>3</v>
      </c>
      <c r="K36">
        <v>4</v>
      </c>
      <c r="L36">
        <v>5</v>
      </c>
      <c r="M36">
        <v>4</v>
      </c>
      <c r="N36">
        <v>5</v>
      </c>
      <c r="O36">
        <v>4</v>
      </c>
      <c r="P36">
        <v>5</v>
      </c>
      <c r="Q36">
        <v>7</v>
      </c>
      <c r="R36">
        <v>9</v>
      </c>
      <c r="S36">
        <v>8</v>
      </c>
      <c r="T36">
        <v>9</v>
      </c>
      <c r="U36">
        <v>10</v>
      </c>
      <c r="V36">
        <v>9</v>
      </c>
      <c r="W36">
        <v>9</v>
      </c>
      <c r="X36">
        <v>4</v>
      </c>
      <c r="Y36">
        <v>3</v>
      </c>
      <c r="Z36">
        <v>3</v>
      </c>
      <c r="AA36">
        <v>4</v>
      </c>
      <c r="AB36">
        <v>5</v>
      </c>
      <c r="AC36">
        <v>4</v>
      </c>
      <c r="AD36">
        <v>3</v>
      </c>
      <c r="AE36">
        <v>2</v>
      </c>
    </row>
    <row r="37" spans="1:31" x14ac:dyDescent="0.3">
      <c r="A37" t="s">
        <v>249</v>
      </c>
      <c r="B37" t="s">
        <v>192</v>
      </c>
      <c r="C37" t="s">
        <v>0</v>
      </c>
      <c r="D37" t="s">
        <v>193</v>
      </c>
      <c r="E37" t="s">
        <v>123</v>
      </c>
      <c r="F37">
        <v>23</v>
      </c>
      <c r="G37">
        <v>22</v>
      </c>
      <c r="H37">
        <v>28</v>
      </c>
      <c r="I37">
        <v>35</v>
      </c>
      <c r="J37">
        <v>44</v>
      </c>
      <c r="K37">
        <v>36</v>
      </c>
      <c r="L37">
        <v>37</v>
      </c>
      <c r="M37">
        <v>23</v>
      </c>
      <c r="N37">
        <v>18</v>
      </c>
      <c r="O37">
        <v>69</v>
      </c>
      <c r="P37">
        <v>49</v>
      </c>
      <c r="Q37">
        <v>40</v>
      </c>
      <c r="R37">
        <v>34</v>
      </c>
      <c r="S37">
        <v>47</v>
      </c>
      <c r="T37">
        <v>21</v>
      </c>
      <c r="U37">
        <v>39</v>
      </c>
      <c r="V37">
        <v>91</v>
      </c>
      <c r="W37">
        <v>91</v>
      </c>
      <c r="X37">
        <v>73</v>
      </c>
      <c r="Y37">
        <v>78</v>
      </c>
      <c r="Z37">
        <v>75</v>
      </c>
      <c r="AA37">
        <v>88</v>
      </c>
      <c r="AB37">
        <v>68</v>
      </c>
      <c r="AC37">
        <v>108</v>
      </c>
      <c r="AD37">
        <v>84</v>
      </c>
      <c r="AE37">
        <v>104</v>
      </c>
    </row>
    <row r="38" spans="1:31" x14ac:dyDescent="0.3">
      <c r="A38" t="s">
        <v>249</v>
      </c>
      <c r="B38" t="s">
        <v>194</v>
      </c>
      <c r="C38" t="s">
        <v>0</v>
      </c>
      <c r="D38" t="s">
        <v>195</v>
      </c>
      <c r="E38" t="s">
        <v>123</v>
      </c>
      <c r="F38">
        <v>5</v>
      </c>
      <c r="G38">
        <v>4</v>
      </c>
      <c r="H38">
        <v>3</v>
      </c>
      <c r="I38">
        <v>4</v>
      </c>
      <c r="J38">
        <v>7</v>
      </c>
      <c r="K38">
        <v>6</v>
      </c>
      <c r="L38">
        <v>7</v>
      </c>
      <c r="M38">
        <v>4</v>
      </c>
      <c r="N38">
        <v>6</v>
      </c>
      <c r="O38">
        <v>16</v>
      </c>
      <c r="P38">
        <v>8</v>
      </c>
      <c r="Q38">
        <v>22</v>
      </c>
      <c r="R38">
        <v>27</v>
      </c>
      <c r="S38">
        <v>21</v>
      </c>
      <c r="T38">
        <v>10</v>
      </c>
      <c r="U38">
        <v>15</v>
      </c>
      <c r="V38">
        <v>14</v>
      </c>
      <c r="W38">
        <v>14</v>
      </c>
      <c r="X38">
        <v>16</v>
      </c>
      <c r="Y38">
        <v>21</v>
      </c>
      <c r="Z38">
        <v>31</v>
      </c>
      <c r="AA38">
        <v>26</v>
      </c>
      <c r="AB38">
        <v>34</v>
      </c>
      <c r="AC38">
        <v>37</v>
      </c>
      <c r="AD38">
        <v>12</v>
      </c>
      <c r="AE38">
        <v>9</v>
      </c>
    </row>
    <row r="39" spans="1:31" x14ac:dyDescent="0.3">
      <c r="A39" t="s">
        <v>249</v>
      </c>
      <c r="B39" t="s">
        <v>196</v>
      </c>
      <c r="C39" t="s">
        <v>0</v>
      </c>
      <c r="D39" t="s">
        <v>197</v>
      </c>
      <c r="E39" t="s">
        <v>123</v>
      </c>
      <c r="F39">
        <v>2</v>
      </c>
      <c r="G39">
        <v>5</v>
      </c>
      <c r="H39">
        <v>3</v>
      </c>
      <c r="I39">
        <v>4</v>
      </c>
      <c r="J39">
        <v>4</v>
      </c>
      <c r="K39">
        <v>6</v>
      </c>
      <c r="L39">
        <v>4</v>
      </c>
      <c r="M39">
        <v>6</v>
      </c>
      <c r="N39">
        <v>6</v>
      </c>
      <c r="O39">
        <v>3</v>
      </c>
      <c r="P39">
        <v>6</v>
      </c>
      <c r="Q39">
        <v>11</v>
      </c>
      <c r="R39">
        <v>17</v>
      </c>
      <c r="S39">
        <v>20</v>
      </c>
      <c r="T39">
        <v>12</v>
      </c>
      <c r="U39">
        <v>9</v>
      </c>
      <c r="V39">
        <v>8</v>
      </c>
      <c r="W39">
        <v>4</v>
      </c>
      <c r="X39">
        <v>7</v>
      </c>
      <c r="Y39">
        <v>2</v>
      </c>
      <c r="Z39">
        <v>3</v>
      </c>
      <c r="AA39">
        <v>3</v>
      </c>
      <c r="AB39">
        <v>52</v>
      </c>
      <c r="AC39">
        <v>28</v>
      </c>
      <c r="AD39">
        <v>46</v>
      </c>
      <c r="AE39">
        <v>36</v>
      </c>
    </row>
    <row r="40" spans="1:31" x14ac:dyDescent="0.3">
      <c r="A40" t="s">
        <v>249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1</v>
      </c>
      <c r="J40">
        <v>1</v>
      </c>
      <c r="K40">
        <v>3</v>
      </c>
      <c r="L40">
        <v>2</v>
      </c>
      <c r="M40">
        <v>2</v>
      </c>
      <c r="N40">
        <v>4</v>
      </c>
      <c r="O40">
        <v>5</v>
      </c>
      <c r="P40">
        <v>6</v>
      </c>
      <c r="Q40">
        <v>6</v>
      </c>
      <c r="R40">
        <v>7</v>
      </c>
      <c r="S40">
        <v>16</v>
      </c>
      <c r="T40">
        <v>7</v>
      </c>
      <c r="U40">
        <v>3</v>
      </c>
      <c r="V40">
        <v>2</v>
      </c>
      <c r="W40">
        <v>1</v>
      </c>
      <c r="X40">
        <v>4</v>
      </c>
      <c r="Y40">
        <v>4</v>
      </c>
      <c r="Z40">
        <v>4</v>
      </c>
      <c r="AA40">
        <v>5</v>
      </c>
      <c r="AB40">
        <v>5</v>
      </c>
      <c r="AC40">
        <v>5</v>
      </c>
      <c r="AD40">
        <v>4</v>
      </c>
      <c r="AE40">
        <v>4</v>
      </c>
    </row>
    <row r="41" spans="1:31" x14ac:dyDescent="0.3">
      <c r="A41" t="s">
        <v>249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249</v>
      </c>
      <c r="B42" t="s">
        <v>202</v>
      </c>
      <c r="C42" t="s">
        <v>0</v>
      </c>
      <c r="D42" t="s">
        <v>203</v>
      </c>
      <c r="E42" t="s">
        <v>123</v>
      </c>
      <c r="F42">
        <v>9</v>
      </c>
      <c r="G42">
        <v>10</v>
      </c>
      <c r="H42">
        <v>13</v>
      </c>
      <c r="I42">
        <v>16</v>
      </c>
      <c r="J42">
        <v>20</v>
      </c>
      <c r="K42">
        <v>17</v>
      </c>
      <c r="L42">
        <v>17</v>
      </c>
      <c r="M42">
        <v>11</v>
      </c>
      <c r="N42">
        <v>21</v>
      </c>
      <c r="O42">
        <v>19</v>
      </c>
      <c r="P42">
        <v>21</v>
      </c>
      <c r="Q42">
        <v>26</v>
      </c>
      <c r="R42">
        <v>29</v>
      </c>
      <c r="S42">
        <v>38</v>
      </c>
      <c r="T42">
        <v>10</v>
      </c>
      <c r="U42">
        <v>17</v>
      </c>
      <c r="V42">
        <v>21</v>
      </c>
      <c r="W42">
        <v>12</v>
      </c>
      <c r="X42">
        <v>14</v>
      </c>
      <c r="Y42">
        <v>10</v>
      </c>
      <c r="Z42">
        <v>9</v>
      </c>
      <c r="AA42">
        <v>12</v>
      </c>
      <c r="AB42">
        <v>12</v>
      </c>
      <c r="AC42">
        <v>10</v>
      </c>
      <c r="AD42">
        <v>9</v>
      </c>
      <c r="AE42">
        <v>9</v>
      </c>
    </row>
    <row r="43" spans="1:31" x14ac:dyDescent="0.3">
      <c r="A43" t="s">
        <v>249</v>
      </c>
      <c r="B43" t="s">
        <v>204</v>
      </c>
      <c r="C43" t="s">
        <v>0</v>
      </c>
      <c r="D43" t="s">
        <v>205</v>
      </c>
      <c r="E43" t="s">
        <v>123</v>
      </c>
      <c r="F43">
        <v>14</v>
      </c>
      <c r="G43">
        <v>16</v>
      </c>
      <c r="H43">
        <v>20</v>
      </c>
      <c r="I43">
        <v>26</v>
      </c>
      <c r="J43">
        <v>31</v>
      </c>
      <c r="K43">
        <v>29</v>
      </c>
      <c r="L43">
        <v>26</v>
      </c>
      <c r="M43">
        <v>17</v>
      </c>
      <c r="N43">
        <v>39</v>
      </c>
      <c r="O43">
        <v>37</v>
      </c>
      <c r="P43">
        <v>40</v>
      </c>
      <c r="Q43">
        <v>49</v>
      </c>
      <c r="R43">
        <v>55</v>
      </c>
      <c r="S43">
        <v>73</v>
      </c>
      <c r="T43">
        <v>36</v>
      </c>
      <c r="U43">
        <v>40</v>
      </c>
      <c r="V43">
        <v>48</v>
      </c>
      <c r="W43">
        <v>37</v>
      </c>
      <c r="X43">
        <v>34</v>
      </c>
      <c r="Y43">
        <v>26</v>
      </c>
      <c r="Z43">
        <v>22</v>
      </c>
      <c r="AA43">
        <v>31</v>
      </c>
      <c r="AB43">
        <v>26</v>
      </c>
      <c r="AC43">
        <v>25</v>
      </c>
      <c r="AD43">
        <v>24</v>
      </c>
      <c r="AE43">
        <v>21</v>
      </c>
    </row>
    <row r="44" spans="1:31" x14ac:dyDescent="0.3">
      <c r="A44" t="s">
        <v>249</v>
      </c>
      <c r="B44" t="s">
        <v>206</v>
      </c>
      <c r="C44" t="s">
        <v>0</v>
      </c>
      <c r="D44" t="s">
        <v>207</v>
      </c>
      <c r="E44" t="s">
        <v>123</v>
      </c>
      <c r="F44">
        <v>249</v>
      </c>
      <c r="G44">
        <v>240</v>
      </c>
      <c r="H44">
        <v>315</v>
      </c>
      <c r="I44">
        <v>377</v>
      </c>
      <c r="J44">
        <v>403</v>
      </c>
      <c r="K44">
        <v>333</v>
      </c>
      <c r="L44">
        <v>367</v>
      </c>
      <c r="M44">
        <v>214</v>
      </c>
      <c r="N44">
        <v>389</v>
      </c>
      <c r="O44">
        <v>492</v>
      </c>
      <c r="P44">
        <v>408</v>
      </c>
      <c r="Q44">
        <v>563</v>
      </c>
      <c r="R44">
        <v>720</v>
      </c>
      <c r="S44">
        <v>694</v>
      </c>
      <c r="T44">
        <v>495</v>
      </c>
      <c r="U44">
        <v>460</v>
      </c>
      <c r="V44">
        <v>475</v>
      </c>
      <c r="W44">
        <v>486</v>
      </c>
      <c r="X44">
        <v>404</v>
      </c>
      <c r="Y44">
        <v>411</v>
      </c>
      <c r="Z44">
        <v>462</v>
      </c>
      <c r="AA44">
        <v>499</v>
      </c>
      <c r="AB44">
        <v>546</v>
      </c>
      <c r="AC44">
        <v>501</v>
      </c>
      <c r="AD44">
        <v>437</v>
      </c>
      <c r="AE44">
        <v>428</v>
      </c>
    </row>
    <row r="45" spans="1:31" x14ac:dyDescent="0.3">
      <c r="A45" t="s">
        <v>249</v>
      </c>
      <c r="B45" t="s">
        <v>208</v>
      </c>
      <c r="C45" t="s">
        <v>0</v>
      </c>
      <c r="D45" t="s">
        <v>209</v>
      </c>
      <c r="E45" t="s">
        <v>123</v>
      </c>
      <c r="F45">
        <v>238</v>
      </c>
      <c r="G45">
        <v>232</v>
      </c>
      <c r="H45">
        <v>303</v>
      </c>
      <c r="I45">
        <v>363</v>
      </c>
      <c r="J45">
        <v>387</v>
      </c>
      <c r="K45">
        <v>322</v>
      </c>
      <c r="L45">
        <v>356</v>
      </c>
      <c r="M45">
        <v>207</v>
      </c>
      <c r="N45">
        <v>375</v>
      </c>
      <c r="O45">
        <v>472</v>
      </c>
      <c r="P45">
        <v>393</v>
      </c>
      <c r="Q45">
        <v>553</v>
      </c>
      <c r="R45">
        <v>709</v>
      </c>
      <c r="S45">
        <v>686</v>
      </c>
      <c r="T45">
        <v>485</v>
      </c>
      <c r="U45">
        <v>452</v>
      </c>
      <c r="V45">
        <v>468</v>
      </c>
      <c r="W45">
        <v>478</v>
      </c>
      <c r="X45">
        <v>396</v>
      </c>
      <c r="Y45">
        <v>403</v>
      </c>
      <c r="Z45">
        <v>454</v>
      </c>
      <c r="AA45">
        <v>491</v>
      </c>
      <c r="AB45">
        <v>538</v>
      </c>
      <c r="AC45">
        <v>493</v>
      </c>
      <c r="AD45">
        <v>429</v>
      </c>
      <c r="AE45">
        <v>420</v>
      </c>
    </row>
    <row r="46" spans="1:31" x14ac:dyDescent="0.3">
      <c r="A46" t="s">
        <v>249</v>
      </c>
      <c r="B46" t="s">
        <v>210</v>
      </c>
      <c r="C46" t="s">
        <v>0</v>
      </c>
      <c r="D46" t="s">
        <v>211</v>
      </c>
      <c r="E46" t="s">
        <v>123</v>
      </c>
      <c r="F46">
        <v>5</v>
      </c>
      <c r="G46">
        <v>6</v>
      </c>
      <c r="H46">
        <v>7</v>
      </c>
      <c r="I46">
        <v>10</v>
      </c>
      <c r="J46">
        <v>11</v>
      </c>
      <c r="K46">
        <v>12</v>
      </c>
      <c r="L46">
        <v>9</v>
      </c>
      <c r="M46">
        <v>6</v>
      </c>
      <c r="N46">
        <v>18</v>
      </c>
      <c r="O46">
        <v>18</v>
      </c>
      <c r="P46">
        <v>19</v>
      </c>
      <c r="Q46">
        <v>23</v>
      </c>
      <c r="R46">
        <v>26</v>
      </c>
      <c r="S46">
        <v>35</v>
      </c>
      <c r="T46">
        <v>26</v>
      </c>
      <c r="U46">
        <v>23</v>
      </c>
      <c r="V46">
        <v>27</v>
      </c>
      <c r="W46">
        <v>25</v>
      </c>
      <c r="X46">
        <v>20</v>
      </c>
      <c r="Y46">
        <v>16</v>
      </c>
      <c r="Z46">
        <v>13</v>
      </c>
      <c r="AA46">
        <v>19</v>
      </c>
      <c r="AB46">
        <v>14</v>
      </c>
      <c r="AC46">
        <v>15</v>
      </c>
      <c r="AD46">
        <v>15</v>
      </c>
      <c r="AE46">
        <v>12</v>
      </c>
    </row>
    <row r="47" spans="1:31" x14ac:dyDescent="0.3">
      <c r="A47" t="s">
        <v>249</v>
      </c>
      <c r="B47" t="s">
        <v>212</v>
      </c>
      <c r="C47" t="s">
        <v>0</v>
      </c>
      <c r="D47" t="s">
        <v>213</v>
      </c>
      <c r="E47" t="s">
        <v>123</v>
      </c>
      <c r="F47">
        <v>12</v>
      </c>
      <c r="G47">
        <v>13</v>
      </c>
      <c r="H47">
        <v>14</v>
      </c>
      <c r="I47">
        <v>19</v>
      </c>
      <c r="J47">
        <v>27</v>
      </c>
      <c r="K47">
        <v>21</v>
      </c>
      <c r="L47">
        <v>25</v>
      </c>
      <c r="M47">
        <v>14</v>
      </c>
      <c r="N47">
        <v>26</v>
      </c>
      <c r="O47">
        <v>33</v>
      </c>
      <c r="P47">
        <v>26</v>
      </c>
      <c r="Q47">
        <v>9</v>
      </c>
      <c r="R47">
        <v>14</v>
      </c>
      <c r="S47">
        <v>13</v>
      </c>
      <c r="T47">
        <v>8</v>
      </c>
      <c r="U47">
        <v>8</v>
      </c>
      <c r="V47">
        <v>4</v>
      </c>
      <c r="W47">
        <v>7</v>
      </c>
      <c r="X47">
        <v>6</v>
      </c>
      <c r="Y47">
        <v>4</v>
      </c>
      <c r="Z47">
        <v>7</v>
      </c>
      <c r="AA47">
        <v>7</v>
      </c>
      <c r="AB47">
        <v>8</v>
      </c>
      <c r="AC47">
        <v>6</v>
      </c>
      <c r="AD47">
        <v>8</v>
      </c>
      <c r="AE47">
        <v>6</v>
      </c>
    </row>
    <row r="48" spans="1:31" x14ac:dyDescent="0.3">
      <c r="A48" t="s">
        <v>249</v>
      </c>
      <c r="B48" t="s">
        <v>214</v>
      </c>
      <c r="C48" t="s">
        <v>0</v>
      </c>
      <c r="D48" t="s">
        <v>215</v>
      </c>
      <c r="E48" t="s">
        <v>123</v>
      </c>
      <c r="F48">
        <v>35</v>
      </c>
      <c r="G48">
        <v>34</v>
      </c>
      <c r="H48">
        <v>43</v>
      </c>
      <c r="I48">
        <v>53</v>
      </c>
      <c r="J48">
        <v>69</v>
      </c>
      <c r="K48">
        <v>58</v>
      </c>
      <c r="L48">
        <v>66</v>
      </c>
      <c r="M48">
        <v>42</v>
      </c>
      <c r="N48">
        <v>77</v>
      </c>
      <c r="O48">
        <v>98</v>
      </c>
      <c r="P48">
        <v>83</v>
      </c>
      <c r="Q48">
        <v>41</v>
      </c>
      <c r="R48">
        <v>47</v>
      </c>
      <c r="S48">
        <v>45</v>
      </c>
      <c r="T48">
        <v>44</v>
      </c>
      <c r="U48">
        <v>33</v>
      </c>
      <c r="V48">
        <v>26</v>
      </c>
      <c r="W48">
        <v>30</v>
      </c>
      <c r="X48">
        <v>30</v>
      </c>
      <c r="Y48">
        <v>27</v>
      </c>
      <c r="Z48">
        <v>27</v>
      </c>
      <c r="AA48">
        <v>27</v>
      </c>
      <c r="AB48">
        <v>25</v>
      </c>
      <c r="AC48">
        <v>24</v>
      </c>
      <c r="AD48">
        <v>25</v>
      </c>
      <c r="AE48">
        <v>22</v>
      </c>
    </row>
    <row r="49" spans="1:31" x14ac:dyDescent="0.3">
      <c r="A49" t="s">
        <v>249</v>
      </c>
      <c r="B49" t="s">
        <v>216</v>
      </c>
      <c r="C49" t="s">
        <v>0</v>
      </c>
      <c r="D49" t="s">
        <v>217</v>
      </c>
      <c r="E49" t="s">
        <v>123</v>
      </c>
      <c r="F49">
        <v>11</v>
      </c>
      <c r="G49">
        <v>8</v>
      </c>
      <c r="H49">
        <v>11</v>
      </c>
      <c r="I49">
        <v>13</v>
      </c>
      <c r="J49">
        <v>16</v>
      </c>
      <c r="K49">
        <v>13</v>
      </c>
      <c r="L49">
        <v>15</v>
      </c>
      <c r="M49">
        <v>10</v>
      </c>
      <c r="N49">
        <v>17</v>
      </c>
      <c r="O49">
        <v>21</v>
      </c>
      <c r="P49">
        <v>15</v>
      </c>
      <c r="Q49">
        <v>15</v>
      </c>
      <c r="R49">
        <v>14</v>
      </c>
      <c r="S49">
        <v>14</v>
      </c>
      <c r="T49">
        <v>6</v>
      </c>
      <c r="U49">
        <v>5</v>
      </c>
      <c r="V49">
        <v>5</v>
      </c>
      <c r="W49">
        <v>7</v>
      </c>
      <c r="X49">
        <v>7</v>
      </c>
      <c r="Y49">
        <v>5</v>
      </c>
      <c r="Z49">
        <v>7</v>
      </c>
      <c r="AA49">
        <v>8</v>
      </c>
      <c r="AB49">
        <v>9</v>
      </c>
      <c r="AC49">
        <v>10</v>
      </c>
      <c r="AD49">
        <v>9</v>
      </c>
      <c r="AE49">
        <v>8</v>
      </c>
    </row>
    <row r="50" spans="1:31" x14ac:dyDescent="0.3">
      <c r="A50" t="s">
        <v>249</v>
      </c>
      <c r="B50" t="s">
        <v>218</v>
      </c>
      <c r="C50" t="s">
        <v>0</v>
      </c>
      <c r="D50" t="s">
        <v>219</v>
      </c>
      <c r="E50" t="s">
        <v>123</v>
      </c>
      <c r="F50">
        <v>12</v>
      </c>
      <c r="G50">
        <v>13</v>
      </c>
      <c r="H50">
        <v>18</v>
      </c>
      <c r="I50">
        <v>21</v>
      </c>
      <c r="J50">
        <v>26</v>
      </c>
      <c r="K50">
        <v>24</v>
      </c>
      <c r="L50">
        <v>26</v>
      </c>
      <c r="M50">
        <v>18</v>
      </c>
      <c r="N50">
        <v>34</v>
      </c>
      <c r="O50">
        <v>44</v>
      </c>
      <c r="P50">
        <v>42</v>
      </c>
      <c r="Q50">
        <v>17</v>
      </c>
      <c r="R50">
        <v>19</v>
      </c>
      <c r="S50">
        <v>18</v>
      </c>
      <c r="T50">
        <v>30</v>
      </c>
      <c r="U50">
        <v>20</v>
      </c>
      <c r="V50">
        <v>17</v>
      </c>
      <c r="W50">
        <v>16</v>
      </c>
      <c r="X50">
        <v>17</v>
      </c>
      <c r="Y50">
        <v>18</v>
      </c>
      <c r="Z50">
        <v>13</v>
      </c>
      <c r="AA50">
        <v>12</v>
      </c>
      <c r="AB50">
        <v>8</v>
      </c>
      <c r="AC50">
        <v>8</v>
      </c>
      <c r="AD50">
        <v>8</v>
      </c>
      <c r="AE50">
        <v>8</v>
      </c>
    </row>
    <row r="51" spans="1:31" x14ac:dyDescent="0.3">
      <c r="A51" t="s">
        <v>249</v>
      </c>
      <c r="B51" t="s">
        <v>220</v>
      </c>
      <c r="C51" t="s">
        <v>0</v>
      </c>
      <c r="D51" t="s">
        <v>221</v>
      </c>
      <c r="E51" t="s">
        <v>123</v>
      </c>
      <c r="F51">
        <v>12</v>
      </c>
      <c r="G51">
        <v>13</v>
      </c>
      <c r="H51">
        <v>17</v>
      </c>
      <c r="I51">
        <v>20</v>
      </c>
      <c r="J51">
        <v>25</v>
      </c>
      <c r="K51">
        <v>24</v>
      </c>
      <c r="L51">
        <v>25</v>
      </c>
      <c r="M51">
        <v>18</v>
      </c>
      <c r="N51">
        <v>32</v>
      </c>
      <c r="O51">
        <v>41</v>
      </c>
      <c r="P51">
        <v>39</v>
      </c>
      <c r="Q51">
        <v>17</v>
      </c>
      <c r="R51">
        <v>19</v>
      </c>
      <c r="S51">
        <v>18</v>
      </c>
      <c r="T51">
        <v>29</v>
      </c>
      <c r="U51">
        <v>19</v>
      </c>
      <c r="V51">
        <v>17</v>
      </c>
      <c r="W51">
        <v>15</v>
      </c>
      <c r="X51">
        <v>15</v>
      </c>
      <c r="Y51">
        <v>16</v>
      </c>
      <c r="Z51">
        <v>11</v>
      </c>
      <c r="AA51">
        <v>9</v>
      </c>
      <c r="AB51">
        <v>7</v>
      </c>
      <c r="AC51">
        <v>7</v>
      </c>
      <c r="AD51">
        <v>6</v>
      </c>
      <c r="AE51">
        <v>6</v>
      </c>
    </row>
    <row r="52" spans="1:31" x14ac:dyDescent="0.3">
      <c r="A52" t="s">
        <v>249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1</v>
      </c>
      <c r="M52">
        <v>0</v>
      </c>
      <c r="N52">
        <v>2</v>
      </c>
      <c r="O52">
        <v>3</v>
      </c>
      <c r="P52">
        <v>3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2</v>
      </c>
      <c r="Y52">
        <v>2</v>
      </c>
      <c r="Z52">
        <v>2</v>
      </c>
      <c r="AA52">
        <v>3</v>
      </c>
      <c r="AB52">
        <v>1</v>
      </c>
      <c r="AC52">
        <v>1</v>
      </c>
      <c r="AD52">
        <v>2</v>
      </c>
      <c r="AE52">
        <v>2</v>
      </c>
    </row>
    <row r="53" spans="1:31" x14ac:dyDescent="0.3">
      <c r="A53" t="s">
        <v>249</v>
      </c>
      <c r="B53" t="s">
        <v>224</v>
      </c>
      <c r="C53" t="s">
        <v>0</v>
      </c>
      <c r="D53" t="s">
        <v>225</v>
      </c>
      <c r="E53" t="s">
        <v>123</v>
      </c>
      <c r="F53">
        <v>4</v>
      </c>
      <c r="G53">
        <v>7</v>
      </c>
      <c r="H53">
        <v>10</v>
      </c>
      <c r="I53">
        <v>11</v>
      </c>
      <c r="J53">
        <v>1</v>
      </c>
      <c r="K53">
        <v>11</v>
      </c>
      <c r="L53">
        <v>10</v>
      </c>
      <c r="M53">
        <v>6</v>
      </c>
      <c r="N53">
        <v>12</v>
      </c>
      <c r="O53">
        <v>16</v>
      </c>
      <c r="P53">
        <v>13</v>
      </c>
      <c r="Q53">
        <v>13</v>
      </c>
      <c r="R53">
        <v>21</v>
      </c>
      <c r="S53">
        <v>17</v>
      </c>
      <c r="T53">
        <v>18</v>
      </c>
      <c r="U53">
        <v>11</v>
      </c>
      <c r="V53">
        <v>16</v>
      </c>
      <c r="W53">
        <v>17</v>
      </c>
      <c r="X53">
        <v>17</v>
      </c>
      <c r="Y53">
        <v>14</v>
      </c>
      <c r="Z53">
        <v>14</v>
      </c>
      <c r="AA53">
        <v>16</v>
      </c>
      <c r="AB53">
        <v>15</v>
      </c>
      <c r="AC53">
        <v>10</v>
      </c>
      <c r="AD53">
        <v>8</v>
      </c>
      <c r="AE53">
        <v>7</v>
      </c>
    </row>
    <row r="54" spans="1:31" x14ac:dyDescent="0.3">
      <c r="A54" t="s">
        <v>249</v>
      </c>
      <c r="B54" t="s">
        <v>226</v>
      </c>
      <c r="C54" t="s">
        <v>0</v>
      </c>
      <c r="D54" t="s">
        <v>227</v>
      </c>
      <c r="E54" t="s">
        <v>123</v>
      </c>
      <c r="F54">
        <v>5</v>
      </c>
      <c r="G54">
        <v>8</v>
      </c>
      <c r="H54">
        <v>11</v>
      </c>
      <c r="I54">
        <v>12</v>
      </c>
      <c r="J54">
        <v>4</v>
      </c>
      <c r="K54">
        <v>13</v>
      </c>
      <c r="L54">
        <v>12</v>
      </c>
      <c r="M54">
        <v>7</v>
      </c>
      <c r="N54">
        <v>17</v>
      </c>
      <c r="O54">
        <v>21</v>
      </c>
      <c r="P54">
        <v>17</v>
      </c>
      <c r="Q54">
        <v>19</v>
      </c>
      <c r="R54">
        <v>28</v>
      </c>
      <c r="S54">
        <v>23</v>
      </c>
      <c r="T54">
        <v>24</v>
      </c>
      <c r="U54">
        <v>18</v>
      </c>
      <c r="V54">
        <v>24</v>
      </c>
      <c r="W54">
        <v>28</v>
      </c>
      <c r="X54">
        <v>27</v>
      </c>
      <c r="Y54">
        <v>22</v>
      </c>
      <c r="Z54">
        <v>22</v>
      </c>
      <c r="AA54">
        <v>24</v>
      </c>
      <c r="AB54">
        <v>24</v>
      </c>
      <c r="AC54">
        <v>18</v>
      </c>
      <c r="AD54">
        <v>16</v>
      </c>
      <c r="AE54">
        <v>11</v>
      </c>
    </row>
    <row r="55" spans="1:31" x14ac:dyDescent="0.3">
      <c r="A55" t="s">
        <v>249</v>
      </c>
      <c r="B55" t="s">
        <v>228</v>
      </c>
      <c r="C55" t="s">
        <v>0</v>
      </c>
      <c r="D55" t="s">
        <v>229</v>
      </c>
      <c r="E55" t="s">
        <v>123</v>
      </c>
      <c r="F55">
        <v>1</v>
      </c>
      <c r="G55">
        <v>1</v>
      </c>
      <c r="H55">
        <v>1</v>
      </c>
      <c r="I55">
        <v>1</v>
      </c>
      <c r="J55">
        <v>3</v>
      </c>
      <c r="K55">
        <v>2</v>
      </c>
      <c r="L55">
        <v>2</v>
      </c>
      <c r="M55">
        <v>1</v>
      </c>
      <c r="N55">
        <v>5</v>
      </c>
      <c r="O55">
        <v>5</v>
      </c>
      <c r="P55">
        <v>4</v>
      </c>
      <c r="Q55">
        <v>6</v>
      </c>
      <c r="R55">
        <v>7</v>
      </c>
      <c r="S55">
        <v>6</v>
      </c>
      <c r="T55">
        <v>6</v>
      </c>
      <c r="U55">
        <v>7</v>
      </c>
      <c r="V55">
        <v>8</v>
      </c>
      <c r="W55">
        <v>11</v>
      </c>
      <c r="X55">
        <v>10</v>
      </c>
      <c r="Y55">
        <v>8</v>
      </c>
      <c r="Z55">
        <v>8</v>
      </c>
      <c r="AA55">
        <v>8</v>
      </c>
      <c r="AB55">
        <v>9</v>
      </c>
      <c r="AC55">
        <v>8</v>
      </c>
      <c r="AD55">
        <v>8</v>
      </c>
      <c r="AE55">
        <v>4</v>
      </c>
    </row>
    <row r="56" spans="1:31" x14ac:dyDescent="0.3">
      <c r="A56" t="s">
        <v>249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249</v>
      </c>
      <c r="B57" t="s">
        <v>232</v>
      </c>
      <c r="C57" t="s">
        <v>0</v>
      </c>
      <c r="D57" t="s">
        <v>233</v>
      </c>
      <c r="E57" t="s">
        <v>123</v>
      </c>
      <c r="F57">
        <v>284</v>
      </c>
      <c r="G57">
        <v>274</v>
      </c>
      <c r="H57">
        <v>358</v>
      </c>
      <c r="I57">
        <v>431</v>
      </c>
      <c r="J57">
        <v>473</v>
      </c>
      <c r="K57">
        <v>394</v>
      </c>
      <c r="L57">
        <v>435</v>
      </c>
      <c r="M57">
        <v>258</v>
      </c>
      <c r="N57">
        <v>470</v>
      </c>
      <c r="O57">
        <v>595</v>
      </c>
      <c r="P57">
        <v>497</v>
      </c>
      <c r="Q57">
        <v>610</v>
      </c>
      <c r="R57">
        <v>774</v>
      </c>
      <c r="S57">
        <v>755</v>
      </c>
      <c r="T57">
        <v>546</v>
      </c>
      <c r="U57">
        <v>496</v>
      </c>
      <c r="V57">
        <v>503</v>
      </c>
      <c r="W57">
        <v>517</v>
      </c>
      <c r="X57">
        <v>438</v>
      </c>
      <c r="Y57">
        <v>442</v>
      </c>
      <c r="Z57">
        <v>493</v>
      </c>
      <c r="AA57">
        <v>531</v>
      </c>
      <c r="AB57">
        <v>576</v>
      </c>
      <c r="AC57">
        <v>530</v>
      </c>
      <c r="AD57">
        <v>466</v>
      </c>
      <c r="AE57">
        <v>454</v>
      </c>
    </row>
    <row r="58" spans="1:31" x14ac:dyDescent="0.3">
      <c r="A58" t="s">
        <v>249</v>
      </c>
      <c r="B58" t="s">
        <v>234</v>
      </c>
      <c r="C58" t="s">
        <v>0</v>
      </c>
      <c r="D58" t="s">
        <v>235</v>
      </c>
      <c r="E58" t="s">
        <v>123</v>
      </c>
      <c r="F58">
        <v>284</v>
      </c>
      <c r="G58">
        <v>274</v>
      </c>
      <c r="H58">
        <v>358</v>
      </c>
      <c r="I58">
        <v>431</v>
      </c>
      <c r="J58">
        <v>473</v>
      </c>
      <c r="K58">
        <v>394</v>
      </c>
      <c r="L58">
        <v>435</v>
      </c>
      <c r="M58">
        <v>258</v>
      </c>
      <c r="N58">
        <v>470</v>
      </c>
      <c r="O58">
        <v>595</v>
      </c>
      <c r="P58">
        <v>497</v>
      </c>
      <c r="Q58">
        <v>610</v>
      </c>
      <c r="R58">
        <v>774</v>
      </c>
      <c r="S58">
        <v>755</v>
      </c>
      <c r="T58">
        <v>546</v>
      </c>
      <c r="U58">
        <v>496</v>
      </c>
      <c r="V58">
        <v>503</v>
      </c>
      <c r="W58">
        <v>517</v>
      </c>
      <c r="X58">
        <v>438</v>
      </c>
      <c r="Y58">
        <v>442</v>
      </c>
      <c r="Z58">
        <v>493</v>
      </c>
      <c r="AA58">
        <v>531</v>
      </c>
      <c r="AB58">
        <v>576</v>
      </c>
      <c r="AC58">
        <v>530</v>
      </c>
      <c r="AD58">
        <v>466</v>
      </c>
      <c r="AE58">
        <v>454</v>
      </c>
    </row>
    <row r="59" spans="1:31" x14ac:dyDescent="0.3">
      <c r="A59" t="s">
        <v>249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250</v>
      </c>
      <c r="B2" t="s">
        <v>121</v>
      </c>
      <c r="C2" t="s">
        <v>0</v>
      </c>
      <c r="D2" t="s">
        <v>122</v>
      </c>
      <c r="E2" t="s">
        <v>123</v>
      </c>
      <c r="F2">
        <v>2</v>
      </c>
      <c r="G2">
        <v>1</v>
      </c>
      <c r="H2">
        <v>2</v>
      </c>
      <c r="I2">
        <v>2</v>
      </c>
      <c r="J2">
        <v>2</v>
      </c>
      <c r="K2">
        <v>3</v>
      </c>
      <c r="L2">
        <v>3</v>
      </c>
      <c r="M2">
        <v>3</v>
      </c>
      <c r="N2">
        <v>3</v>
      </c>
      <c r="O2">
        <v>3</v>
      </c>
      <c r="P2">
        <v>4</v>
      </c>
      <c r="Q2">
        <v>6</v>
      </c>
      <c r="R2">
        <v>5</v>
      </c>
      <c r="S2">
        <v>5</v>
      </c>
      <c r="T2">
        <v>5</v>
      </c>
      <c r="U2">
        <v>6</v>
      </c>
      <c r="V2">
        <v>5</v>
      </c>
      <c r="W2">
        <v>5</v>
      </c>
      <c r="X2">
        <v>6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</row>
    <row r="3" spans="1:31" x14ac:dyDescent="0.3">
      <c r="A3" t="s">
        <v>250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</v>
      </c>
      <c r="R3">
        <v>2</v>
      </c>
      <c r="S3">
        <v>2</v>
      </c>
      <c r="T3">
        <v>6</v>
      </c>
      <c r="U3">
        <v>8</v>
      </c>
      <c r="V3">
        <v>5</v>
      </c>
      <c r="W3">
        <v>3</v>
      </c>
      <c r="X3">
        <v>1</v>
      </c>
      <c r="Y3">
        <v>1</v>
      </c>
      <c r="Z3">
        <v>2</v>
      </c>
      <c r="AA3">
        <v>2</v>
      </c>
      <c r="AB3">
        <v>4</v>
      </c>
      <c r="AC3">
        <v>4</v>
      </c>
      <c r="AD3">
        <v>5</v>
      </c>
      <c r="AE3">
        <v>7</v>
      </c>
    </row>
    <row r="4" spans="1:31" x14ac:dyDescent="0.3">
      <c r="A4" t="s">
        <v>250</v>
      </c>
      <c r="B4" t="s">
        <v>126</v>
      </c>
      <c r="C4" t="s">
        <v>0</v>
      </c>
      <c r="D4" t="s">
        <v>127</v>
      </c>
      <c r="E4" t="s">
        <v>123</v>
      </c>
      <c r="F4">
        <v>206</v>
      </c>
      <c r="G4">
        <v>189</v>
      </c>
      <c r="H4">
        <v>236</v>
      </c>
      <c r="I4">
        <v>311</v>
      </c>
      <c r="J4">
        <v>345</v>
      </c>
      <c r="K4">
        <v>398</v>
      </c>
      <c r="L4">
        <v>482</v>
      </c>
      <c r="M4">
        <v>403</v>
      </c>
      <c r="N4">
        <v>526</v>
      </c>
      <c r="O4">
        <v>482</v>
      </c>
      <c r="P4">
        <v>601</v>
      </c>
      <c r="Q4">
        <v>682</v>
      </c>
      <c r="R4">
        <v>682</v>
      </c>
      <c r="S4">
        <v>683</v>
      </c>
      <c r="T4">
        <v>766</v>
      </c>
      <c r="U4">
        <v>791</v>
      </c>
      <c r="V4">
        <v>804</v>
      </c>
      <c r="W4">
        <v>818</v>
      </c>
      <c r="X4">
        <v>717</v>
      </c>
      <c r="Y4">
        <v>739</v>
      </c>
      <c r="Z4">
        <v>718</v>
      </c>
      <c r="AA4">
        <v>679</v>
      </c>
      <c r="AB4">
        <v>756</v>
      </c>
      <c r="AC4">
        <v>835</v>
      </c>
      <c r="AD4">
        <v>866</v>
      </c>
      <c r="AE4">
        <v>903</v>
      </c>
    </row>
    <row r="5" spans="1:31" x14ac:dyDescent="0.3">
      <c r="A5" t="s">
        <v>250</v>
      </c>
      <c r="B5" t="s">
        <v>128</v>
      </c>
      <c r="C5" t="s">
        <v>0</v>
      </c>
      <c r="D5" t="s">
        <v>129</v>
      </c>
      <c r="E5" t="s">
        <v>123</v>
      </c>
      <c r="F5">
        <v>13</v>
      </c>
      <c r="G5">
        <v>14</v>
      </c>
      <c r="H5">
        <v>14</v>
      </c>
      <c r="I5">
        <v>18</v>
      </c>
      <c r="J5">
        <v>25</v>
      </c>
      <c r="K5">
        <v>32</v>
      </c>
      <c r="L5">
        <v>26</v>
      </c>
      <c r="M5">
        <v>19</v>
      </c>
      <c r="N5">
        <v>40</v>
      </c>
      <c r="O5">
        <v>34</v>
      </c>
      <c r="P5">
        <v>44</v>
      </c>
      <c r="Q5">
        <v>37</v>
      </c>
      <c r="R5">
        <v>33</v>
      </c>
      <c r="S5">
        <v>36</v>
      </c>
      <c r="T5">
        <v>36</v>
      </c>
      <c r="U5">
        <v>44</v>
      </c>
      <c r="V5">
        <v>51</v>
      </c>
      <c r="W5">
        <v>52</v>
      </c>
      <c r="X5">
        <v>55</v>
      </c>
      <c r="Y5">
        <v>52</v>
      </c>
      <c r="Z5">
        <v>48</v>
      </c>
      <c r="AA5">
        <v>55</v>
      </c>
      <c r="AB5">
        <v>52</v>
      </c>
      <c r="AC5">
        <v>50</v>
      </c>
      <c r="AD5">
        <v>42</v>
      </c>
      <c r="AE5">
        <v>67</v>
      </c>
    </row>
    <row r="6" spans="1:31" x14ac:dyDescent="0.3">
      <c r="A6" t="s">
        <v>250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2</v>
      </c>
      <c r="H6">
        <v>2</v>
      </c>
      <c r="I6">
        <v>2</v>
      </c>
      <c r="J6">
        <v>1</v>
      </c>
      <c r="K6">
        <v>1</v>
      </c>
      <c r="L6">
        <v>2</v>
      </c>
      <c r="M6">
        <v>1</v>
      </c>
      <c r="N6">
        <v>3</v>
      </c>
      <c r="O6">
        <v>3</v>
      </c>
      <c r="P6">
        <v>3</v>
      </c>
      <c r="Q6">
        <v>3</v>
      </c>
      <c r="R6">
        <v>4</v>
      </c>
      <c r="S6">
        <v>3</v>
      </c>
      <c r="T6">
        <v>2</v>
      </c>
      <c r="U6">
        <v>2</v>
      </c>
      <c r="V6">
        <v>2</v>
      </c>
      <c r="W6">
        <v>4</v>
      </c>
      <c r="X6">
        <v>3</v>
      </c>
      <c r="Y6">
        <v>3</v>
      </c>
      <c r="Z6">
        <v>4</v>
      </c>
      <c r="AA6">
        <v>5</v>
      </c>
      <c r="AB6">
        <v>7</v>
      </c>
      <c r="AC6">
        <v>18</v>
      </c>
      <c r="AD6">
        <v>4</v>
      </c>
      <c r="AE6">
        <v>6</v>
      </c>
    </row>
    <row r="7" spans="1:31" x14ac:dyDescent="0.3">
      <c r="A7" t="s">
        <v>250</v>
      </c>
      <c r="B7" t="s">
        <v>132</v>
      </c>
      <c r="C7" t="s">
        <v>0</v>
      </c>
      <c r="D7" t="s">
        <v>133</v>
      </c>
      <c r="E7" t="s">
        <v>123</v>
      </c>
      <c r="F7">
        <v>45</v>
      </c>
      <c r="G7">
        <v>51</v>
      </c>
      <c r="H7">
        <v>60</v>
      </c>
      <c r="I7">
        <v>81</v>
      </c>
      <c r="J7">
        <v>80</v>
      </c>
      <c r="K7">
        <v>114</v>
      </c>
      <c r="L7">
        <v>150</v>
      </c>
      <c r="M7">
        <v>119</v>
      </c>
      <c r="N7">
        <v>119</v>
      </c>
      <c r="O7">
        <v>103</v>
      </c>
      <c r="P7">
        <v>161</v>
      </c>
      <c r="Q7">
        <v>205</v>
      </c>
      <c r="R7">
        <v>156</v>
      </c>
      <c r="S7">
        <v>118</v>
      </c>
      <c r="T7">
        <v>131</v>
      </c>
      <c r="U7">
        <v>122</v>
      </c>
      <c r="V7">
        <v>99</v>
      </c>
      <c r="W7">
        <v>112</v>
      </c>
      <c r="X7">
        <v>54</v>
      </c>
      <c r="Y7">
        <v>61</v>
      </c>
      <c r="Z7">
        <v>55</v>
      </c>
      <c r="AA7">
        <v>79</v>
      </c>
      <c r="AB7">
        <v>73</v>
      </c>
      <c r="AC7">
        <v>70</v>
      </c>
      <c r="AD7">
        <v>89</v>
      </c>
      <c r="AE7">
        <v>113</v>
      </c>
    </row>
    <row r="8" spans="1:31" x14ac:dyDescent="0.3">
      <c r="A8" t="s">
        <v>250</v>
      </c>
      <c r="B8" t="s">
        <v>134</v>
      </c>
      <c r="C8" t="s">
        <v>0</v>
      </c>
      <c r="D8" t="s">
        <v>135</v>
      </c>
      <c r="E8" t="s">
        <v>123</v>
      </c>
      <c r="F8">
        <v>8</v>
      </c>
      <c r="G8">
        <v>6</v>
      </c>
      <c r="H8">
        <v>8</v>
      </c>
      <c r="I8">
        <v>8</v>
      </c>
      <c r="J8">
        <v>9</v>
      </c>
      <c r="K8">
        <v>9</v>
      </c>
      <c r="L8">
        <v>18</v>
      </c>
      <c r="M8">
        <v>5</v>
      </c>
      <c r="N8">
        <v>17</v>
      </c>
      <c r="O8">
        <v>22</v>
      </c>
      <c r="P8">
        <v>22</v>
      </c>
      <c r="Q8">
        <v>7</v>
      </c>
      <c r="R8">
        <v>11</v>
      </c>
      <c r="S8">
        <v>14</v>
      </c>
      <c r="T8">
        <v>10</v>
      </c>
      <c r="U8">
        <v>10</v>
      </c>
      <c r="V8">
        <v>9</v>
      </c>
      <c r="W8">
        <v>7</v>
      </c>
      <c r="X8">
        <v>16</v>
      </c>
      <c r="Y8">
        <v>28</v>
      </c>
      <c r="Z8">
        <v>19</v>
      </c>
      <c r="AA8">
        <v>18</v>
      </c>
      <c r="AB8">
        <v>25</v>
      </c>
      <c r="AC8">
        <v>46</v>
      </c>
      <c r="AD8">
        <v>53</v>
      </c>
      <c r="AE8">
        <v>38</v>
      </c>
    </row>
    <row r="9" spans="1:31" x14ac:dyDescent="0.3">
      <c r="A9" t="s">
        <v>250</v>
      </c>
      <c r="B9" t="s">
        <v>136</v>
      </c>
      <c r="C9" t="s">
        <v>0</v>
      </c>
      <c r="D9" t="s">
        <v>137</v>
      </c>
      <c r="E9" t="s">
        <v>123</v>
      </c>
      <c r="F9">
        <v>6</v>
      </c>
      <c r="G9">
        <v>10</v>
      </c>
      <c r="H9">
        <v>8</v>
      </c>
      <c r="I9">
        <v>15</v>
      </c>
      <c r="J9">
        <v>11</v>
      </c>
      <c r="K9">
        <v>8</v>
      </c>
      <c r="L9">
        <v>13</v>
      </c>
      <c r="M9">
        <v>17</v>
      </c>
      <c r="N9">
        <v>16</v>
      </c>
      <c r="O9">
        <v>14</v>
      </c>
      <c r="P9">
        <v>16</v>
      </c>
      <c r="Q9">
        <v>14</v>
      </c>
      <c r="R9">
        <v>15</v>
      </c>
      <c r="S9">
        <v>20</v>
      </c>
      <c r="T9">
        <v>29</v>
      </c>
      <c r="U9">
        <v>19</v>
      </c>
      <c r="V9">
        <v>17</v>
      </c>
      <c r="W9">
        <v>24</v>
      </c>
      <c r="X9">
        <v>21</v>
      </c>
      <c r="Y9">
        <v>18</v>
      </c>
      <c r="Z9">
        <v>23</v>
      </c>
      <c r="AA9">
        <v>17</v>
      </c>
      <c r="AB9">
        <v>36</v>
      </c>
      <c r="AC9">
        <v>38</v>
      </c>
      <c r="AD9">
        <v>35</v>
      </c>
      <c r="AE9">
        <v>45</v>
      </c>
    </row>
    <row r="10" spans="1:31" x14ac:dyDescent="0.3">
      <c r="A10" t="s">
        <v>250</v>
      </c>
      <c r="B10" t="s">
        <v>138</v>
      </c>
      <c r="C10" t="s">
        <v>0</v>
      </c>
      <c r="D10" t="s">
        <v>139</v>
      </c>
      <c r="E10" t="s">
        <v>123</v>
      </c>
      <c r="F10">
        <v>8</v>
      </c>
      <c r="G10">
        <v>11</v>
      </c>
      <c r="H10">
        <v>12</v>
      </c>
      <c r="I10">
        <v>22</v>
      </c>
      <c r="J10">
        <v>15</v>
      </c>
      <c r="K10">
        <v>11</v>
      </c>
      <c r="L10">
        <v>18</v>
      </c>
      <c r="M10">
        <v>27</v>
      </c>
      <c r="N10">
        <v>22</v>
      </c>
      <c r="O10">
        <v>20</v>
      </c>
      <c r="P10">
        <v>22</v>
      </c>
      <c r="Q10">
        <v>18</v>
      </c>
      <c r="R10">
        <v>19</v>
      </c>
      <c r="S10">
        <v>25</v>
      </c>
      <c r="T10">
        <v>34</v>
      </c>
      <c r="U10">
        <v>26</v>
      </c>
      <c r="V10">
        <v>24</v>
      </c>
      <c r="W10">
        <v>32</v>
      </c>
      <c r="X10">
        <v>29</v>
      </c>
      <c r="Y10">
        <v>26</v>
      </c>
      <c r="Z10">
        <v>31</v>
      </c>
      <c r="AA10">
        <v>26</v>
      </c>
      <c r="AB10">
        <v>44</v>
      </c>
      <c r="AC10">
        <v>45</v>
      </c>
      <c r="AD10">
        <v>52</v>
      </c>
      <c r="AE10">
        <v>54</v>
      </c>
    </row>
    <row r="11" spans="1:31" x14ac:dyDescent="0.3">
      <c r="A11" t="s">
        <v>250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4</v>
      </c>
      <c r="I11">
        <v>7</v>
      </c>
      <c r="J11">
        <v>4</v>
      </c>
      <c r="K11">
        <v>3</v>
      </c>
      <c r="L11">
        <v>5</v>
      </c>
      <c r="M11">
        <v>10</v>
      </c>
      <c r="N11">
        <v>6</v>
      </c>
      <c r="O11">
        <v>6</v>
      </c>
      <c r="P11">
        <v>6</v>
      </c>
      <c r="Q11">
        <v>4</v>
      </c>
      <c r="R11">
        <v>4</v>
      </c>
      <c r="S11">
        <v>5</v>
      </c>
      <c r="T11">
        <v>5</v>
      </c>
      <c r="U11">
        <v>7</v>
      </c>
      <c r="V11">
        <v>7</v>
      </c>
      <c r="W11">
        <v>8</v>
      </c>
      <c r="X11">
        <v>8</v>
      </c>
      <c r="Y11">
        <v>8</v>
      </c>
      <c r="Z11">
        <v>8</v>
      </c>
      <c r="AA11">
        <v>9</v>
      </c>
      <c r="AB11">
        <v>8</v>
      </c>
      <c r="AC11">
        <v>7</v>
      </c>
      <c r="AD11">
        <v>17</v>
      </c>
      <c r="AE11">
        <v>9</v>
      </c>
    </row>
    <row r="12" spans="1:31" x14ac:dyDescent="0.3">
      <c r="A12" t="s">
        <v>250</v>
      </c>
      <c r="B12" t="s">
        <v>142</v>
      </c>
      <c r="C12" t="s">
        <v>0</v>
      </c>
      <c r="D12" t="s">
        <v>143</v>
      </c>
      <c r="E12" t="s">
        <v>123</v>
      </c>
      <c r="F12">
        <v>19</v>
      </c>
      <c r="G12">
        <v>18</v>
      </c>
      <c r="H12">
        <v>25</v>
      </c>
      <c r="I12">
        <v>26</v>
      </c>
      <c r="J12">
        <v>30</v>
      </c>
      <c r="K12">
        <v>32</v>
      </c>
      <c r="L12">
        <v>29</v>
      </c>
      <c r="M12">
        <v>16</v>
      </c>
      <c r="N12">
        <v>19</v>
      </c>
      <c r="O12">
        <v>24</v>
      </c>
      <c r="P12">
        <v>23</v>
      </c>
      <c r="Q12">
        <v>47</v>
      </c>
      <c r="R12">
        <v>35</v>
      </c>
      <c r="S12">
        <v>36</v>
      </c>
      <c r="T12">
        <v>28</v>
      </c>
      <c r="U12">
        <v>26</v>
      </c>
      <c r="V12">
        <v>33</v>
      </c>
      <c r="W12">
        <v>26</v>
      </c>
      <c r="X12">
        <v>25</v>
      </c>
      <c r="Y12">
        <v>27</v>
      </c>
      <c r="Z12">
        <v>28</v>
      </c>
      <c r="AA12">
        <v>22</v>
      </c>
      <c r="AB12">
        <v>27</v>
      </c>
      <c r="AC12">
        <v>39</v>
      </c>
      <c r="AD12">
        <v>51</v>
      </c>
      <c r="AE12">
        <v>53</v>
      </c>
    </row>
    <row r="13" spans="1:31" x14ac:dyDescent="0.3">
      <c r="A13" t="s">
        <v>250</v>
      </c>
      <c r="B13" t="s">
        <v>144</v>
      </c>
      <c r="C13" t="s">
        <v>0</v>
      </c>
      <c r="D13" t="s">
        <v>145</v>
      </c>
      <c r="E13" t="s">
        <v>123</v>
      </c>
      <c r="F13">
        <v>19</v>
      </c>
      <c r="G13">
        <v>13</v>
      </c>
      <c r="H13">
        <v>18</v>
      </c>
      <c r="I13">
        <v>24</v>
      </c>
      <c r="J13">
        <v>21</v>
      </c>
      <c r="K13">
        <v>20</v>
      </c>
      <c r="L13">
        <v>43</v>
      </c>
      <c r="M13">
        <v>27</v>
      </c>
      <c r="N13">
        <v>51</v>
      </c>
      <c r="O13">
        <v>43</v>
      </c>
      <c r="P13">
        <v>59</v>
      </c>
      <c r="Q13">
        <v>51</v>
      </c>
      <c r="R13">
        <v>64</v>
      </c>
      <c r="S13">
        <v>55</v>
      </c>
      <c r="T13">
        <v>51</v>
      </c>
      <c r="U13">
        <v>47</v>
      </c>
      <c r="V13">
        <v>47</v>
      </c>
      <c r="W13">
        <v>58</v>
      </c>
      <c r="X13">
        <v>40</v>
      </c>
      <c r="Y13">
        <v>67</v>
      </c>
      <c r="Z13">
        <v>64</v>
      </c>
      <c r="AA13">
        <v>65</v>
      </c>
      <c r="AB13">
        <v>74</v>
      </c>
      <c r="AC13">
        <v>64</v>
      </c>
      <c r="AD13">
        <v>86</v>
      </c>
      <c r="AE13">
        <v>90</v>
      </c>
    </row>
    <row r="14" spans="1:31" x14ac:dyDescent="0.3">
      <c r="A14" t="s">
        <v>250</v>
      </c>
      <c r="B14" t="s">
        <v>146</v>
      </c>
      <c r="C14" t="s">
        <v>0</v>
      </c>
      <c r="D14" t="s">
        <v>147</v>
      </c>
      <c r="E14" t="s">
        <v>123</v>
      </c>
      <c r="F14">
        <v>19</v>
      </c>
      <c r="G14">
        <v>11</v>
      </c>
      <c r="H14">
        <v>14</v>
      </c>
      <c r="I14">
        <v>38</v>
      </c>
      <c r="J14">
        <v>81</v>
      </c>
      <c r="K14">
        <v>90</v>
      </c>
      <c r="L14">
        <v>104</v>
      </c>
      <c r="M14">
        <v>143</v>
      </c>
      <c r="N14">
        <v>150</v>
      </c>
      <c r="O14">
        <v>130</v>
      </c>
      <c r="P14">
        <v>157</v>
      </c>
      <c r="Q14">
        <v>217</v>
      </c>
      <c r="R14">
        <v>231</v>
      </c>
      <c r="S14">
        <v>263</v>
      </c>
      <c r="T14">
        <v>285</v>
      </c>
      <c r="U14">
        <v>323</v>
      </c>
      <c r="V14">
        <v>366</v>
      </c>
      <c r="W14">
        <v>339</v>
      </c>
      <c r="X14">
        <v>298</v>
      </c>
      <c r="Y14">
        <v>254</v>
      </c>
      <c r="Z14">
        <v>222</v>
      </c>
      <c r="AA14">
        <v>196</v>
      </c>
      <c r="AB14">
        <v>217</v>
      </c>
      <c r="AC14">
        <v>207</v>
      </c>
      <c r="AD14">
        <v>207</v>
      </c>
      <c r="AE14">
        <v>168</v>
      </c>
    </row>
    <row r="15" spans="1:31" x14ac:dyDescent="0.3">
      <c r="A15" t="s">
        <v>250</v>
      </c>
      <c r="B15" t="s">
        <v>148</v>
      </c>
      <c r="C15" t="s">
        <v>0</v>
      </c>
      <c r="D15" t="s">
        <v>149</v>
      </c>
      <c r="E15" t="s">
        <v>123</v>
      </c>
      <c r="F15">
        <v>38</v>
      </c>
      <c r="G15">
        <v>29</v>
      </c>
      <c r="H15">
        <v>30</v>
      </c>
      <c r="I15">
        <v>56</v>
      </c>
      <c r="J15">
        <v>100</v>
      </c>
      <c r="K15">
        <v>106</v>
      </c>
      <c r="L15">
        <v>118</v>
      </c>
      <c r="M15">
        <v>149</v>
      </c>
      <c r="N15">
        <v>170</v>
      </c>
      <c r="O15">
        <v>144</v>
      </c>
      <c r="P15">
        <v>174</v>
      </c>
      <c r="Q15">
        <v>239</v>
      </c>
      <c r="R15">
        <v>253</v>
      </c>
      <c r="S15">
        <v>297</v>
      </c>
      <c r="T15">
        <v>327</v>
      </c>
      <c r="U15">
        <v>358</v>
      </c>
      <c r="V15">
        <v>399</v>
      </c>
      <c r="W15">
        <v>370</v>
      </c>
      <c r="X15">
        <v>316</v>
      </c>
      <c r="Y15">
        <v>282</v>
      </c>
      <c r="Z15">
        <v>241</v>
      </c>
      <c r="AA15">
        <v>215</v>
      </c>
      <c r="AB15">
        <v>247</v>
      </c>
      <c r="AC15">
        <v>240</v>
      </c>
      <c r="AD15">
        <v>245</v>
      </c>
      <c r="AE15">
        <v>200</v>
      </c>
    </row>
    <row r="16" spans="1:31" x14ac:dyDescent="0.3">
      <c r="A16" t="s">
        <v>250</v>
      </c>
      <c r="B16" t="s">
        <v>150</v>
      </c>
      <c r="C16" t="s">
        <v>0</v>
      </c>
      <c r="D16" t="s">
        <v>151</v>
      </c>
      <c r="E16" t="s">
        <v>123</v>
      </c>
      <c r="F16">
        <v>19</v>
      </c>
      <c r="G16">
        <v>18</v>
      </c>
      <c r="H16">
        <v>16</v>
      </c>
      <c r="I16">
        <v>18</v>
      </c>
      <c r="J16">
        <v>19</v>
      </c>
      <c r="K16">
        <v>16</v>
      </c>
      <c r="L16">
        <v>14</v>
      </c>
      <c r="M16">
        <v>6</v>
      </c>
      <c r="N16">
        <v>20</v>
      </c>
      <c r="O16">
        <v>14</v>
      </c>
      <c r="P16">
        <v>17</v>
      </c>
      <c r="Q16">
        <v>22</v>
      </c>
      <c r="R16">
        <v>22</v>
      </c>
      <c r="S16">
        <v>34</v>
      </c>
      <c r="T16">
        <v>42</v>
      </c>
      <c r="U16">
        <v>35</v>
      </c>
      <c r="V16">
        <v>33</v>
      </c>
      <c r="W16">
        <v>31</v>
      </c>
      <c r="X16">
        <v>18</v>
      </c>
      <c r="Y16">
        <v>28</v>
      </c>
      <c r="Z16">
        <v>19</v>
      </c>
      <c r="AA16">
        <v>19</v>
      </c>
      <c r="AB16">
        <v>30</v>
      </c>
      <c r="AC16">
        <v>33</v>
      </c>
      <c r="AD16">
        <v>38</v>
      </c>
      <c r="AE16">
        <v>32</v>
      </c>
    </row>
    <row r="17" spans="1:31" x14ac:dyDescent="0.3">
      <c r="A17" t="s">
        <v>250</v>
      </c>
      <c r="B17" t="s">
        <v>152</v>
      </c>
      <c r="C17" t="s">
        <v>0</v>
      </c>
      <c r="D17" t="s">
        <v>153</v>
      </c>
      <c r="E17" t="s">
        <v>123</v>
      </c>
      <c r="F17">
        <v>33</v>
      </c>
      <c r="G17">
        <v>27</v>
      </c>
      <c r="H17">
        <v>44</v>
      </c>
      <c r="I17">
        <v>35</v>
      </c>
      <c r="J17">
        <v>34</v>
      </c>
      <c r="K17">
        <v>44</v>
      </c>
      <c r="L17">
        <v>44</v>
      </c>
      <c r="M17">
        <v>23</v>
      </c>
      <c r="N17">
        <v>56</v>
      </c>
      <c r="O17">
        <v>61</v>
      </c>
      <c r="P17">
        <v>65</v>
      </c>
      <c r="Q17">
        <v>55</v>
      </c>
      <c r="R17">
        <v>78</v>
      </c>
      <c r="S17">
        <v>78</v>
      </c>
      <c r="T17">
        <v>121</v>
      </c>
      <c r="U17">
        <v>123</v>
      </c>
      <c r="V17">
        <v>109</v>
      </c>
      <c r="W17">
        <v>114</v>
      </c>
      <c r="X17">
        <v>136</v>
      </c>
      <c r="Y17">
        <v>157</v>
      </c>
      <c r="Z17">
        <v>189</v>
      </c>
      <c r="AA17">
        <v>151</v>
      </c>
      <c r="AB17">
        <v>167</v>
      </c>
      <c r="AC17">
        <v>212</v>
      </c>
      <c r="AD17">
        <v>178</v>
      </c>
      <c r="AE17">
        <v>211</v>
      </c>
    </row>
    <row r="18" spans="1:31" x14ac:dyDescent="0.3">
      <c r="A18" t="s">
        <v>250</v>
      </c>
      <c r="B18" t="s">
        <v>154</v>
      </c>
      <c r="C18" t="s">
        <v>0</v>
      </c>
      <c r="D18" t="s">
        <v>155</v>
      </c>
      <c r="E18" t="s">
        <v>123</v>
      </c>
      <c r="F18">
        <v>8</v>
      </c>
      <c r="G18">
        <v>6</v>
      </c>
      <c r="H18">
        <v>7</v>
      </c>
      <c r="I18">
        <v>24</v>
      </c>
      <c r="J18">
        <v>11</v>
      </c>
      <c r="K18">
        <v>10</v>
      </c>
      <c r="L18">
        <v>12</v>
      </c>
      <c r="M18">
        <v>4</v>
      </c>
      <c r="N18">
        <v>10</v>
      </c>
      <c r="O18">
        <v>9</v>
      </c>
      <c r="P18">
        <v>8</v>
      </c>
      <c r="Q18">
        <v>6</v>
      </c>
      <c r="R18">
        <v>8</v>
      </c>
      <c r="S18">
        <v>8</v>
      </c>
      <c r="T18">
        <v>10</v>
      </c>
      <c r="U18">
        <v>9</v>
      </c>
      <c r="V18">
        <v>13</v>
      </c>
      <c r="W18">
        <v>19</v>
      </c>
      <c r="X18">
        <v>15</v>
      </c>
      <c r="Y18">
        <v>13</v>
      </c>
      <c r="Z18">
        <v>12</v>
      </c>
      <c r="AA18">
        <v>17</v>
      </c>
      <c r="AB18">
        <v>18</v>
      </c>
      <c r="AC18">
        <v>17</v>
      </c>
      <c r="AD18">
        <v>17</v>
      </c>
      <c r="AE18">
        <v>15</v>
      </c>
    </row>
    <row r="19" spans="1:31" x14ac:dyDescent="0.3">
      <c r="A19" t="s">
        <v>250</v>
      </c>
      <c r="B19" t="s">
        <v>156</v>
      </c>
      <c r="C19" t="s">
        <v>0</v>
      </c>
      <c r="D19" t="s">
        <v>157</v>
      </c>
      <c r="E19" t="s">
        <v>123</v>
      </c>
      <c r="F19">
        <v>14</v>
      </c>
      <c r="G19">
        <v>12</v>
      </c>
      <c r="H19">
        <v>16</v>
      </c>
      <c r="I19">
        <v>15</v>
      </c>
      <c r="J19">
        <v>19</v>
      </c>
      <c r="K19">
        <v>19</v>
      </c>
      <c r="L19">
        <v>22</v>
      </c>
      <c r="M19">
        <v>13</v>
      </c>
      <c r="N19">
        <v>19</v>
      </c>
      <c r="O19">
        <v>19</v>
      </c>
      <c r="P19">
        <v>20</v>
      </c>
      <c r="Q19">
        <v>14</v>
      </c>
      <c r="R19">
        <v>21</v>
      </c>
      <c r="S19">
        <v>13</v>
      </c>
      <c r="T19">
        <v>16</v>
      </c>
      <c r="U19">
        <v>24</v>
      </c>
      <c r="V19">
        <v>18</v>
      </c>
      <c r="W19">
        <v>24</v>
      </c>
      <c r="X19">
        <v>28</v>
      </c>
      <c r="Y19">
        <v>23</v>
      </c>
      <c r="Z19">
        <v>27</v>
      </c>
      <c r="AA19">
        <v>26</v>
      </c>
      <c r="AB19">
        <v>22</v>
      </c>
      <c r="AC19">
        <v>34</v>
      </c>
      <c r="AD19">
        <v>49</v>
      </c>
      <c r="AE19">
        <v>56</v>
      </c>
    </row>
    <row r="20" spans="1:31" x14ac:dyDescent="0.3">
      <c r="A20" t="s">
        <v>250</v>
      </c>
      <c r="B20" t="s">
        <v>158</v>
      </c>
      <c r="C20" t="s">
        <v>0</v>
      </c>
      <c r="D20" t="s">
        <v>159</v>
      </c>
      <c r="E20" t="s">
        <v>123</v>
      </c>
      <c r="F20">
        <v>15</v>
      </c>
      <c r="G20">
        <v>13</v>
      </c>
      <c r="H20">
        <v>15</v>
      </c>
      <c r="I20">
        <v>23</v>
      </c>
      <c r="J20">
        <v>26</v>
      </c>
      <c r="K20">
        <v>27</v>
      </c>
      <c r="L20">
        <v>30</v>
      </c>
      <c r="M20">
        <v>30</v>
      </c>
      <c r="N20">
        <v>24</v>
      </c>
      <c r="O20">
        <v>27</v>
      </c>
      <c r="P20">
        <v>49</v>
      </c>
      <c r="Q20">
        <v>42</v>
      </c>
      <c r="R20">
        <v>44</v>
      </c>
      <c r="S20">
        <v>48</v>
      </c>
      <c r="T20">
        <v>59</v>
      </c>
      <c r="U20">
        <v>56</v>
      </c>
      <c r="V20">
        <v>69</v>
      </c>
      <c r="W20">
        <v>73</v>
      </c>
      <c r="X20">
        <v>92</v>
      </c>
      <c r="Y20">
        <v>88</v>
      </c>
      <c r="Z20">
        <v>89</v>
      </c>
      <c r="AA20">
        <v>98</v>
      </c>
      <c r="AB20">
        <v>94</v>
      </c>
      <c r="AC20">
        <v>117</v>
      </c>
      <c r="AD20">
        <v>118</v>
      </c>
      <c r="AE20">
        <v>119</v>
      </c>
    </row>
    <row r="21" spans="1:31" x14ac:dyDescent="0.3">
      <c r="A21" t="s">
        <v>250</v>
      </c>
      <c r="B21" t="s">
        <v>160</v>
      </c>
      <c r="C21" t="s">
        <v>0</v>
      </c>
      <c r="D21" t="s">
        <v>161</v>
      </c>
      <c r="E21" t="s">
        <v>123</v>
      </c>
      <c r="F21">
        <v>15</v>
      </c>
      <c r="G21">
        <v>13</v>
      </c>
      <c r="H21">
        <v>15</v>
      </c>
      <c r="I21">
        <v>23</v>
      </c>
      <c r="J21">
        <v>27</v>
      </c>
      <c r="K21">
        <v>28</v>
      </c>
      <c r="L21">
        <v>32</v>
      </c>
      <c r="M21">
        <v>31</v>
      </c>
      <c r="N21">
        <v>27</v>
      </c>
      <c r="O21">
        <v>29</v>
      </c>
      <c r="P21">
        <v>52</v>
      </c>
      <c r="Q21">
        <v>44</v>
      </c>
      <c r="R21">
        <v>48</v>
      </c>
      <c r="S21">
        <v>51</v>
      </c>
      <c r="T21">
        <v>62</v>
      </c>
      <c r="U21">
        <v>63</v>
      </c>
      <c r="V21">
        <v>72</v>
      </c>
      <c r="W21">
        <v>76</v>
      </c>
      <c r="X21">
        <v>98</v>
      </c>
      <c r="Y21">
        <v>99</v>
      </c>
      <c r="Z21">
        <v>99</v>
      </c>
      <c r="AA21">
        <v>107</v>
      </c>
      <c r="AB21">
        <v>105</v>
      </c>
      <c r="AC21">
        <v>127</v>
      </c>
      <c r="AD21">
        <v>130</v>
      </c>
      <c r="AE21">
        <v>128</v>
      </c>
    </row>
    <row r="22" spans="1:31" x14ac:dyDescent="0.3">
      <c r="A22" t="s">
        <v>250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>
        <v>2</v>
      </c>
      <c r="P22">
        <v>3</v>
      </c>
      <c r="Q22">
        <v>2</v>
      </c>
      <c r="R22">
        <v>4</v>
      </c>
      <c r="S22">
        <v>3</v>
      </c>
      <c r="T22">
        <v>3</v>
      </c>
      <c r="U22">
        <v>7</v>
      </c>
      <c r="V22">
        <v>3</v>
      </c>
      <c r="W22">
        <v>3</v>
      </c>
      <c r="X22">
        <v>6</v>
      </c>
      <c r="Y22">
        <v>11</v>
      </c>
      <c r="Z22">
        <v>10</v>
      </c>
      <c r="AA22">
        <v>9</v>
      </c>
      <c r="AB22">
        <v>11</v>
      </c>
      <c r="AC22">
        <v>10</v>
      </c>
      <c r="AD22">
        <v>12</v>
      </c>
      <c r="AE22">
        <v>9</v>
      </c>
    </row>
    <row r="23" spans="1:31" x14ac:dyDescent="0.3">
      <c r="A23" t="s">
        <v>250</v>
      </c>
      <c r="B23" t="s">
        <v>164</v>
      </c>
      <c r="C23" t="s">
        <v>0</v>
      </c>
      <c r="D23" t="s">
        <v>165</v>
      </c>
      <c r="E23" t="s">
        <v>123</v>
      </c>
      <c r="F23">
        <v>19</v>
      </c>
      <c r="G23">
        <v>17</v>
      </c>
      <c r="H23">
        <v>19</v>
      </c>
      <c r="I23">
        <v>25</v>
      </c>
      <c r="J23">
        <v>27</v>
      </c>
      <c r="K23">
        <v>30</v>
      </c>
      <c r="L23">
        <v>31</v>
      </c>
      <c r="M23">
        <v>33</v>
      </c>
      <c r="N23">
        <v>37</v>
      </c>
      <c r="O23">
        <v>35</v>
      </c>
      <c r="P23">
        <v>42</v>
      </c>
      <c r="Q23">
        <v>43</v>
      </c>
      <c r="R23">
        <v>26</v>
      </c>
      <c r="S23">
        <v>58</v>
      </c>
      <c r="T23">
        <v>37</v>
      </c>
      <c r="U23">
        <v>43</v>
      </c>
      <c r="V23">
        <v>33</v>
      </c>
      <c r="W23">
        <v>55</v>
      </c>
      <c r="X23">
        <v>49</v>
      </c>
      <c r="Y23">
        <v>77</v>
      </c>
      <c r="Z23">
        <v>86</v>
      </c>
      <c r="AA23">
        <v>91</v>
      </c>
      <c r="AB23">
        <v>132</v>
      </c>
      <c r="AC23">
        <v>94</v>
      </c>
      <c r="AD23">
        <v>115</v>
      </c>
      <c r="AE23">
        <v>105</v>
      </c>
    </row>
    <row r="24" spans="1:31" x14ac:dyDescent="0.3">
      <c r="A24" t="s">
        <v>250</v>
      </c>
      <c r="B24" t="s">
        <v>166</v>
      </c>
      <c r="C24" t="s">
        <v>0</v>
      </c>
      <c r="D24" t="s">
        <v>167</v>
      </c>
      <c r="E24" t="s">
        <v>123</v>
      </c>
      <c r="F24">
        <v>36</v>
      </c>
      <c r="G24">
        <v>38</v>
      </c>
      <c r="H24">
        <v>48</v>
      </c>
      <c r="I24">
        <v>72</v>
      </c>
      <c r="J24">
        <v>92</v>
      </c>
      <c r="K24">
        <v>119</v>
      </c>
      <c r="L24">
        <v>149</v>
      </c>
      <c r="M24">
        <v>174</v>
      </c>
      <c r="N24">
        <v>257</v>
      </c>
      <c r="O24">
        <v>225</v>
      </c>
      <c r="P24">
        <v>232</v>
      </c>
      <c r="Q24">
        <v>200</v>
      </c>
      <c r="R24">
        <v>204</v>
      </c>
      <c r="S24">
        <v>242</v>
      </c>
      <c r="T24">
        <v>238</v>
      </c>
      <c r="U24">
        <v>223</v>
      </c>
      <c r="V24">
        <v>245</v>
      </c>
      <c r="W24">
        <v>328</v>
      </c>
      <c r="X24">
        <v>378</v>
      </c>
      <c r="Y24">
        <v>425</v>
      </c>
      <c r="Z24">
        <v>378</v>
      </c>
      <c r="AA24">
        <v>360</v>
      </c>
      <c r="AB24">
        <v>375</v>
      </c>
      <c r="AC24">
        <v>417</v>
      </c>
      <c r="AD24">
        <v>411</v>
      </c>
      <c r="AE24">
        <v>467</v>
      </c>
    </row>
    <row r="25" spans="1:31" x14ac:dyDescent="0.3">
      <c r="A25" t="s">
        <v>250</v>
      </c>
      <c r="B25" t="s">
        <v>168</v>
      </c>
      <c r="C25" t="s">
        <v>0</v>
      </c>
      <c r="D25" t="s">
        <v>169</v>
      </c>
      <c r="E25" t="s">
        <v>123</v>
      </c>
      <c r="F25">
        <v>5</v>
      </c>
      <c r="G25">
        <v>5</v>
      </c>
      <c r="H25">
        <v>6</v>
      </c>
      <c r="I25">
        <v>10</v>
      </c>
      <c r="J25">
        <v>12</v>
      </c>
      <c r="K25">
        <v>10</v>
      </c>
      <c r="L25">
        <v>13</v>
      </c>
      <c r="M25">
        <v>13</v>
      </c>
      <c r="N25">
        <v>16</v>
      </c>
      <c r="O25">
        <v>14</v>
      </c>
      <c r="P25">
        <v>14</v>
      </c>
      <c r="Q25">
        <v>14</v>
      </c>
      <c r="R25">
        <v>18</v>
      </c>
      <c r="S25">
        <v>21</v>
      </c>
      <c r="T25">
        <v>21</v>
      </c>
      <c r="U25">
        <v>22</v>
      </c>
      <c r="V25">
        <v>16</v>
      </c>
      <c r="W25">
        <v>24</v>
      </c>
      <c r="X25">
        <v>23</v>
      </c>
      <c r="Y25">
        <v>27</v>
      </c>
      <c r="Z25">
        <v>23</v>
      </c>
      <c r="AA25">
        <v>27</v>
      </c>
      <c r="AB25">
        <v>27</v>
      </c>
      <c r="AC25">
        <v>43</v>
      </c>
      <c r="AD25">
        <v>39</v>
      </c>
      <c r="AE25">
        <v>44</v>
      </c>
    </row>
    <row r="26" spans="1:31" x14ac:dyDescent="0.3">
      <c r="A26" t="s">
        <v>250</v>
      </c>
      <c r="B26" t="s">
        <v>170</v>
      </c>
      <c r="C26" t="s">
        <v>0</v>
      </c>
      <c r="D26" t="s">
        <v>171</v>
      </c>
      <c r="E26" t="s">
        <v>123</v>
      </c>
      <c r="F26">
        <v>25</v>
      </c>
      <c r="G26">
        <v>26</v>
      </c>
      <c r="H26">
        <v>33</v>
      </c>
      <c r="I26">
        <v>49</v>
      </c>
      <c r="J26">
        <v>64</v>
      </c>
      <c r="K26">
        <v>87</v>
      </c>
      <c r="L26">
        <v>109</v>
      </c>
      <c r="M26">
        <v>129</v>
      </c>
      <c r="N26">
        <v>200</v>
      </c>
      <c r="O26">
        <v>172</v>
      </c>
      <c r="P26">
        <v>171</v>
      </c>
      <c r="Q26">
        <v>141</v>
      </c>
      <c r="R26">
        <v>133</v>
      </c>
      <c r="S26">
        <v>162</v>
      </c>
      <c r="T26">
        <v>168</v>
      </c>
      <c r="U26">
        <v>142</v>
      </c>
      <c r="V26">
        <v>175</v>
      </c>
      <c r="W26">
        <v>222</v>
      </c>
      <c r="X26">
        <v>245</v>
      </c>
      <c r="Y26">
        <v>260</v>
      </c>
      <c r="Z26">
        <v>266</v>
      </c>
      <c r="AA26">
        <v>232</v>
      </c>
      <c r="AB26">
        <v>264</v>
      </c>
      <c r="AC26">
        <v>272</v>
      </c>
      <c r="AD26">
        <v>249</v>
      </c>
      <c r="AE26">
        <v>299</v>
      </c>
    </row>
    <row r="27" spans="1:31" x14ac:dyDescent="0.3">
      <c r="A27" t="s">
        <v>250</v>
      </c>
      <c r="B27" t="s">
        <v>172</v>
      </c>
      <c r="C27" t="s">
        <v>0</v>
      </c>
      <c r="D27" t="s">
        <v>173</v>
      </c>
      <c r="E27" t="s">
        <v>123</v>
      </c>
      <c r="F27">
        <v>6</v>
      </c>
      <c r="G27">
        <v>7</v>
      </c>
      <c r="H27">
        <v>9</v>
      </c>
      <c r="I27">
        <v>13</v>
      </c>
      <c r="J27">
        <v>16</v>
      </c>
      <c r="K27">
        <v>22</v>
      </c>
      <c r="L27">
        <v>27</v>
      </c>
      <c r="M27">
        <v>32</v>
      </c>
      <c r="N27">
        <v>41</v>
      </c>
      <c r="O27">
        <v>39</v>
      </c>
      <c r="P27">
        <v>47</v>
      </c>
      <c r="Q27">
        <v>45</v>
      </c>
      <c r="R27">
        <v>53</v>
      </c>
      <c r="S27">
        <v>59</v>
      </c>
      <c r="T27">
        <v>49</v>
      </c>
      <c r="U27">
        <v>59</v>
      </c>
      <c r="V27">
        <v>54</v>
      </c>
      <c r="W27">
        <v>82</v>
      </c>
      <c r="X27">
        <v>110</v>
      </c>
      <c r="Y27">
        <v>138</v>
      </c>
      <c r="Z27">
        <v>89</v>
      </c>
      <c r="AA27">
        <v>101</v>
      </c>
      <c r="AB27">
        <v>84</v>
      </c>
      <c r="AC27">
        <v>102</v>
      </c>
      <c r="AD27">
        <v>123</v>
      </c>
      <c r="AE27">
        <v>124</v>
      </c>
    </row>
    <row r="28" spans="1:31" x14ac:dyDescent="0.3">
      <c r="A28" t="s">
        <v>250</v>
      </c>
      <c r="B28" t="s">
        <v>174</v>
      </c>
      <c r="C28" t="s">
        <v>0</v>
      </c>
      <c r="D28" t="s">
        <v>175</v>
      </c>
      <c r="E28" t="s">
        <v>123</v>
      </c>
      <c r="F28">
        <v>56</v>
      </c>
      <c r="G28">
        <v>61</v>
      </c>
      <c r="H28">
        <v>72</v>
      </c>
      <c r="I28">
        <v>89</v>
      </c>
      <c r="J28">
        <v>99</v>
      </c>
      <c r="K28">
        <v>95</v>
      </c>
      <c r="L28">
        <v>90</v>
      </c>
      <c r="M28">
        <v>78</v>
      </c>
      <c r="N28">
        <v>77</v>
      </c>
      <c r="O28">
        <v>97</v>
      </c>
      <c r="P28">
        <v>89</v>
      </c>
      <c r="Q28">
        <v>90</v>
      </c>
      <c r="R28">
        <v>83</v>
      </c>
      <c r="S28">
        <v>78</v>
      </c>
      <c r="T28">
        <v>127</v>
      </c>
      <c r="U28">
        <v>86</v>
      </c>
      <c r="V28">
        <v>92</v>
      </c>
      <c r="W28">
        <v>102</v>
      </c>
      <c r="X28">
        <v>89</v>
      </c>
      <c r="Y28">
        <v>102</v>
      </c>
      <c r="Z28">
        <v>105</v>
      </c>
      <c r="AA28">
        <v>119</v>
      </c>
      <c r="AB28">
        <v>143</v>
      </c>
      <c r="AC28">
        <v>147</v>
      </c>
      <c r="AD28">
        <v>155</v>
      </c>
      <c r="AE28">
        <v>164</v>
      </c>
    </row>
    <row r="29" spans="1:31" x14ac:dyDescent="0.3">
      <c r="A29" t="s">
        <v>250</v>
      </c>
      <c r="B29" t="s">
        <v>176</v>
      </c>
      <c r="C29" t="s">
        <v>0</v>
      </c>
      <c r="D29" t="s">
        <v>177</v>
      </c>
      <c r="E29" t="s">
        <v>123</v>
      </c>
      <c r="F29">
        <v>11</v>
      </c>
      <c r="G29">
        <v>8</v>
      </c>
      <c r="H29">
        <v>11</v>
      </c>
      <c r="I29">
        <v>9</v>
      </c>
      <c r="J29">
        <v>10</v>
      </c>
      <c r="K29">
        <v>10</v>
      </c>
      <c r="L29">
        <v>13</v>
      </c>
      <c r="M29">
        <v>13</v>
      </c>
      <c r="N29">
        <v>12</v>
      </c>
      <c r="O29">
        <v>16</v>
      </c>
      <c r="P29">
        <v>13</v>
      </c>
      <c r="Q29">
        <v>18</v>
      </c>
      <c r="R29">
        <v>18</v>
      </c>
      <c r="S29">
        <v>11</v>
      </c>
      <c r="T29">
        <v>45</v>
      </c>
      <c r="U29">
        <v>20</v>
      </c>
      <c r="V29">
        <v>9</v>
      </c>
      <c r="W29">
        <v>11</v>
      </c>
      <c r="X29">
        <v>12</v>
      </c>
      <c r="Y29">
        <v>25</v>
      </c>
      <c r="Z29">
        <v>17</v>
      </c>
      <c r="AA29">
        <v>19</v>
      </c>
      <c r="AB29">
        <v>44</v>
      </c>
      <c r="AC29">
        <v>35</v>
      </c>
      <c r="AD29">
        <v>34</v>
      </c>
      <c r="AE29">
        <v>31</v>
      </c>
    </row>
    <row r="30" spans="1:31" x14ac:dyDescent="0.3">
      <c r="A30" t="s">
        <v>250</v>
      </c>
      <c r="B30" t="s">
        <v>178</v>
      </c>
      <c r="C30" t="s">
        <v>0</v>
      </c>
      <c r="D30" t="s">
        <v>179</v>
      </c>
      <c r="E30" t="s">
        <v>123</v>
      </c>
      <c r="F30">
        <v>2</v>
      </c>
      <c r="G30">
        <v>2</v>
      </c>
      <c r="H30">
        <v>3</v>
      </c>
      <c r="I30">
        <v>3</v>
      </c>
      <c r="J30">
        <v>4</v>
      </c>
      <c r="K30">
        <v>4</v>
      </c>
      <c r="L30">
        <v>5</v>
      </c>
      <c r="M30">
        <v>5</v>
      </c>
      <c r="N30">
        <v>5</v>
      </c>
      <c r="O30">
        <v>5</v>
      </c>
      <c r="P30">
        <v>7</v>
      </c>
      <c r="Q30">
        <v>5</v>
      </c>
      <c r="R30">
        <v>6</v>
      </c>
      <c r="S30">
        <v>7</v>
      </c>
      <c r="T30">
        <v>7</v>
      </c>
      <c r="U30">
        <v>6</v>
      </c>
      <c r="V30">
        <v>4</v>
      </c>
      <c r="W30">
        <v>4</v>
      </c>
      <c r="X30">
        <v>4</v>
      </c>
      <c r="Y30">
        <v>4</v>
      </c>
      <c r="Z30">
        <v>6</v>
      </c>
      <c r="AA30">
        <v>5</v>
      </c>
      <c r="AB30">
        <v>5</v>
      </c>
      <c r="AC30">
        <v>6</v>
      </c>
      <c r="AD30">
        <v>5</v>
      </c>
      <c r="AE30">
        <v>5</v>
      </c>
    </row>
    <row r="31" spans="1:31" x14ac:dyDescent="0.3">
      <c r="A31" t="s">
        <v>250</v>
      </c>
      <c r="B31" t="s">
        <v>180</v>
      </c>
      <c r="C31" t="s">
        <v>0</v>
      </c>
      <c r="D31" t="s">
        <v>181</v>
      </c>
      <c r="E31" t="s">
        <v>123</v>
      </c>
      <c r="F31">
        <v>17</v>
      </c>
      <c r="G31">
        <v>14</v>
      </c>
      <c r="H31">
        <v>16</v>
      </c>
      <c r="I31">
        <v>21</v>
      </c>
      <c r="J31">
        <v>23</v>
      </c>
      <c r="K31">
        <v>26</v>
      </c>
      <c r="L31">
        <v>29</v>
      </c>
      <c r="M31">
        <v>28</v>
      </c>
      <c r="N31">
        <v>27</v>
      </c>
      <c r="O31">
        <v>42</v>
      </c>
      <c r="P31">
        <v>34</v>
      </c>
      <c r="Q31">
        <v>31</v>
      </c>
      <c r="R31">
        <v>27</v>
      </c>
      <c r="S31">
        <v>21</v>
      </c>
      <c r="T31">
        <v>23</v>
      </c>
      <c r="U31">
        <v>14</v>
      </c>
      <c r="V31">
        <v>15</v>
      </c>
      <c r="W31">
        <v>18</v>
      </c>
      <c r="X31">
        <v>18</v>
      </c>
      <c r="Y31">
        <v>16</v>
      </c>
      <c r="Z31">
        <v>30</v>
      </c>
      <c r="AA31">
        <v>42</v>
      </c>
      <c r="AB31">
        <v>34</v>
      </c>
      <c r="AC31">
        <v>44</v>
      </c>
      <c r="AD31">
        <v>43</v>
      </c>
      <c r="AE31">
        <v>27</v>
      </c>
    </row>
    <row r="32" spans="1:31" x14ac:dyDescent="0.3">
      <c r="A32" t="s">
        <v>250</v>
      </c>
      <c r="B32" t="s">
        <v>182</v>
      </c>
      <c r="C32" t="s">
        <v>0</v>
      </c>
      <c r="D32" t="s">
        <v>183</v>
      </c>
      <c r="E32" t="s">
        <v>123</v>
      </c>
      <c r="F32">
        <v>8</v>
      </c>
      <c r="G32">
        <v>7</v>
      </c>
      <c r="H32">
        <v>8</v>
      </c>
      <c r="I32">
        <v>13</v>
      </c>
      <c r="J32">
        <v>15</v>
      </c>
      <c r="K32">
        <v>17</v>
      </c>
      <c r="L32">
        <v>17</v>
      </c>
      <c r="M32">
        <v>19</v>
      </c>
      <c r="N32">
        <v>15</v>
      </c>
      <c r="O32">
        <v>19</v>
      </c>
      <c r="P32">
        <v>19</v>
      </c>
      <c r="Q32">
        <v>19</v>
      </c>
      <c r="R32">
        <v>18</v>
      </c>
      <c r="S32">
        <v>22</v>
      </c>
      <c r="T32">
        <v>30</v>
      </c>
      <c r="U32">
        <v>24</v>
      </c>
      <c r="V32">
        <v>39</v>
      </c>
      <c r="W32">
        <v>34</v>
      </c>
      <c r="X32">
        <v>24</v>
      </c>
      <c r="Y32">
        <v>27</v>
      </c>
      <c r="Z32">
        <v>26</v>
      </c>
      <c r="AA32">
        <v>37</v>
      </c>
      <c r="AB32">
        <v>51</v>
      </c>
      <c r="AC32">
        <v>39</v>
      </c>
      <c r="AD32">
        <v>57</v>
      </c>
      <c r="AE32">
        <v>73</v>
      </c>
    </row>
    <row r="33" spans="1:31" x14ac:dyDescent="0.3">
      <c r="A33" t="s">
        <v>250</v>
      </c>
      <c r="B33" t="s">
        <v>184</v>
      </c>
      <c r="C33" t="s">
        <v>0</v>
      </c>
      <c r="D33" t="s">
        <v>185</v>
      </c>
      <c r="E33" t="s">
        <v>123</v>
      </c>
      <c r="F33">
        <v>18</v>
      </c>
      <c r="G33">
        <v>30</v>
      </c>
      <c r="H33">
        <v>34</v>
      </c>
      <c r="I33">
        <v>43</v>
      </c>
      <c r="J33">
        <v>47</v>
      </c>
      <c r="K33">
        <v>38</v>
      </c>
      <c r="L33">
        <v>26</v>
      </c>
      <c r="M33">
        <v>13</v>
      </c>
      <c r="N33">
        <v>18</v>
      </c>
      <c r="O33">
        <v>15</v>
      </c>
      <c r="P33">
        <v>16</v>
      </c>
      <c r="Q33">
        <v>17</v>
      </c>
      <c r="R33">
        <v>14</v>
      </c>
      <c r="S33">
        <v>17</v>
      </c>
      <c r="T33">
        <v>22</v>
      </c>
      <c r="U33">
        <v>22</v>
      </c>
      <c r="V33">
        <v>25</v>
      </c>
      <c r="W33">
        <v>35</v>
      </c>
      <c r="X33">
        <v>31</v>
      </c>
      <c r="Y33">
        <v>30</v>
      </c>
      <c r="Z33">
        <v>26</v>
      </c>
      <c r="AA33">
        <v>16</v>
      </c>
      <c r="AB33">
        <v>9</v>
      </c>
      <c r="AC33">
        <v>23</v>
      </c>
      <c r="AD33">
        <v>16</v>
      </c>
      <c r="AE33">
        <v>28</v>
      </c>
    </row>
    <row r="34" spans="1:31" x14ac:dyDescent="0.3">
      <c r="A34" t="s">
        <v>250</v>
      </c>
      <c r="B34" t="s">
        <v>186</v>
      </c>
      <c r="C34" t="s">
        <v>0</v>
      </c>
      <c r="D34" t="s">
        <v>187</v>
      </c>
      <c r="E34" t="s">
        <v>123</v>
      </c>
      <c r="F34">
        <v>4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7</v>
      </c>
      <c r="N34">
        <v>10</v>
      </c>
      <c r="O34">
        <v>9</v>
      </c>
      <c r="P34">
        <v>8</v>
      </c>
      <c r="Q34">
        <v>9</v>
      </c>
      <c r="R34">
        <v>12</v>
      </c>
      <c r="S34">
        <v>14</v>
      </c>
      <c r="T34">
        <v>16</v>
      </c>
      <c r="U34">
        <v>22</v>
      </c>
      <c r="V34">
        <v>20</v>
      </c>
      <c r="W34">
        <v>22</v>
      </c>
      <c r="X34">
        <v>23</v>
      </c>
      <c r="Y34">
        <v>20</v>
      </c>
      <c r="Z34">
        <v>21</v>
      </c>
      <c r="AA34">
        <v>24</v>
      </c>
      <c r="AB34">
        <v>25</v>
      </c>
      <c r="AC34">
        <v>26</v>
      </c>
      <c r="AD34">
        <v>36</v>
      </c>
      <c r="AE34">
        <v>28</v>
      </c>
    </row>
    <row r="35" spans="1:31" x14ac:dyDescent="0.3">
      <c r="A35" t="s">
        <v>250</v>
      </c>
      <c r="B35" t="s">
        <v>188</v>
      </c>
      <c r="C35" t="s">
        <v>0</v>
      </c>
      <c r="D35" t="s">
        <v>189</v>
      </c>
      <c r="E35" t="s">
        <v>123</v>
      </c>
      <c r="F35">
        <v>175</v>
      </c>
      <c r="G35">
        <v>158</v>
      </c>
      <c r="H35">
        <v>168</v>
      </c>
      <c r="I35">
        <v>212</v>
      </c>
      <c r="J35">
        <v>247</v>
      </c>
      <c r="K35">
        <v>287</v>
      </c>
      <c r="L35">
        <v>322</v>
      </c>
      <c r="M35">
        <v>300</v>
      </c>
      <c r="N35">
        <v>387</v>
      </c>
      <c r="O35">
        <v>293</v>
      </c>
      <c r="P35">
        <v>424</v>
      </c>
      <c r="Q35">
        <v>410</v>
      </c>
      <c r="R35">
        <v>476</v>
      </c>
      <c r="S35">
        <v>424</v>
      </c>
      <c r="T35">
        <v>446</v>
      </c>
      <c r="U35">
        <v>416</v>
      </c>
      <c r="V35">
        <v>386</v>
      </c>
      <c r="W35">
        <v>362</v>
      </c>
      <c r="X35">
        <v>455</v>
      </c>
      <c r="Y35">
        <v>500</v>
      </c>
      <c r="Z35">
        <v>530</v>
      </c>
      <c r="AA35">
        <v>563</v>
      </c>
      <c r="AB35">
        <v>554</v>
      </c>
      <c r="AC35">
        <v>726</v>
      </c>
      <c r="AD35">
        <v>744</v>
      </c>
      <c r="AE35">
        <v>688</v>
      </c>
    </row>
    <row r="36" spans="1:31" x14ac:dyDescent="0.3">
      <c r="A36" t="s">
        <v>250</v>
      </c>
      <c r="B36" t="s">
        <v>190</v>
      </c>
      <c r="C36" t="s">
        <v>0</v>
      </c>
      <c r="D36" t="s">
        <v>191</v>
      </c>
      <c r="E36" t="s">
        <v>123</v>
      </c>
      <c r="F36">
        <v>36</v>
      </c>
      <c r="G36">
        <v>31</v>
      </c>
      <c r="H36">
        <v>29</v>
      </c>
      <c r="I36">
        <v>33</v>
      </c>
      <c r="J36">
        <v>44</v>
      </c>
      <c r="K36">
        <v>42</v>
      </c>
      <c r="L36">
        <v>53</v>
      </c>
      <c r="M36">
        <v>33</v>
      </c>
      <c r="N36">
        <v>46</v>
      </c>
      <c r="O36">
        <v>56</v>
      </c>
      <c r="P36">
        <v>58</v>
      </c>
      <c r="Q36">
        <v>52</v>
      </c>
      <c r="R36">
        <v>83</v>
      </c>
      <c r="S36">
        <v>68</v>
      </c>
      <c r="T36">
        <v>100</v>
      </c>
      <c r="U36">
        <v>102</v>
      </c>
      <c r="V36">
        <v>99</v>
      </c>
      <c r="W36">
        <v>109</v>
      </c>
      <c r="X36">
        <v>96</v>
      </c>
      <c r="Y36">
        <v>98</v>
      </c>
      <c r="Z36">
        <v>108</v>
      </c>
      <c r="AA36">
        <v>118</v>
      </c>
      <c r="AB36">
        <v>110</v>
      </c>
      <c r="AC36">
        <v>136</v>
      </c>
      <c r="AD36">
        <v>132</v>
      </c>
      <c r="AE36">
        <v>139</v>
      </c>
    </row>
    <row r="37" spans="1:31" x14ac:dyDescent="0.3">
      <c r="A37" t="s">
        <v>250</v>
      </c>
      <c r="B37" t="s">
        <v>192</v>
      </c>
      <c r="C37" t="s">
        <v>0</v>
      </c>
      <c r="D37" t="s">
        <v>193</v>
      </c>
      <c r="E37" t="s">
        <v>123</v>
      </c>
      <c r="F37">
        <v>56</v>
      </c>
      <c r="G37">
        <v>44</v>
      </c>
      <c r="H37">
        <v>49</v>
      </c>
      <c r="I37">
        <v>64</v>
      </c>
      <c r="J37">
        <v>71</v>
      </c>
      <c r="K37">
        <v>95</v>
      </c>
      <c r="L37">
        <v>98</v>
      </c>
      <c r="M37">
        <v>100</v>
      </c>
      <c r="N37">
        <v>172</v>
      </c>
      <c r="O37">
        <v>71</v>
      </c>
      <c r="P37">
        <v>131</v>
      </c>
      <c r="Q37">
        <v>112</v>
      </c>
      <c r="R37">
        <v>141</v>
      </c>
      <c r="S37">
        <v>75</v>
      </c>
      <c r="T37">
        <v>106</v>
      </c>
      <c r="U37">
        <v>91</v>
      </c>
      <c r="V37">
        <v>58</v>
      </c>
      <c r="W37">
        <v>56</v>
      </c>
      <c r="X37">
        <v>72</v>
      </c>
      <c r="Y37">
        <v>80</v>
      </c>
      <c r="Z37">
        <v>80</v>
      </c>
      <c r="AA37">
        <v>93</v>
      </c>
      <c r="AB37">
        <v>118</v>
      </c>
      <c r="AC37">
        <v>122</v>
      </c>
      <c r="AD37">
        <v>104</v>
      </c>
      <c r="AE37">
        <v>89</v>
      </c>
    </row>
    <row r="38" spans="1:31" x14ac:dyDescent="0.3">
      <c r="A38" t="s">
        <v>250</v>
      </c>
      <c r="B38" t="s">
        <v>194</v>
      </c>
      <c r="C38" t="s">
        <v>0</v>
      </c>
      <c r="D38" t="s">
        <v>195</v>
      </c>
      <c r="E38" t="s">
        <v>123</v>
      </c>
      <c r="F38">
        <v>83</v>
      </c>
      <c r="G38">
        <v>83</v>
      </c>
      <c r="H38">
        <v>90</v>
      </c>
      <c r="I38">
        <v>115</v>
      </c>
      <c r="J38">
        <v>132</v>
      </c>
      <c r="K38">
        <v>150</v>
      </c>
      <c r="L38">
        <v>171</v>
      </c>
      <c r="M38">
        <v>167</v>
      </c>
      <c r="N38">
        <v>169</v>
      </c>
      <c r="O38">
        <v>166</v>
      </c>
      <c r="P38">
        <v>235</v>
      </c>
      <c r="Q38">
        <v>246</v>
      </c>
      <c r="R38">
        <v>252</v>
      </c>
      <c r="S38">
        <v>281</v>
      </c>
      <c r="T38">
        <v>240</v>
      </c>
      <c r="U38">
        <v>223</v>
      </c>
      <c r="V38">
        <v>229</v>
      </c>
      <c r="W38">
        <v>197</v>
      </c>
      <c r="X38">
        <v>287</v>
      </c>
      <c r="Y38">
        <v>322</v>
      </c>
      <c r="Z38">
        <v>342</v>
      </c>
      <c r="AA38">
        <v>352</v>
      </c>
      <c r="AB38">
        <v>326</v>
      </c>
      <c r="AC38">
        <v>468</v>
      </c>
      <c r="AD38">
        <v>508</v>
      </c>
      <c r="AE38">
        <v>460</v>
      </c>
    </row>
    <row r="39" spans="1:31" x14ac:dyDescent="0.3">
      <c r="A39" t="s">
        <v>250</v>
      </c>
      <c r="B39" t="s">
        <v>196</v>
      </c>
      <c r="C39" t="s">
        <v>0</v>
      </c>
      <c r="D39" t="s">
        <v>197</v>
      </c>
      <c r="E39" t="s">
        <v>123</v>
      </c>
      <c r="F39">
        <v>213</v>
      </c>
      <c r="G39">
        <v>151</v>
      </c>
      <c r="H39">
        <v>149</v>
      </c>
      <c r="I39">
        <v>168</v>
      </c>
      <c r="J39">
        <v>190</v>
      </c>
      <c r="K39">
        <v>203</v>
      </c>
      <c r="L39">
        <v>237</v>
      </c>
      <c r="M39">
        <v>213</v>
      </c>
      <c r="N39">
        <v>267</v>
      </c>
      <c r="O39">
        <v>293</v>
      </c>
      <c r="P39">
        <v>304</v>
      </c>
      <c r="Q39">
        <v>333</v>
      </c>
      <c r="R39">
        <v>412</v>
      </c>
      <c r="S39">
        <v>401</v>
      </c>
      <c r="T39">
        <v>379</v>
      </c>
      <c r="U39">
        <v>377</v>
      </c>
      <c r="V39">
        <v>368</v>
      </c>
      <c r="W39">
        <v>262</v>
      </c>
      <c r="X39">
        <v>268</v>
      </c>
      <c r="Y39">
        <v>362</v>
      </c>
      <c r="Z39">
        <v>354</v>
      </c>
      <c r="AA39">
        <v>363</v>
      </c>
      <c r="AB39">
        <v>355</v>
      </c>
      <c r="AC39">
        <v>353</v>
      </c>
      <c r="AD39">
        <v>400</v>
      </c>
      <c r="AE39">
        <v>280</v>
      </c>
    </row>
    <row r="40" spans="1:31" x14ac:dyDescent="0.3">
      <c r="A40" t="s">
        <v>250</v>
      </c>
      <c r="B40" t="s">
        <v>198</v>
      </c>
      <c r="C40" t="s">
        <v>0</v>
      </c>
      <c r="D40" t="s">
        <v>199</v>
      </c>
      <c r="E40" t="s">
        <v>123</v>
      </c>
      <c r="F40">
        <v>3</v>
      </c>
      <c r="G40">
        <v>3</v>
      </c>
      <c r="H40">
        <v>3</v>
      </c>
      <c r="I40">
        <v>3</v>
      </c>
      <c r="J40">
        <v>2</v>
      </c>
      <c r="K40">
        <v>2</v>
      </c>
      <c r="L40">
        <v>3</v>
      </c>
      <c r="M40">
        <v>4</v>
      </c>
      <c r="N40">
        <v>2</v>
      </c>
      <c r="O40">
        <v>2</v>
      </c>
      <c r="P40">
        <v>3</v>
      </c>
      <c r="Q40">
        <v>6</v>
      </c>
      <c r="R40">
        <v>5</v>
      </c>
      <c r="S40">
        <v>11</v>
      </c>
      <c r="T40">
        <v>14</v>
      </c>
      <c r="U40">
        <v>27</v>
      </c>
      <c r="V40">
        <v>17</v>
      </c>
      <c r="W40">
        <v>19</v>
      </c>
      <c r="X40">
        <v>24</v>
      </c>
      <c r="Y40">
        <v>32</v>
      </c>
      <c r="Z40">
        <v>29</v>
      </c>
      <c r="AA40">
        <v>25</v>
      </c>
      <c r="AB40">
        <v>29</v>
      </c>
      <c r="AC40">
        <v>35</v>
      </c>
      <c r="AD40">
        <v>27</v>
      </c>
      <c r="AE40">
        <v>31</v>
      </c>
    </row>
    <row r="41" spans="1:31" x14ac:dyDescent="0.3">
      <c r="A41" t="s">
        <v>250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250</v>
      </c>
      <c r="B42" t="s">
        <v>202</v>
      </c>
      <c r="C42" t="s">
        <v>0</v>
      </c>
      <c r="D42" t="s">
        <v>203</v>
      </c>
      <c r="E42" t="s">
        <v>123</v>
      </c>
      <c r="F42">
        <v>43</v>
      </c>
      <c r="G42">
        <v>34</v>
      </c>
      <c r="H42">
        <v>39</v>
      </c>
      <c r="I42">
        <v>50</v>
      </c>
      <c r="J42">
        <v>61</v>
      </c>
      <c r="K42">
        <v>74</v>
      </c>
      <c r="L42">
        <v>77</v>
      </c>
      <c r="M42">
        <v>78</v>
      </c>
      <c r="N42">
        <v>92</v>
      </c>
      <c r="O42">
        <v>88</v>
      </c>
      <c r="P42">
        <v>111</v>
      </c>
      <c r="Q42">
        <v>99</v>
      </c>
      <c r="R42">
        <v>140</v>
      </c>
      <c r="S42">
        <v>151</v>
      </c>
      <c r="T42">
        <v>122</v>
      </c>
      <c r="U42">
        <v>138</v>
      </c>
      <c r="V42">
        <v>150</v>
      </c>
      <c r="W42">
        <v>135</v>
      </c>
      <c r="X42">
        <v>157</v>
      </c>
      <c r="Y42">
        <v>168</v>
      </c>
      <c r="Z42">
        <v>177</v>
      </c>
      <c r="AA42">
        <v>172</v>
      </c>
      <c r="AB42">
        <v>172</v>
      </c>
      <c r="AC42">
        <v>163</v>
      </c>
      <c r="AD42">
        <v>257</v>
      </c>
      <c r="AE42">
        <v>244</v>
      </c>
    </row>
    <row r="43" spans="1:31" x14ac:dyDescent="0.3">
      <c r="A43" t="s">
        <v>250</v>
      </c>
      <c r="B43" t="s">
        <v>204</v>
      </c>
      <c r="C43" t="s">
        <v>0</v>
      </c>
      <c r="D43" t="s">
        <v>205</v>
      </c>
      <c r="E43" t="s">
        <v>123</v>
      </c>
      <c r="F43">
        <v>65</v>
      </c>
      <c r="G43">
        <v>48</v>
      </c>
      <c r="H43">
        <v>58</v>
      </c>
      <c r="I43">
        <v>73</v>
      </c>
      <c r="J43">
        <v>86</v>
      </c>
      <c r="K43">
        <v>99</v>
      </c>
      <c r="L43">
        <v>108</v>
      </c>
      <c r="M43">
        <v>104</v>
      </c>
      <c r="N43">
        <v>126</v>
      </c>
      <c r="O43">
        <v>117</v>
      </c>
      <c r="P43">
        <v>149</v>
      </c>
      <c r="Q43">
        <v>138</v>
      </c>
      <c r="R43">
        <v>179</v>
      </c>
      <c r="S43">
        <v>196</v>
      </c>
      <c r="T43">
        <v>173</v>
      </c>
      <c r="U43">
        <v>191</v>
      </c>
      <c r="V43">
        <v>204</v>
      </c>
      <c r="W43">
        <v>205</v>
      </c>
      <c r="X43">
        <v>223</v>
      </c>
      <c r="Y43">
        <v>247</v>
      </c>
      <c r="Z43">
        <v>247</v>
      </c>
      <c r="AA43">
        <v>265</v>
      </c>
      <c r="AB43">
        <v>276</v>
      </c>
      <c r="AC43">
        <v>264</v>
      </c>
      <c r="AD43">
        <v>385</v>
      </c>
      <c r="AE43">
        <v>353</v>
      </c>
    </row>
    <row r="44" spans="1:31" x14ac:dyDescent="0.3">
      <c r="A44" t="s">
        <v>250</v>
      </c>
      <c r="B44" t="s">
        <v>206</v>
      </c>
      <c r="C44" t="s">
        <v>0</v>
      </c>
      <c r="D44" t="s">
        <v>207</v>
      </c>
      <c r="E44" t="s">
        <v>123</v>
      </c>
      <c r="F44">
        <v>807</v>
      </c>
      <c r="G44">
        <v>694</v>
      </c>
      <c r="H44">
        <v>789</v>
      </c>
      <c r="I44">
        <v>1002</v>
      </c>
      <c r="J44">
        <v>1146</v>
      </c>
      <c r="K44">
        <v>1299</v>
      </c>
      <c r="L44">
        <v>1492</v>
      </c>
      <c r="M44">
        <v>1382</v>
      </c>
      <c r="N44">
        <v>1743</v>
      </c>
      <c r="O44">
        <v>1610</v>
      </c>
      <c r="P44">
        <v>1944</v>
      </c>
      <c r="Q44">
        <v>1999</v>
      </c>
      <c r="R44">
        <v>2171</v>
      </c>
      <c r="S44">
        <v>2217</v>
      </c>
      <c r="T44">
        <v>2304</v>
      </c>
      <c r="U44">
        <v>2293</v>
      </c>
      <c r="V44">
        <v>2277</v>
      </c>
      <c r="W44">
        <v>2280</v>
      </c>
      <c r="X44">
        <v>2356</v>
      </c>
      <c r="Y44">
        <v>2625</v>
      </c>
      <c r="Z44">
        <v>2581</v>
      </c>
      <c r="AA44">
        <v>2618</v>
      </c>
      <c r="AB44">
        <v>2788</v>
      </c>
      <c r="AC44">
        <v>3052</v>
      </c>
      <c r="AD44">
        <v>3319</v>
      </c>
      <c r="AE44">
        <v>3173</v>
      </c>
    </row>
    <row r="45" spans="1:31" x14ac:dyDescent="0.3">
      <c r="A45" t="s">
        <v>250</v>
      </c>
      <c r="B45" t="s">
        <v>208</v>
      </c>
      <c r="C45" t="s">
        <v>0</v>
      </c>
      <c r="D45" t="s">
        <v>209</v>
      </c>
      <c r="E45" t="s">
        <v>123</v>
      </c>
      <c r="F45">
        <v>805</v>
      </c>
      <c r="G45">
        <v>693</v>
      </c>
      <c r="H45">
        <v>787</v>
      </c>
      <c r="I45">
        <v>1000</v>
      </c>
      <c r="J45">
        <v>1144</v>
      </c>
      <c r="K45">
        <v>1296</v>
      </c>
      <c r="L45">
        <v>1489</v>
      </c>
      <c r="M45">
        <v>1379</v>
      </c>
      <c r="N45">
        <v>1740</v>
      </c>
      <c r="O45">
        <v>1607</v>
      </c>
      <c r="P45">
        <v>1940</v>
      </c>
      <c r="Q45">
        <v>1993</v>
      </c>
      <c r="R45">
        <v>2166</v>
      </c>
      <c r="S45">
        <v>2212</v>
      </c>
      <c r="T45">
        <v>2299</v>
      </c>
      <c r="U45">
        <v>2287</v>
      </c>
      <c r="V45">
        <v>2272</v>
      </c>
      <c r="W45">
        <v>2275</v>
      </c>
      <c r="X45">
        <v>2350</v>
      </c>
      <c r="Y45">
        <v>2620</v>
      </c>
      <c r="Z45">
        <v>2576</v>
      </c>
      <c r="AA45">
        <v>2613</v>
      </c>
      <c r="AB45">
        <v>2783</v>
      </c>
      <c r="AC45">
        <v>3047</v>
      </c>
      <c r="AD45">
        <v>3314</v>
      </c>
      <c r="AE45">
        <v>3168</v>
      </c>
    </row>
    <row r="46" spans="1:31" x14ac:dyDescent="0.3">
      <c r="A46" t="s">
        <v>250</v>
      </c>
      <c r="B46" t="s">
        <v>210</v>
      </c>
      <c r="C46" t="s">
        <v>0</v>
      </c>
      <c r="D46" t="s">
        <v>211</v>
      </c>
      <c r="E46" t="s">
        <v>123</v>
      </c>
      <c r="F46">
        <v>22</v>
      </c>
      <c r="G46">
        <v>14</v>
      </c>
      <c r="H46">
        <v>19</v>
      </c>
      <c r="I46">
        <v>23</v>
      </c>
      <c r="J46">
        <v>25</v>
      </c>
      <c r="K46">
        <v>25</v>
      </c>
      <c r="L46">
        <v>31</v>
      </c>
      <c r="M46">
        <v>26</v>
      </c>
      <c r="N46">
        <v>34</v>
      </c>
      <c r="O46">
        <v>29</v>
      </c>
      <c r="P46">
        <v>38</v>
      </c>
      <c r="Q46">
        <v>39</v>
      </c>
      <c r="R46">
        <v>39</v>
      </c>
      <c r="S46">
        <v>45</v>
      </c>
      <c r="T46">
        <v>51</v>
      </c>
      <c r="U46">
        <v>53</v>
      </c>
      <c r="V46">
        <v>54</v>
      </c>
      <c r="W46">
        <v>70</v>
      </c>
      <c r="X46">
        <v>66</v>
      </c>
      <c r="Y46">
        <v>79</v>
      </c>
      <c r="Z46">
        <v>70</v>
      </c>
      <c r="AA46">
        <v>93</v>
      </c>
      <c r="AB46">
        <v>104</v>
      </c>
      <c r="AC46">
        <v>101</v>
      </c>
      <c r="AD46">
        <v>128</v>
      </c>
      <c r="AE46">
        <v>109</v>
      </c>
    </row>
    <row r="47" spans="1:31" x14ac:dyDescent="0.3">
      <c r="A47" t="s">
        <v>250</v>
      </c>
      <c r="B47" t="s">
        <v>212</v>
      </c>
      <c r="C47" t="s">
        <v>0</v>
      </c>
      <c r="D47" t="s">
        <v>213</v>
      </c>
      <c r="E47" t="s">
        <v>123</v>
      </c>
      <c r="F47">
        <v>57</v>
      </c>
      <c r="G47">
        <v>52</v>
      </c>
      <c r="H47">
        <v>56</v>
      </c>
      <c r="I47">
        <v>63</v>
      </c>
      <c r="J47">
        <v>70</v>
      </c>
      <c r="K47">
        <v>84</v>
      </c>
      <c r="L47">
        <v>111</v>
      </c>
      <c r="M47">
        <v>113</v>
      </c>
      <c r="N47">
        <v>139</v>
      </c>
      <c r="O47">
        <v>142</v>
      </c>
      <c r="P47">
        <v>148</v>
      </c>
      <c r="Q47">
        <v>134</v>
      </c>
      <c r="R47">
        <v>135</v>
      </c>
      <c r="S47">
        <v>149</v>
      </c>
      <c r="T47">
        <v>149</v>
      </c>
      <c r="U47">
        <v>174</v>
      </c>
      <c r="V47">
        <v>177</v>
      </c>
      <c r="W47">
        <v>163</v>
      </c>
      <c r="X47">
        <v>159</v>
      </c>
      <c r="Y47">
        <v>163</v>
      </c>
      <c r="Z47">
        <v>196</v>
      </c>
      <c r="AA47">
        <v>209</v>
      </c>
      <c r="AB47">
        <v>196</v>
      </c>
      <c r="AC47">
        <v>228</v>
      </c>
      <c r="AD47">
        <v>225</v>
      </c>
      <c r="AE47">
        <v>190</v>
      </c>
    </row>
    <row r="48" spans="1:31" x14ac:dyDescent="0.3">
      <c r="A48" t="s">
        <v>250</v>
      </c>
      <c r="B48" t="s">
        <v>214</v>
      </c>
      <c r="C48" t="s">
        <v>0</v>
      </c>
      <c r="D48" t="s">
        <v>215</v>
      </c>
      <c r="E48" t="s">
        <v>123</v>
      </c>
      <c r="F48">
        <v>87</v>
      </c>
      <c r="G48">
        <v>81</v>
      </c>
      <c r="H48">
        <v>87</v>
      </c>
      <c r="I48">
        <v>104</v>
      </c>
      <c r="J48">
        <v>116</v>
      </c>
      <c r="K48">
        <v>133</v>
      </c>
      <c r="L48">
        <v>161</v>
      </c>
      <c r="M48">
        <v>175</v>
      </c>
      <c r="N48">
        <v>196</v>
      </c>
      <c r="O48">
        <v>196</v>
      </c>
      <c r="P48">
        <v>209</v>
      </c>
      <c r="Q48">
        <v>208</v>
      </c>
      <c r="R48">
        <v>205</v>
      </c>
      <c r="S48">
        <v>218</v>
      </c>
      <c r="T48">
        <v>212</v>
      </c>
      <c r="U48">
        <v>258</v>
      </c>
      <c r="V48">
        <v>254</v>
      </c>
      <c r="W48">
        <v>263</v>
      </c>
      <c r="X48">
        <v>271</v>
      </c>
      <c r="Y48">
        <v>295</v>
      </c>
      <c r="Z48">
        <v>301</v>
      </c>
      <c r="AA48">
        <v>353</v>
      </c>
      <c r="AB48">
        <v>362</v>
      </c>
      <c r="AC48">
        <v>405</v>
      </c>
      <c r="AD48">
        <v>423</v>
      </c>
      <c r="AE48">
        <v>409</v>
      </c>
    </row>
    <row r="49" spans="1:31" x14ac:dyDescent="0.3">
      <c r="A49" t="s">
        <v>250</v>
      </c>
      <c r="B49" t="s">
        <v>216</v>
      </c>
      <c r="C49" t="s">
        <v>0</v>
      </c>
      <c r="D49" t="s">
        <v>217</v>
      </c>
      <c r="E49" t="s">
        <v>123</v>
      </c>
      <c r="F49">
        <v>14</v>
      </c>
      <c r="G49">
        <v>14</v>
      </c>
      <c r="H49">
        <v>15</v>
      </c>
      <c r="I49">
        <v>20</v>
      </c>
      <c r="J49">
        <v>23</v>
      </c>
      <c r="K49">
        <v>24</v>
      </c>
      <c r="L49">
        <v>21</v>
      </c>
      <c r="M49">
        <v>32</v>
      </c>
      <c r="N49">
        <v>26</v>
      </c>
      <c r="O49">
        <v>23</v>
      </c>
      <c r="P49">
        <v>23</v>
      </c>
      <c r="Q49">
        <v>22</v>
      </c>
      <c r="R49">
        <v>19</v>
      </c>
      <c r="S49">
        <v>26</v>
      </c>
      <c r="T49">
        <v>19</v>
      </c>
      <c r="U49">
        <v>28</v>
      </c>
      <c r="V49">
        <v>28</v>
      </c>
      <c r="W49">
        <v>29</v>
      </c>
      <c r="X49">
        <v>30</v>
      </c>
      <c r="Y49">
        <v>44</v>
      </c>
      <c r="Z49">
        <v>42</v>
      </c>
      <c r="AA49">
        <v>57</v>
      </c>
      <c r="AB49">
        <v>63</v>
      </c>
      <c r="AC49">
        <v>61</v>
      </c>
      <c r="AD49">
        <v>67</v>
      </c>
      <c r="AE49">
        <v>76</v>
      </c>
    </row>
    <row r="50" spans="1:31" x14ac:dyDescent="0.3">
      <c r="A50" t="s">
        <v>250</v>
      </c>
      <c r="B50" t="s">
        <v>218</v>
      </c>
      <c r="C50" t="s">
        <v>0</v>
      </c>
      <c r="D50" t="s">
        <v>219</v>
      </c>
      <c r="E50" t="s">
        <v>123</v>
      </c>
      <c r="F50">
        <v>16</v>
      </c>
      <c r="G50">
        <v>15</v>
      </c>
      <c r="H50">
        <v>16</v>
      </c>
      <c r="I50">
        <v>21</v>
      </c>
      <c r="J50">
        <v>23</v>
      </c>
      <c r="K50">
        <v>25</v>
      </c>
      <c r="L50">
        <v>29</v>
      </c>
      <c r="M50">
        <v>30</v>
      </c>
      <c r="N50">
        <v>31</v>
      </c>
      <c r="O50">
        <v>31</v>
      </c>
      <c r="P50">
        <v>38</v>
      </c>
      <c r="Q50">
        <v>52</v>
      </c>
      <c r="R50">
        <v>51</v>
      </c>
      <c r="S50">
        <v>43</v>
      </c>
      <c r="T50">
        <v>44</v>
      </c>
      <c r="U50">
        <v>56</v>
      </c>
      <c r="V50">
        <v>49</v>
      </c>
      <c r="W50">
        <v>71</v>
      </c>
      <c r="X50">
        <v>82</v>
      </c>
      <c r="Y50">
        <v>88</v>
      </c>
      <c r="Z50">
        <v>63</v>
      </c>
      <c r="AA50">
        <v>87</v>
      </c>
      <c r="AB50">
        <v>103</v>
      </c>
      <c r="AC50">
        <v>116</v>
      </c>
      <c r="AD50">
        <v>131</v>
      </c>
      <c r="AE50">
        <v>143</v>
      </c>
    </row>
    <row r="51" spans="1:31" x14ac:dyDescent="0.3">
      <c r="A51" t="s">
        <v>250</v>
      </c>
      <c r="B51" t="s">
        <v>220</v>
      </c>
      <c r="C51" t="s">
        <v>0</v>
      </c>
      <c r="D51" t="s">
        <v>221</v>
      </c>
      <c r="E51" t="s">
        <v>123</v>
      </c>
      <c r="F51">
        <v>15</v>
      </c>
      <c r="G51">
        <v>14</v>
      </c>
      <c r="H51">
        <v>15</v>
      </c>
      <c r="I51">
        <v>19</v>
      </c>
      <c r="J51">
        <v>21</v>
      </c>
      <c r="K51">
        <v>23</v>
      </c>
      <c r="L51">
        <v>27</v>
      </c>
      <c r="M51">
        <v>28</v>
      </c>
      <c r="N51">
        <v>29</v>
      </c>
      <c r="O51">
        <v>28</v>
      </c>
      <c r="P51">
        <v>36</v>
      </c>
      <c r="Q51">
        <v>51</v>
      </c>
      <c r="R51">
        <v>50</v>
      </c>
      <c r="S51">
        <v>42</v>
      </c>
      <c r="T51">
        <v>42</v>
      </c>
      <c r="U51">
        <v>51</v>
      </c>
      <c r="V51">
        <v>45</v>
      </c>
      <c r="W51">
        <v>66</v>
      </c>
      <c r="X51">
        <v>76</v>
      </c>
      <c r="Y51">
        <v>83</v>
      </c>
      <c r="Z51">
        <v>54</v>
      </c>
      <c r="AA51">
        <v>79</v>
      </c>
      <c r="AB51">
        <v>90</v>
      </c>
      <c r="AC51">
        <v>105</v>
      </c>
      <c r="AD51">
        <v>115</v>
      </c>
      <c r="AE51">
        <v>123</v>
      </c>
    </row>
    <row r="52" spans="1:31" x14ac:dyDescent="0.3">
      <c r="A52" t="s">
        <v>250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1</v>
      </c>
      <c r="H52">
        <v>1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3</v>
      </c>
      <c r="P52">
        <v>2</v>
      </c>
      <c r="Q52">
        <v>1</v>
      </c>
      <c r="R52">
        <v>1</v>
      </c>
      <c r="S52">
        <v>1</v>
      </c>
      <c r="T52">
        <v>2</v>
      </c>
      <c r="U52">
        <v>5</v>
      </c>
      <c r="V52">
        <v>4</v>
      </c>
      <c r="W52">
        <v>5</v>
      </c>
      <c r="X52">
        <v>6</v>
      </c>
      <c r="Y52">
        <v>5</v>
      </c>
      <c r="Z52">
        <v>9</v>
      </c>
      <c r="AA52">
        <v>8</v>
      </c>
      <c r="AB52">
        <v>13</v>
      </c>
      <c r="AC52">
        <v>11</v>
      </c>
      <c r="AD52">
        <v>16</v>
      </c>
      <c r="AE52">
        <v>20</v>
      </c>
    </row>
    <row r="53" spans="1:31" x14ac:dyDescent="0.3">
      <c r="A53" t="s">
        <v>250</v>
      </c>
      <c r="B53" t="s">
        <v>224</v>
      </c>
      <c r="C53" t="s">
        <v>0</v>
      </c>
      <c r="D53" t="s">
        <v>225</v>
      </c>
      <c r="E53" t="s">
        <v>123</v>
      </c>
      <c r="F53">
        <v>9</v>
      </c>
      <c r="G53">
        <v>8</v>
      </c>
      <c r="H53">
        <v>10</v>
      </c>
      <c r="I53">
        <v>12</v>
      </c>
      <c r="J53">
        <v>13</v>
      </c>
      <c r="K53">
        <v>15</v>
      </c>
      <c r="L53">
        <v>14</v>
      </c>
      <c r="M53">
        <v>16</v>
      </c>
      <c r="N53">
        <v>14</v>
      </c>
      <c r="O53">
        <v>17</v>
      </c>
      <c r="P53">
        <v>24</v>
      </c>
      <c r="Q53">
        <v>37</v>
      </c>
      <c r="R53">
        <v>28</v>
      </c>
      <c r="S53">
        <v>48</v>
      </c>
      <c r="T53">
        <v>27</v>
      </c>
      <c r="U53">
        <v>49</v>
      </c>
      <c r="V53">
        <v>27</v>
      </c>
      <c r="W53">
        <v>22</v>
      </c>
      <c r="X53">
        <v>28</v>
      </c>
      <c r="Y53">
        <v>27</v>
      </c>
      <c r="Z53">
        <v>13</v>
      </c>
      <c r="AA53">
        <v>18</v>
      </c>
      <c r="AB53">
        <v>37</v>
      </c>
      <c r="AC53">
        <v>23</v>
      </c>
      <c r="AD53">
        <v>33</v>
      </c>
      <c r="AE53">
        <v>25</v>
      </c>
    </row>
    <row r="54" spans="1:31" x14ac:dyDescent="0.3">
      <c r="A54" t="s">
        <v>250</v>
      </c>
      <c r="B54" t="s">
        <v>226</v>
      </c>
      <c r="C54" t="s">
        <v>0</v>
      </c>
      <c r="D54" t="s">
        <v>227</v>
      </c>
      <c r="E54" t="s">
        <v>123</v>
      </c>
      <c r="F54">
        <v>16</v>
      </c>
      <c r="G54">
        <v>15</v>
      </c>
      <c r="H54">
        <v>18</v>
      </c>
      <c r="I54">
        <v>22</v>
      </c>
      <c r="J54">
        <v>24</v>
      </c>
      <c r="K54">
        <v>29</v>
      </c>
      <c r="L54">
        <v>29</v>
      </c>
      <c r="M54">
        <v>35</v>
      </c>
      <c r="N54">
        <v>25</v>
      </c>
      <c r="O54">
        <v>26</v>
      </c>
      <c r="P54">
        <v>37</v>
      </c>
      <c r="Q54">
        <v>42</v>
      </c>
      <c r="R54">
        <v>42</v>
      </c>
      <c r="S54">
        <v>63</v>
      </c>
      <c r="T54">
        <v>49</v>
      </c>
      <c r="U54">
        <v>67</v>
      </c>
      <c r="V54">
        <v>43</v>
      </c>
      <c r="W54">
        <v>42</v>
      </c>
      <c r="X54">
        <v>49</v>
      </c>
      <c r="Y54">
        <v>48</v>
      </c>
      <c r="Z54">
        <v>36</v>
      </c>
      <c r="AA54">
        <v>40</v>
      </c>
      <c r="AB54">
        <v>58</v>
      </c>
      <c r="AC54">
        <v>54</v>
      </c>
      <c r="AD54">
        <v>67</v>
      </c>
      <c r="AE54">
        <v>45</v>
      </c>
    </row>
    <row r="55" spans="1:31" x14ac:dyDescent="0.3">
      <c r="A55" t="s">
        <v>250</v>
      </c>
      <c r="B55" t="s">
        <v>228</v>
      </c>
      <c r="C55" t="s">
        <v>0</v>
      </c>
      <c r="D55" t="s">
        <v>229</v>
      </c>
      <c r="E55" t="s">
        <v>123</v>
      </c>
      <c r="F55">
        <v>7</v>
      </c>
      <c r="G55">
        <v>7</v>
      </c>
      <c r="H55">
        <v>8</v>
      </c>
      <c r="I55">
        <v>10</v>
      </c>
      <c r="J55">
        <v>11</v>
      </c>
      <c r="K55">
        <v>14</v>
      </c>
      <c r="L55">
        <v>15</v>
      </c>
      <c r="M55">
        <v>19</v>
      </c>
      <c r="N55">
        <v>11</v>
      </c>
      <c r="O55">
        <v>9</v>
      </c>
      <c r="P55">
        <v>13</v>
      </c>
      <c r="Q55">
        <v>5</v>
      </c>
      <c r="R55">
        <v>14</v>
      </c>
      <c r="S55">
        <v>15</v>
      </c>
      <c r="T55">
        <v>22</v>
      </c>
      <c r="U55">
        <v>18</v>
      </c>
      <c r="V55">
        <v>16</v>
      </c>
      <c r="W55">
        <v>20</v>
      </c>
      <c r="X55">
        <v>21</v>
      </c>
      <c r="Y55">
        <v>21</v>
      </c>
      <c r="Z55">
        <v>23</v>
      </c>
      <c r="AA55">
        <v>22</v>
      </c>
      <c r="AB55">
        <v>21</v>
      </c>
      <c r="AC55">
        <v>31</v>
      </c>
      <c r="AD55">
        <v>34</v>
      </c>
      <c r="AE55">
        <v>20</v>
      </c>
    </row>
    <row r="56" spans="1:31" x14ac:dyDescent="0.3">
      <c r="A56" t="s">
        <v>250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250</v>
      </c>
      <c r="B57" t="s">
        <v>232</v>
      </c>
      <c r="C57" t="s">
        <v>0</v>
      </c>
      <c r="D57" t="s">
        <v>233</v>
      </c>
      <c r="E57" t="s">
        <v>123</v>
      </c>
      <c r="F57">
        <v>897</v>
      </c>
      <c r="G57">
        <v>778</v>
      </c>
      <c r="H57">
        <v>879</v>
      </c>
      <c r="I57">
        <v>1109</v>
      </c>
      <c r="J57">
        <v>1264</v>
      </c>
      <c r="K57">
        <v>1434</v>
      </c>
      <c r="L57">
        <v>1656</v>
      </c>
      <c r="M57">
        <v>1561</v>
      </c>
      <c r="N57">
        <v>1941</v>
      </c>
      <c r="O57">
        <v>1808</v>
      </c>
      <c r="P57">
        <v>2156</v>
      </c>
      <c r="Q57">
        <v>2213</v>
      </c>
      <c r="R57">
        <v>2381</v>
      </c>
      <c r="S57">
        <v>2446</v>
      </c>
      <c r="T57">
        <v>2530</v>
      </c>
      <c r="U57">
        <v>2578</v>
      </c>
      <c r="V57">
        <v>2548</v>
      </c>
      <c r="W57">
        <v>2562</v>
      </c>
      <c r="X57">
        <v>2651</v>
      </c>
      <c r="Y57">
        <v>2952</v>
      </c>
      <c r="Z57">
        <v>2911</v>
      </c>
      <c r="AA57">
        <v>2996</v>
      </c>
      <c r="AB57">
        <v>3179</v>
      </c>
      <c r="AC57">
        <v>3492</v>
      </c>
      <c r="AD57">
        <v>3769</v>
      </c>
      <c r="AE57">
        <v>3613</v>
      </c>
    </row>
    <row r="58" spans="1:31" x14ac:dyDescent="0.3">
      <c r="A58" t="s">
        <v>250</v>
      </c>
      <c r="B58" t="s">
        <v>234</v>
      </c>
      <c r="C58" t="s">
        <v>0</v>
      </c>
      <c r="D58" t="s">
        <v>235</v>
      </c>
      <c r="E58" t="s">
        <v>123</v>
      </c>
      <c r="F58">
        <v>897</v>
      </c>
      <c r="G58">
        <v>778</v>
      </c>
      <c r="H58">
        <v>879</v>
      </c>
      <c r="I58">
        <v>1109</v>
      </c>
      <c r="J58">
        <v>1264</v>
      </c>
      <c r="K58">
        <v>1434</v>
      </c>
      <c r="L58">
        <v>1656</v>
      </c>
      <c r="M58">
        <v>1561</v>
      </c>
      <c r="N58">
        <v>1941</v>
      </c>
      <c r="O58">
        <v>1808</v>
      </c>
      <c r="P58">
        <v>2156</v>
      </c>
      <c r="Q58">
        <v>2213</v>
      </c>
      <c r="R58">
        <v>2381</v>
      </c>
      <c r="S58">
        <v>2446</v>
      </c>
      <c r="T58">
        <v>2530</v>
      </c>
      <c r="U58">
        <v>2578</v>
      </c>
      <c r="V58">
        <v>2548</v>
      </c>
      <c r="W58">
        <v>2562</v>
      </c>
      <c r="X58">
        <v>2651</v>
      </c>
      <c r="Y58">
        <v>2952</v>
      </c>
      <c r="Z58">
        <v>2911</v>
      </c>
      <c r="AA58">
        <v>2996</v>
      </c>
      <c r="AB58">
        <v>3179</v>
      </c>
      <c r="AC58">
        <v>3492</v>
      </c>
      <c r="AD58">
        <v>3769</v>
      </c>
      <c r="AE58">
        <v>3613</v>
      </c>
    </row>
    <row r="59" spans="1:31" x14ac:dyDescent="0.3">
      <c r="A59" t="s">
        <v>250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251</v>
      </c>
      <c r="B2" t="s">
        <v>121</v>
      </c>
      <c r="C2" t="s">
        <v>0</v>
      </c>
      <c r="D2" t="s">
        <v>122</v>
      </c>
      <c r="E2" t="s">
        <v>123</v>
      </c>
      <c r="F2">
        <v>216</v>
      </c>
      <c r="G2">
        <v>174</v>
      </c>
      <c r="H2">
        <v>201</v>
      </c>
      <c r="I2">
        <v>186</v>
      </c>
      <c r="J2">
        <v>210</v>
      </c>
      <c r="K2">
        <v>230</v>
      </c>
      <c r="L2">
        <v>241</v>
      </c>
      <c r="M2">
        <v>269</v>
      </c>
      <c r="N2">
        <v>268</v>
      </c>
      <c r="O2">
        <v>255</v>
      </c>
      <c r="P2">
        <v>240</v>
      </c>
      <c r="Q2">
        <v>210</v>
      </c>
      <c r="R2">
        <v>249</v>
      </c>
      <c r="S2">
        <v>296</v>
      </c>
      <c r="T2">
        <v>281</v>
      </c>
      <c r="U2">
        <v>257</v>
      </c>
      <c r="V2">
        <v>280</v>
      </c>
      <c r="W2">
        <v>279</v>
      </c>
      <c r="X2">
        <v>301</v>
      </c>
      <c r="Y2">
        <v>291</v>
      </c>
      <c r="Z2">
        <v>266</v>
      </c>
      <c r="AA2">
        <v>217</v>
      </c>
      <c r="AB2">
        <v>224</v>
      </c>
      <c r="AC2">
        <v>223</v>
      </c>
      <c r="AD2">
        <v>235</v>
      </c>
      <c r="AE2">
        <v>239</v>
      </c>
    </row>
    <row r="3" spans="1:31" x14ac:dyDescent="0.3">
      <c r="A3" t="s">
        <v>251</v>
      </c>
      <c r="B3" t="s">
        <v>124</v>
      </c>
      <c r="C3" t="s">
        <v>0</v>
      </c>
      <c r="D3" t="s">
        <v>125</v>
      </c>
      <c r="E3" t="s">
        <v>123</v>
      </c>
      <c r="F3">
        <v>4</v>
      </c>
      <c r="G3">
        <v>4</v>
      </c>
      <c r="H3">
        <v>3</v>
      </c>
      <c r="I3">
        <v>5</v>
      </c>
      <c r="J3">
        <v>6</v>
      </c>
      <c r="K3">
        <v>4</v>
      </c>
      <c r="L3">
        <v>3</v>
      </c>
      <c r="M3">
        <v>5</v>
      </c>
      <c r="N3">
        <v>6</v>
      </c>
      <c r="O3">
        <v>6</v>
      </c>
      <c r="P3">
        <v>8</v>
      </c>
      <c r="Q3">
        <v>6</v>
      </c>
      <c r="R3">
        <v>8</v>
      </c>
      <c r="S3">
        <v>11</v>
      </c>
      <c r="T3">
        <v>6</v>
      </c>
      <c r="U3">
        <v>6</v>
      </c>
      <c r="V3">
        <v>11</v>
      </c>
      <c r="W3">
        <v>34</v>
      </c>
      <c r="X3">
        <v>29</v>
      </c>
      <c r="Y3">
        <v>22</v>
      </c>
      <c r="Z3">
        <v>17</v>
      </c>
      <c r="AA3">
        <v>11</v>
      </c>
      <c r="AB3">
        <v>13</v>
      </c>
      <c r="AC3">
        <v>11</v>
      </c>
      <c r="AD3">
        <v>5</v>
      </c>
      <c r="AE3">
        <v>9</v>
      </c>
    </row>
    <row r="4" spans="1:31" x14ac:dyDescent="0.3">
      <c r="A4" t="s">
        <v>251</v>
      </c>
      <c r="B4" t="s">
        <v>126</v>
      </c>
      <c r="C4" t="s">
        <v>0</v>
      </c>
      <c r="D4" t="s">
        <v>127</v>
      </c>
      <c r="E4" t="s">
        <v>123</v>
      </c>
      <c r="F4">
        <v>61</v>
      </c>
      <c r="G4">
        <v>72</v>
      </c>
      <c r="H4">
        <v>84</v>
      </c>
      <c r="I4">
        <v>102</v>
      </c>
      <c r="J4">
        <v>99</v>
      </c>
      <c r="K4">
        <v>105</v>
      </c>
      <c r="L4">
        <v>103</v>
      </c>
      <c r="M4">
        <v>93</v>
      </c>
      <c r="N4">
        <v>102</v>
      </c>
      <c r="O4">
        <v>111</v>
      </c>
      <c r="P4">
        <v>114</v>
      </c>
      <c r="Q4">
        <v>179</v>
      </c>
      <c r="R4">
        <v>162</v>
      </c>
      <c r="S4">
        <v>223</v>
      </c>
      <c r="T4">
        <v>137</v>
      </c>
      <c r="U4">
        <v>96</v>
      </c>
      <c r="V4">
        <v>101</v>
      </c>
      <c r="W4">
        <v>109</v>
      </c>
      <c r="X4">
        <v>75</v>
      </c>
      <c r="Y4">
        <v>90</v>
      </c>
      <c r="Z4">
        <v>121</v>
      </c>
      <c r="AA4">
        <v>108</v>
      </c>
      <c r="AB4">
        <v>130</v>
      </c>
      <c r="AC4">
        <v>114</v>
      </c>
      <c r="AD4">
        <v>115</v>
      </c>
      <c r="AE4">
        <v>101</v>
      </c>
    </row>
    <row r="5" spans="1:31" x14ac:dyDescent="0.3">
      <c r="A5" t="s">
        <v>251</v>
      </c>
      <c r="B5" t="s">
        <v>128</v>
      </c>
      <c r="C5" t="s">
        <v>0</v>
      </c>
      <c r="D5" t="s">
        <v>129</v>
      </c>
      <c r="E5" t="s">
        <v>123</v>
      </c>
      <c r="F5">
        <v>10</v>
      </c>
      <c r="G5">
        <v>9</v>
      </c>
      <c r="H5">
        <v>11</v>
      </c>
      <c r="I5">
        <v>11</v>
      </c>
      <c r="J5">
        <v>11</v>
      </c>
      <c r="K5">
        <v>11</v>
      </c>
      <c r="L5">
        <v>10</v>
      </c>
      <c r="M5">
        <v>10</v>
      </c>
      <c r="N5">
        <v>10</v>
      </c>
      <c r="O5">
        <v>11</v>
      </c>
      <c r="P5">
        <v>10</v>
      </c>
      <c r="Q5">
        <v>15</v>
      </c>
      <c r="R5">
        <v>11</v>
      </c>
      <c r="S5">
        <v>15</v>
      </c>
      <c r="T5">
        <v>13</v>
      </c>
      <c r="U5">
        <v>10</v>
      </c>
      <c r="V5">
        <v>10</v>
      </c>
      <c r="W5">
        <v>11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251</v>
      </c>
      <c r="B6" t="s">
        <v>130</v>
      </c>
      <c r="C6" t="s">
        <v>0</v>
      </c>
      <c r="D6" t="s">
        <v>131</v>
      </c>
      <c r="E6" t="s">
        <v>123</v>
      </c>
      <c r="F6">
        <v>3</v>
      </c>
      <c r="G6">
        <v>3</v>
      </c>
      <c r="H6">
        <v>4</v>
      </c>
      <c r="I6">
        <v>4</v>
      </c>
      <c r="J6">
        <v>3</v>
      </c>
      <c r="K6">
        <v>4</v>
      </c>
      <c r="L6">
        <v>4</v>
      </c>
      <c r="M6">
        <v>3</v>
      </c>
      <c r="N6">
        <v>2</v>
      </c>
      <c r="O6">
        <v>2</v>
      </c>
      <c r="P6">
        <v>3</v>
      </c>
      <c r="Q6">
        <v>3</v>
      </c>
      <c r="R6">
        <v>3</v>
      </c>
      <c r="S6">
        <v>3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251</v>
      </c>
      <c r="B7" t="s">
        <v>132</v>
      </c>
      <c r="C7" t="s">
        <v>0</v>
      </c>
      <c r="D7" t="s">
        <v>133</v>
      </c>
      <c r="E7" t="s">
        <v>123</v>
      </c>
      <c r="F7">
        <v>17</v>
      </c>
      <c r="G7">
        <v>18</v>
      </c>
      <c r="H7">
        <v>22</v>
      </c>
      <c r="I7">
        <v>26</v>
      </c>
      <c r="J7">
        <v>26</v>
      </c>
      <c r="K7">
        <v>25</v>
      </c>
      <c r="L7">
        <v>24</v>
      </c>
      <c r="M7">
        <v>23</v>
      </c>
      <c r="N7">
        <v>26</v>
      </c>
      <c r="O7">
        <v>26</v>
      </c>
      <c r="P7">
        <v>26</v>
      </c>
      <c r="Q7">
        <v>41</v>
      </c>
      <c r="R7">
        <v>34</v>
      </c>
      <c r="S7">
        <v>37</v>
      </c>
      <c r="T7">
        <v>16</v>
      </c>
      <c r="U7">
        <v>15</v>
      </c>
      <c r="V7">
        <v>19</v>
      </c>
      <c r="W7">
        <v>16</v>
      </c>
      <c r="X7">
        <v>13</v>
      </c>
      <c r="Y7">
        <v>12</v>
      </c>
      <c r="Z7">
        <v>17</v>
      </c>
      <c r="AA7">
        <v>22</v>
      </c>
      <c r="AB7">
        <v>39</v>
      </c>
      <c r="AC7">
        <v>16</v>
      </c>
      <c r="AD7">
        <v>17</v>
      </c>
      <c r="AE7">
        <v>14</v>
      </c>
    </row>
    <row r="8" spans="1:31" x14ac:dyDescent="0.3">
      <c r="A8" t="s">
        <v>251</v>
      </c>
      <c r="B8" t="s">
        <v>134</v>
      </c>
      <c r="C8" t="s">
        <v>0</v>
      </c>
      <c r="D8" t="s">
        <v>135</v>
      </c>
      <c r="E8" t="s">
        <v>123</v>
      </c>
      <c r="F8">
        <v>1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2</v>
      </c>
      <c r="R8">
        <v>2</v>
      </c>
      <c r="S8">
        <v>2</v>
      </c>
      <c r="T8">
        <v>2</v>
      </c>
      <c r="U8">
        <v>5</v>
      </c>
      <c r="V8">
        <v>1</v>
      </c>
      <c r="W8">
        <v>2</v>
      </c>
      <c r="X8">
        <v>2</v>
      </c>
      <c r="Y8">
        <v>2</v>
      </c>
      <c r="Z8">
        <v>8</v>
      </c>
      <c r="AA8">
        <v>-2</v>
      </c>
      <c r="AB8">
        <v>-15</v>
      </c>
      <c r="AC8">
        <v>2</v>
      </c>
      <c r="AD8">
        <v>1</v>
      </c>
      <c r="AE8">
        <v>1</v>
      </c>
    </row>
    <row r="9" spans="1:31" x14ac:dyDescent="0.3">
      <c r="A9" t="s">
        <v>251</v>
      </c>
      <c r="B9" t="s">
        <v>136</v>
      </c>
      <c r="C9" t="s">
        <v>0</v>
      </c>
      <c r="D9" t="s">
        <v>137</v>
      </c>
      <c r="E9" t="s">
        <v>123</v>
      </c>
      <c r="F9">
        <v>5</v>
      </c>
      <c r="G9">
        <v>5</v>
      </c>
      <c r="H9">
        <v>6</v>
      </c>
      <c r="I9">
        <v>6</v>
      </c>
      <c r="J9">
        <v>5</v>
      </c>
      <c r="K9">
        <v>5</v>
      </c>
      <c r="L9">
        <v>6</v>
      </c>
      <c r="M9">
        <v>5</v>
      </c>
      <c r="N9">
        <v>4</v>
      </c>
      <c r="O9">
        <v>6</v>
      </c>
      <c r="P9">
        <v>5</v>
      </c>
      <c r="Q9">
        <v>5</v>
      </c>
      <c r="R9">
        <v>7</v>
      </c>
      <c r="S9">
        <v>6</v>
      </c>
      <c r="T9">
        <v>3</v>
      </c>
      <c r="U9">
        <v>2</v>
      </c>
      <c r="V9">
        <v>3</v>
      </c>
      <c r="W9">
        <v>4</v>
      </c>
      <c r="X9">
        <v>6</v>
      </c>
      <c r="Y9">
        <v>4</v>
      </c>
      <c r="Z9">
        <v>9</v>
      </c>
      <c r="AA9">
        <v>13</v>
      </c>
      <c r="AB9">
        <v>16</v>
      </c>
      <c r="AC9">
        <v>13</v>
      </c>
      <c r="AD9">
        <v>10</v>
      </c>
      <c r="AE9">
        <v>10</v>
      </c>
    </row>
    <row r="10" spans="1:31" x14ac:dyDescent="0.3">
      <c r="A10" t="s">
        <v>251</v>
      </c>
      <c r="B10" t="s">
        <v>138</v>
      </c>
      <c r="C10" t="s">
        <v>0</v>
      </c>
      <c r="D10" t="s">
        <v>139</v>
      </c>
      <c r="E10" t="s">
        <v>123</v>
      </c>
      <c r="F10">
        <v>5</v>
      </c>
      <c r="G10">
        <v>6</v>
      </c>
      <c r="H10">
        <v>6</v>
      </c>
      <c r="I10">
        <v>7</v>
      </c>
      <c r="J10">
        <v>6</v>
      </c>
      <c r="K10">
        <v>6</v>
      </c>
      <c r="L10">
        <v>6</v>
      </c>
      <c r="M10">
        <v>6</v>
      </c>
      <c r="N10">
        <v>5</v>
      </c>
      <c r="O10">
        <v>6</v>
      </c>
      <c r="P10">
        <v>6</v>
      </c>
      <c r="Q10">
        <v>6</v>
      </c>
      <c r="R10">
        <v>7</v>
      </c>
      <c r="S10">
        <v>8</v>
      </c>
      <c r="T10">
        <v>3</v>
      </c>
      <c r="U10">
        <v>2</v>
      </c>
      <c r="V10">
        <v>3</v>
      </c>
      <c r="W10">
        <v>4</v>
      </c>
      <c r="X10">
        <v>6</v>
      </c>
      <c r="Y10">
        <v>4</v>
      </c>
      <c r="Z10">
        <v>9</v>
      </c>
      <c r="AA10">
        <v>13</v>
      </c>
      <c r="AB10">
        <v>16</v>
      </c>
      <c r="AC10">
        <v>13</v>
      </c>
      <c r="AD10">
        <v>10</v>
      </c>
      <c r="AE10">
        <v>10</v>
      </c>
    </row>
    <row r="11" spans="1:31" x14ac:dyDescent="0.3">
      <c r="A11" t="s">
        <v>251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251</v>
      </c>
      <c r="B12" t="s">
        <v>142</v>
      </c>
      <c r="C12" t="s">
        <v>0</v>
      </c>
      <c r="D12" t="s">
        <v>143</v>
      </c>
      <c r="E12" t="s">
        <v>123</v>
      </c>
      <c r="F12">
        <v>5</v>
      </c>
      <c r="G12">
        <v>6</v>
      </c>
      <c r="H12">
        <v>8</v>
      </c>
      <c r="I12">
        <v>10</v>
      </c>
      <c r="J12">
        <v>10</v>
      </c>
      <c r="K12">
        <v>10</v>
      </c>
      <c r="L12">
        <v>10</v>
      </c>
      <c r="M12">
        <v>8</v>
      </c>
      <c r="N12">
        <v>9</v>
      </c>
      <c r="O12">
        <v>9</v>
      </c>
      <c r="P12">
        <v>10</v>
      </c>
      <c r="Q12">
        <v>14</v>
      </c>
      <c r="R12">
        <v>11</v>
      </c>
      <c r="S12">
        <v>15</v>
      </c>
      <c r="T12">
        <v>9</v>
      </c>
      <c r="U12">
        <v>6</v>
      </c>
      <c r="V12">
        <v>7</v>
      </c>
      <c r="W12">
        <v>7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251</v>
      </c>
      <c r="B13" t="s">
        <v>144</v>
      </c>
      <c r="C13" t="s">
        <v>0</v>
      </c>
      <c r="D13" t="s">
        <v>145</v>
      </c>
      <c r="E13" t="s">
        <v>123</v>
      </c>
      <c r="F13">
        <v>4</v>
      </c>
      <c r="G13">
        <v>5</v>
      </c>
      <c r="H13">
        <v>6</v>
      </c>
      <c r="I13">
        <v>10</v>
      </c>
      <c r="J13">
        <v>10</v>
      </c>
      <c r="K13">
        <v>13</v>
      </c>
      <c r="L13">
        <v>10</v>
      </c>
      <c r="M13">
        <v>10</v>
      </c>
      <c r="N13">
        <v>10</v>
      </c>
      <c r="O13">
        <v>13</v>
      </c>
      <c r="P13">
        <v>13</v>
      </c>
      <c r="Q13">
        <v>25</v>
      </c>
      <c r="R13">
        <v>34</v>
      </c>
      <c r="S13">
        <v>41</v>
      </c>
      <c r="T13">
        <v>36</v>
      </c>
      <c r="U13">
        <v>22</v>
      </c>
      <c r="V13">
        <v>20</v>
      </c>
      <c r="W13">
        <v>34</v>
      </c>
      <c r="X13">
        <v>13</v>
      </c>
      <c r="Y13">
        <v>16</v>
      </c>
      <c r="Z13">
        <v>19</v>
      </c>
      <c r="AA13">
        <v>17</v>
      </c>
      <c r="AB13">
        <v>18</v>
      </c>
      <c r="AC13">
        <v>23</v>
      </c>
      <c r="AD13">
        <v>26</v>
      </c>
      <c r="AE13">
        <v>19</v>
      </c>
    </row>
    <row r="14" spans="1:31" x14ac:dyDescent="0.3">
      <c r="A14" t="s">
        <v>251</v>
      </c>
      <c r="B14" t="s">
        <v>146</v>
      </c>
      <c r="C14" t="s">
        <v>0</v>
      </c>
      <c r="D14" t="s">
        <v>147</v>
      </c>
      <c r="E14" t="s">
        <v>123</v>
      </c>
      <c r="F14">
        <v>3</v>
      </c>
      <c r="G14">
        <v>5</v>
      </c>
      <c r="H14">
        <v>7</v>
      </c>
      <c r="I14">
        <v>10</v>
      </c>
      <c r="J14">
        <v>10</v>
      </c>
      <c r="K14">
        <v>11</v>
      </c>
      <c r="L14">
        <v>13</v>
      </c>
      <c r="M14">
        <v>12</v>
      </c>
      <c r="N14">
        <v>15</v>
      </c>
      <c r="O14">
        <v>17</v>
      </c>
      <c r="P14">
        <v>18</v>
      </c>
      <c r="Q14">
        <v>26</v>
      </c>
      <c r="R14">
        <v>19</v>
      </c>
      <c r="S14">
        <v>47</v>
      </c>
      <c r="T14">
        <v>11</v>
      </c>
      <c r="U14">
        <v>14</v>
      </c>
      <c r="V14">
        <v>14</v>
      </c>
      <c r="W14">
        <v>11</v>
      </c>
      <c r="X14">
        <v>7</v>
      </c>
      <c r="Y14">
        <v>13</v>
      </c>
      <c r="Z14">
        <v>16</v>
      </c>
      <c r="AA14">
        <v>14</v>
      </c>
      <c r="AB14">
        <v>17</v>
      </c>
      <c r="AC14">
        <v>14</v>
      </c>
      <c r="AD14">
        <v>14</v>
      </c>
      <c r="AE14">
        <v>19</v>
      </c>
    </row>
    <row r="15" spans="1:31" x14ac:dyDescent="0.3">
      <c r="A15" t="s">
        <v>251</v>
      </c>
      <c r="B15" t="s">
        <v>148</v>
      </c>
      <c r="C15" t="s">
        <v>0</v>
      </c>
      <c r="D15" t="s">
        <v>149</v>
      </c>
      <c r="E15" t="s">
        <v>123</v>
      </c>
      <c r="F15">
        <v>5</v>
      </c>
      <c r="G15">
        <v>8</v>
      </c>
      <c r="H15">
        <v>10</v>
      </c>
      <c r="I15">
        <v>14</v>
      </c>
      <c r="J15">
        <v>13</v>
      </c>
      <c r="K15">
        <v>15</v>
      </c>
      <c r="L15">
        <v>17</v>
      </c>
      <c r="M15">
        <v>14</v>
      </c>
      <c r="N15">
        <v>20</v>
      </c>
      <c r="O15">
        <v>22</v>
      </c>
      <c r="P15">
        <v>22</v>
      </c>
      <c r="Q15">
        <v>31</v>
      </c>
      <c r="R15">
        <v>24</v>
      </c>
      <c r="S15">
        <v>55</v>
      </c>
      <c r="T15">
        <v>16</v>
      </c>
      <c r="U15">
        <v>17</v>
      </c>
      <c r="V15">
        <v>18</v>
      </c>
      <c r="W15">
        <v>14</v>
      </c>
      <c r="X15">
        <v>11</v>
      </c>
      <c r="Y15">
        <v>14</v>
      </c>
      <c r="Z15">
        <v>18</v>
      </c>
      <c r="AA15">
        <v>16</v>
      </c>
      <c r="AB15">
        <v>19</v>
      </c>
      <c r="AC15">
        <v>16</v>
      </c>
      <c r="AD15">
        <v>16</v>
      </c>
      <c r="AE15">
        <v>21</v>
      </c>
    </row>
    <row r="16" spans="1:31" x14ac:dyDescent="0.3">
      <c r="A16" t="s">
        <v>251</v>
      </c>
      <c r="B16" t="s">
        <v>150</v>
      </c>
      <c r="C16" t="s">
        <v>0</v>
      </c>
      <c r="D16" t="s">
        <v>151</v>
      </c>
      <c r="E16" t="s">
        <v>123</v>
      </c>
      <c r="F16">
        <v>2</v>
      </c>
      <c r="G16">
        <v>3</v>
      </c>
      <c r="H16">
        <v>3</v>
      </c>
      <c r="I16">
        <v>4</v>
      </c>
      <c r="J16">
        <v>3</v>
      </c>
      <c r="K16">
        <v>4</v>
      </c>
      <c r="L16">
        <v>4</v>
      </c>
      <c r="M16">
        <v>2</v>
      </c>
      <c r="N16">
        <v>5</v>
      </c>
      <c r="O16">
        <v>5</v>
      </c>
      <c r="P16">
        <v>4</v>
      </c>
      <c r="Q16">
        <v>5</v>
      </c>
      <c r="R16">
        <v>5</v>
      </c>
      <c r="S16">
        <v>8</v>
      </c>
      <c r="T16">
        <v>5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251</v>
      </c>
      <c r="B17" t="s">
        <v>152</v>
      </c>
      <c r="C17" t="s">
        <v>0</v>
      </c>
      <c r="D17" t="s">
        <v>153</v>
      </c>
      <c r="E17" t="s">
        <v>123</v>
      </c>
      <c r="F17">
        <v>7</v>
      </c>
      <c r="G17">
        <v>8</v>
      </c>
      <c r="H17">
        <v>8</v>
      </c>
      <c r="I17">
        <v>10</v>
      </c>
      <c r="J17">
        <v>10</v>
      </c>
      <c r="K17">
        <v>10</v>
      </c>
      <c r="L17">
        <v>10</v>
      </c>
      <c r="M17">
        <v>8</v>
      </c>
      <c r="N17">
        <v>10</v>
      </c>
      <c r="O17">
        <v>10</v>
      </c>
      <c r="P17">
        <v>13</v>
      </c>
      <c r="Q17">
        <v>24</v>
      </c>
      <c r="R17">
        <v>20</v>
      </c>
      <c r="S17">
        <v>29</v>
      </c>
      <c r="T17">
        <v>28</v>
      </c>
      <c r="U17">
        <v>10</v>
      </c>
      <c r="V17">
        <v>14</v>
      </c>
      <c r="W17">
        <v>15</v>
      </c>
      <c r="X17">
        <v>10</v>
      </c>
      <c r="Y17">
        <v>13</v>
      </c>
      <c r="Z17">
        <v>14</v>
      </c>
      <c r="AA17">
        <v>11</v>
      </c>
      <c r="AB17">
        <v>10</v>
      </c>
      <c r="AC17">
        <v>14</v>
      </c>
      <c r="AD17">
        <v>16</v>
      </c>
      <c r="AE17">
        <v>10</v>
      </c>
    </row>
    <row r="18" spans="1:31" x14ac:dyDescent="0.3">
      <c r="A18" t="s">
        <v>251</v>
      </c>
      <c r="B18" t="s">
        <v>154</v>
      </c>
      <c r="C18" t="s">
        <v>0</v>
      </c>
      <c r="D18" t="s">
        <v>155</v>
      </c>
      <c r="E18" t="s">
        <v>123</v>
      </c>
      <c r="F18">
        <v>2</v>
      </c>
      <c r="G18">
        <v>2</v>
      </c>
      <c r="H18">
        <v>2</v>
      </c>
      <c r="I18">
        <v>3</v>
      </c>
      <c r="J18">
        <v>3</v>
      </c>
      <c r="K18">
        <v>4</v>
      </c>
      <c r="L18">
        <v>3</v>
      </c>
      <c r="M18">
        <v>3</v>
      </c>
      <c r="N18">
        <v>3</v>
      </c>
      <c r="O18">
        <v>4</v>
      </c>
      <c r="P18">
        <v>4</v>
      </c>
      <c r="Q18">
        <v>8</v>
      </c>
      <c r="R18">
        <v>6</v>
      </c>
      <c r="S18">
        <v>6</v>
      </c>
      <c r="T18">
        <v>7</v>
      </c>
      <c r="U18">
        <v>3</v>
      </c>
      <c r="V18">
        <v>2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251</v>
      </c>
      <c r="B19" t="s">
        <v>156</v>
      </c>
      <c r="C19" t="s">
        <v>0</v>
      </c>
      <c r="D19" t="s">
        <v>157</v>
      </c>
      <c r="E19" t="s">
        <v>123</v>
      </c>
      <c r="F19">
        <v>2</v>
      </c>
      <c r="G19">
        <v>5</v>
      </c>
      <c r="H19">
        <v>5</v>
      </c>
      <c r="I19">
        <v>5</v>
      </c>
      <c r="J19">
        <v>5</v>
      </c>
      <c r="K19">
        <v>6</v>
      </c>
      <c r="L19">
        <v>7</v>
      </c>
      <c r="M19">
        <v>7</v>
      </c>
      <c r="N19">
        <v>6</v>
      </c>
      <c r="O19">
        <v>7</v>
      </c>
      <c r="P19">
        <v>6</v>
      </c>
      <c r="Q19">
        <v>10</v>
      </c>
      <c r="R19">
        <v>10</v>
      </c>
      <c r="S19">
        <v>12</v>
      </c>
      <c r="T19">
        <v>6</v>
      </c>
      <c r="U19">
        <v>6</v>
      </c>
      <c r="V19">
        <v>7</v>
      </c>
      <c r="W19">
        <v>4</v>
      </c>
      <c r="X19">
        <v>3</v>
      </c>
      <c r="Y19">
        <v>10</v>
      </c>
      <c r="Z19">
        <v>16</v>
      </c>
      <c r="AA19">
        <v>13</v>
      </c>
      <c r="AB19">
        <v>14</v>
      </c>
      <c r="AC19">
        <v>13</v>
      </c>
      <c r="AD19">
        <v>14</v>
      </c>
      <c r="AE19">
        <v>11</v>
      </c>
    </row>
    <row r="20" spans="1:31" x14ac:dyDescent="0.3">
      <c r="A20" t="s">
        <v>251</v>
      </c>
      <c r="B20" t="s">
        <v>158</v>
      </c>
      <c r="C20" t="s">
        <v>0</v>
      </c>
      <c r="D20" t="s">
        <v>159</v>
      </c>
      <c r="E20" t="s">
        <v>123</v>
      </c>
      <c r="F20">
        <v>8</v>
      </c>
      <c r="G20">
        <v>9</v>
      </c>
      <c r="H20">
        <v>11</v>
      </c>
      <c r="I20">
        <v>12</v>
      </c>
      <c r="J20">
        <v>12</v>
      </c>
      <c r="K20">
        <v>11</v>
      </c>
      <c r="L20">
        <v>11</v>
      </c>
      <c r="M20">
        <v>10</v>
      </c>
      <c r="N20">
        <v>12</v>
      </c>
      <c r="O20">
        <v>12</v>
      </c>
      <c r="P20">
        <v>12</v>
      </c>
      <c r="Q20">
        <v>13</v>
      </c>
      <c r="R20">
        <v>11</v>
      </c>
      <c r="S20">
        <v>18</v>
      </c>
      <c r="T20">
        <v>13</v>
      </c>
      <c r="U20">
        <v>44</v>
      </c>
      <c r="V20">
        <v>8</v>
      </c>
      <c r="W20">
        <v>39</v>
      </c>
      <c r="X20">
        <v>47</v>
      </c>
      <c r="Y20">
        <v>56</v>
      </c>
      <c r="Z20">
        <v>62</v>
      </c>
      <c r="AA20">
        <v>76</v>
      </c>
      <c r="AB20">
        <v>62</v>
      </c>
      <c r="AC20">
        <v>56</v>
      </c>
      <c r="AD20">
        <v>44</v>
      </c>
      <c r="AE20">
        <v>65</v>
      </c>
    </row>
    <row r="21" spans="1:31" x14ac:dyDescent="0.3">
      <c r="A21" t="s">
        <v>251</v>
      </c>
      <c r="B21" t="s">
        <v>160</v>
      </c>
      <c r="C21" t="s">
        <v>0</v>
      </c>
      <c r="D21" t="s">
        <v>161</v>
      </c>
      <c r="E21" t="s">
        <v>123</v>
      </c>
      <c r="F21">
        <v>32</v>
      </c>
      <c r="G21">
        <v>34</v>
      </c>
      <c r="H21">
        <v>37</v>
      </c>
      <c r="I21">
        <v>53</v>
      </c>
      <c r="J21">
        <v>53</v>
      </c>
      <c r="K21">
        <v>46</v>
      </c>
      <c r="L21">
        <v>48</v>
      </c>
      <c r="M21">
        <v>26</v>
      </c>
      <c r="N21">
        <v>28</v>
      </c>
      <c r="O21">
        <v>28</v>
      </c>
      <c r="P21">
        <v>33</v>
      </c>
      <c r="Q21">
        <v>29</v>
      </c>
      <c r="R21">
        <v>31</v>
      </c>
      <c r="S21">
        <v>38</v>
      </c>
      <c r="T21">
        <v>30</v>
      </c>
      <c r="U21">
        <v>69</v>
      </c>
      <c r="V21">
        <v>24</v>
      </c>
      <c r="W21">
        <v>81</v>
      </c>
      <c r="X21">
        <v>69</v>
      </c>
      <c r="Y21">
        <v>78</v>
      </c>
      <c r="Z21">
        <v>87</v>
      </c>
      <c r="AA21">
        <v>109</v>
      </c>
      <c r="AB21">
        <v>92</v>
      </c>
      <c r="AC21">
        <v>78</v>
      </c>
      <c r="AD21">
        <v>59</v>
      </c>
      <c r="AE21">
        <v>78</v>
      </c>
    </row>
    <row r="22" spans="1:31" x14ac:dyDescent="0.3">
      <c r="A22" t="s">
        <v>251</v>
      </c>
      <c r="B22" t="s">
        <v>162</v>
      </c>
      <c r="C22" t="s">
        <v>0</v>
      </c>
      <c r="D22" t="s">
        <v>163</v>
      </c>
      <c r="E22" t="s">
        <v>123</v>
      </c>
      <c r="F22">
        <v>24</v>
      </c>
      <c r="G22">
        <v>25</v>
      </c>
      <c r="H22">
        <v>26</v>
      </c>
      <c r="I22">
        <v>41</v>
      </c>
      <c r="J22">
        <v>41</v>
      </c>
      <c r="K22">
        <v>35</v>
      </c>
      <c r="L22">
        <v>37</v>
      </c>
      <c r="M22">
        <v>16</v>
      </c>
      <c r="N22">
        <v>16</v>
      </c>
      <c r="O22">
        <v>16</v>
      </c>
      <c r="P22">
        <v>21</v>
      </c>
      <c r="Q22">
        <v>16</v>
      </c>
      <c r="R22">
        <v>20</v>
      </c>
      <c r="S22">
        <v>20</v>
      </c>
      <c r="T22">
        <v>17</v>
      </c>
      <c r="U22">
        <v>25</v>
      </c>
      <c r="V22">
        <v>16</v>
      </c>
      <c r="W22">
        <v>42</v>
      </c>
      <c r="X22">
        <v>22</v>
      </c>
      <c r="Y22">
        <v>22</v>
      </c>
      <c r="Z22">
        <v>25</v>
      </c>
      <c r="AA22">
        <v>33</v>
      </c>
      <c r="AB22">
        <v>30</v>
      </c>
      <c r="AC22">
        <v>22</v>
      </c>
      <c r="AD22">
        <v>15</v>
      </c>
      <c r="AE22">
        <v>13</v>
      </c>
    </row>
    <row r="23" spans="1:31" x14ac:dyDescent="0.3">
      <c r="A23" t="s">
        <v>251</v>
      </c>
      <c r="B23" t="s">
        <v>164</v>
      </c>
      <c r="C23" t="s">
        <v>0</v>
      </c>
      <c r="D23" t="s">
        <v>165</v>
      </c>
      <c r="E23" t="s">
        <v>123</v>
      </c>
      <c r="F23">
        <v>67</v>
      </c>
      <c r="G23">
        <v>68</v>
      </c>
      <c r="H23">
        <v>79</v>
      </c>
      <c r="I23">
        <v>97</v>
      </c>
      <c r="J23">
        <v>107</v>
      </c>
      <c r="K23">
        <v>109</v>
      </c>
      <c r="L23">
        <v>106</v>
      </c>
      <c r="M23">
        <v>111</v>
      </c>
      <c r="N23">
        <v>122</v>
      </c>
      <c r="O23">
        <v>133</v>
      </c>
      <c r="P23">
        <v>141</v>
      </c>
      <c r="Q23">
        <v>147</v>
      </c>
      <c r="R23">
        <v>164</v>
      </c>
      <c r="S23">
        <v>166</v>
      </c>
      <c r="T23">
        <v>132</v>
      </c>
      <c r="U23">
        <v>193</v>
      </c>
      <c r="V23">
        <v>146</v>
      </c>
      <c r="W23">
        <v>138</v>
      </c>
      <c r="X23">
        <v>115</v>
      </c>
      <c r="Y23">
        <v>115</v>
      </c>
      <c r="Z23">
        <v>133</v>
      </c>
      <c r="AA23">
        <v>145</v>
      </c>
      <c r="AB23">
        <v>134</v>
      </c>
      <c r="AC23">
        <v>123</v>
      </c>
      <c r="AD23">
        <v>98</v>
      </c>
      <c r="AE23">
        <v>79</v>
      </c>
    </row>
    <row r="24" spans="1:31" x14ac:dyDescent="0.3">
      <c r="A24" t="s">
        <v>251</v>
      </c>
      <c r="B24" t="s">
        <v>166</v>
      </c>
      <c r="C24" t="s">
        <v>0</v>
      </c>
      <c r="D24" t="s">
        <v>167</v>
      </c>
      <c r="E24" t="s">
        <v>123</v>
      </c>
      <c r="F24">
        <v>134</v>
      </c>
      <c r="G24">
        <v>157</v>
      </c>
      <c r="H24">
        <v>157</v>
      </c>
      <c r="I24">
        <v>202</v>
      </c>
      <c r="J24">
        <v>206</v>
      </c>
      <c r="K24">
        <v>230</v>
      </c>
      <c r="L24">
        <v>274</v>
      </c>
      <c r="M24">
        <v>246</v>
      </c>
      <c r="N24">
        <v>265</v>
      </c>
      <c r="O24">
        <v>259</v>
      </c>
      <c r="P24">
        <v>270</v>
      </c>
      <c r="Q24">
        <v>231</v>
      </c>
      <c r="R24">
        <v>272</v>
      </c>
      <c r="S24">
        <v>299</v>
      </c>
      <c r="T24">
        <v>224</v>
      </c>
      <c r="U24">
        <v>300</v>
      </c>
      <c r="V24">
        <v>242</v>
      </c>
      <c r="W24">
        <v>266</v>
      </c>
      <c r="X24">
        <v>182</v>
      </c>
      <c r="Y24">
        <v>169</v>
      </c>
      <c r="Z24">
        <v>176</v>
      </c>
      <c r="AA24">
        <v>145</v>
      </c>
      <c r="AB24">
        <v>106</v>
      </c>
      <c r="AC24">
        <v>94</v>
      </c>
      <c r="AD24">
        <v>69</v>
      </c>
      <c r="AE24">
        <v>49</v>
      </c>
    </row>
    <row r="25" spans="1:31" x14ac:dyDescent="0.3">
      <c r="A25" t="s">
        <v>251</v>
      </c>
      <c r="B25" t="s">
        <v>168</v>
      </c>
      <c r="C25" t="s">
        <v>0</v>
      </c>
      <c r="D25" t="s">
        <v>169</v>
      </c>
      <c r="E25" t="s">
        <v>123</v>
      </c>
      <c r="F25">
        <v>18</v>
      </c>
      <c r="G25">
        <v>20</v>
      </c>
      <c r="H25">
        <v>20</v>
      </c>
      <c r="I25">
        <v>23</v>
      </c>
      <c r="J25">
        <v>21</v>
      </c>
      <c r="K25">
        <v>38</v>
      </c>
      <c r="L25">
        <v>37</v>
      </c>
      <c r="M25">
        <v>32</v>
      </c>
      <c r="N25">
        <v>33</v>
      </c>
      <c r="O25">
        <v>35</v>
      </c>
      <c r="P25">
        <v>28</v>
      </c>
      <c r="Q25">
        <v>38</v>
      </c>
      <c r="R25">
        <v>30</v>
      </c>
      <c r="S25">
        <v>46</v>
      </c>
      <c r="T25">
        <v>31</v>
      </c>
      <c r="U25">
        <v>50</v>
      </c>
      <c r="V25">
        <v>46</v>
      </c>
      <c r="W25">
        <v>37</v>
      </c>
      <c r="X25">
        <v>17</v>
      </c>
      <c r="Y25">
        <v>20</v>
      </c>
      <c r="Z25">
        <v>24</v>
      </c>
      <c r="AA25">
        <v>26</v>
      </c>
      <c r="AB25">
        <v>15</v>
      </c>
      <c r="AC25">
        <v>15</v>
      </c>
      <c r="AD25">
        <v>13</v>
      </c>
      <c r="AE25">
        <v>10</v>
      </c>
    </row>
    <row r="26" spans="1:31" x14ac:dyDescent="0.3">
      <c r="A26" t="s">
        <v>251</v>
      </c>
      <c r="B26" t="s">
        <v>170</v>
      </c>
      <c r="C26" t="s">
        <v>0</v>
      </c>
      <c r="D26" t="s">
        <v>171</v>
      </c>
      <c r="E26" t="s">
        <v>123</v>
      </c>
      <c r="F26">
        <v>82</v>
      </c>
      <c r="G26">
        <v>104</v>
      </c>
      <c r="H26">
        <v>105</v>
      </c>
      <c r="I26">
        <v>136</v>
      </c>
      <c r="J26">
        <v>134</v>
      </c>
      <c r="K26">
        <v>134</v>
      </c>
      <c r="L26">
        <v>162</v>
      </c>
      <c r="M26">
        <v>148</v>
      </c>
      <c r="N26">
        <v>142</v>
      </c>
      <c r="O26">
        <v>142</v>
      </c>
      <c r="P26">
        <v>153</v>
      </c>
      <c r="Q26">
        <v>113</v>
      </c>
      <c r="R26">
        <v>152</v>
      </c>
      <c r="S26">
        <v>158</v>
      </c>
      <c r="T26">
        <v>107</v>
      </c>
      <c r="U26">
        <v>131</v>
      </c>
      <c r="V26">
        <v>112</v>
      </c>
      <c r="W26">
        <v>130</v>
      </c>
      <c r="X26">
        <v>92</v>
      </c>
      <c r="Y26">
        <v>80</v>
      </c>
      <c r="Z26">
        <v>73</v>
      </c>
      <c r="AA26">
        <v>60</v>
      </c>
      <c r="AB26">
        <v>49</v>
      </c>
      <c r="AC26">
        <v>38</v>
      </c>
      <c r="AD26">
        <v>24</v>
      </c>
      <c r="AE26">
        <v>15</v>
      </c>
    </row>
    <row r="27" spans="1:31" x14ac:dyDescent="0.3">
      <c r="A27" t="s">
        <v>251</v>
      </c>
      <c r="B27" t="s">
        <v>172</v>
      </c>
      <c r="C27" t="s">
        <v>0</v>
      </c>
      <c r="D27" t="s">
        <v>173</v>
      </c>
      <c r="E27" t="s">
        <v>123</v>
      </c>
      <c r="F27">
        <v>34</v>
      </c>
      <c r="G27">
        <v>33</v>
      </c>
      <c r="H27">
        <v>32</v>
      </c>
      <c r="I27">
        <v>43</v>
      </c>
      <c r="J27">
        <v>51</v>
      </c>
      <c r="K27">
        <v>58</v>
      </c>
      <c r="L27">
        <v>75</v>
      </c>
      <c r="M27">
        <v>66</v>
      </c>
      <c r="N27">
        <v>90</v>
      </c>
      <c r="O27">
        <v>82</v>
      </c>
      <c r="P27">
        <v>89</v>
      </c>
      <c r="Q27">
        <v>80</v>
      </c>
      <c r="R27">
        <v>90</v>
      </c>
      <c r="S27">
        <v>95</v>
      </c>
      <c r="T27">
        <v>86</v>
      </c>
      <c r="U27">
        <v>119</v>
      </c>
      <c r="V27">
        <v>84</v>
      </c>
      <c r="W27">
        <v>99</v>
      </c>
      <c r="X27">
        <v>73</v>
      </c>
      <c r="Y27">
        <v>69</v>
      </c>
      <c r="Z27">
        <v>79</v>
      </c>
      <c r="AA27">
        <v>59</v>
      </c>
      <c r="AB27">
        <v>42</v>
      </c>
      <c r="AC27">
        <v>41</v>
      </c>
      <c r="AD27">
        <v>32</v>
      </c>
      <c r="AE27">
        <v>24</v>
      </c>
    </row>
    <row r="28" spans="1:31" x14ac:dyDescent="0.3">
      <c r="A28" t="s">
        <v>251</v>
      </c>
      <c r="B28" t="s">
        <v>174</v>
      </c>
      <c r="C28" t="s">
        <v>0</v>
      </c>
      <c r="D28" t="s">
        <v>175</v>
      </c>
      <c r="E28" t="s">
        <v>123</v>
      </c>
      <c r="F28">
        <v>503</v>
      </c>
      <c r="G28">
        <v>438</v>
      </c>
      <c r="H28">
        <v>707</v>
      </c>
      <c r="I28">
        <v>807</v>
      </c>
      <c r="J28">
        <v>828</v>
      </c>
      <c r="K28">
        <v>589</v>
      </c>
      <c r="L28">
        <v>825</v>
      </c>
      <c r="M28">
        <v>577</v>
      </c>
      <c r="N28">
        <v>462</v>
      </c>
      <c r="O28">
        <v>966</v>
      </c>
      <c r="P28">
        <v>895</v>
      </c>
      <c r="Q28">
        <v>988</v>
      </c>
      <c r="R28">
        <v>1049</v>
      </c>
      <c r="S28">
        <v>721</v>
      </c>
      <c r="T28">
        <v>966</v>
      </c>
      <c r="U28">
        <v>667</v>
      </c>
      <c r="V28">
        <v>810</v>
      </c>
      <c r="W28">
        <v>817</v>
      </c>
      <c r="X28">
        <v>927</v>
      </c>
      <c r="Y28">
        <v>599</v>
      </c>
      <c r="Z28">
        <v>795</v>
      </c>
      <c r="AA28">
        <v>1222</v>
      </c>
      <c r="AB28">
        <v>1034</v>
      </c>
      <c r="AC28">
        <v>1031</v>
      </c>
      <c r="AD28">
        <v>1176</v>
      </c>
      <c r="AE28">
        <v>814</v>
      </c>
    </row>
    <row r="29" spans="1:31" x14ac:dyDescent="0.3">
      <c r="A29" t="s">
        <v>251</v>
      </c>
      <c r="B29" t="s">
        <v>176</v>
      </c>
      <c r="C29" t="s">
        <v>0</v>
      </c>
      <c r="D29" t="s">
        <v>177</v>
      </c>
      <c r="E29" t="s">
        <v>123</v>
      </c>
      <c r="F29">
        <v>422</v>
      </c>
      <c r="G29">
        <v>354</v>
      </c>
      <c r="H29">
        <v>388</v>
      </c>
      <c r="I29">
        <v>455</v>
      </c>
      <c r="J29">
        <v>481</v>
      </c>
      <c r="K29">
        <v>415</v>
      </c>
      <c r="L29">
        <v>452</v>
      </c>
      <c r="M29">
        <v>439</v>
      </c>
      <c r="N29">
        <v>454</v>
      </c>
      <c r="O29">
        <v>523</v>
      </c>
      <c r="P29">
        <v>563</v>
      </c>
      <c r="Q29">
        <v>438</v>
      </c>
      <c r="R29">
        <v>416</v>
      </c>
      <c r="S29">
        <v>521</v>
      </c>
      <c r="T29">
        <v>408</v>
      </c>
      <c r="U29">
        <v>415</v>
      </c>
      <c r="V29">
        <v>476</v>
      </c>
      <c r="W29">
        <v>379</v>
      </c>
      <c r="X29">
        <v>388</v>
      </c>
      <c r="Y29">
        <v>442</v>
      </c>
      <c r="Z29">
        <v>530</v>
      </c>
      <c r="AA29">
        <v>672</v>
      </c>
      <c r="AB29">
        <v>649</v>
      </c>
      <c r="AC29">
        <v>617</v>
      </c>
      <c r="AD29">
        <v>610</v>
      </c>
      <c r="AE29">
        <v>535</v>
      </c>
    </row>
    <row r="30" spans="1:31" x14ac:dyDescent="0.3">
      <c r="A30" t="s">
        <v>251</v>
      </c>
      <c r="B30" t="s">
        <v>178</v>
      </c>
      <c r="C30" t="s">
        <v>0</v>
      </c>
      <c r="D30" t="s">
        <v>179</v>
      </c>
      <c r="E30" t="s">
        <v>123</v>
      </c>
      <c r="F30">
        <v>-7</v>
      </c>
      <c r="G30">
        <v>-7</v>
      </c>
      <c r="H30">
        <v>225</v>
      </c>
      <c r="I30">
        <v>190</v>
      </c>
      <c r="J30">
        <v>104</v>
      </c>
      <c r="K30">
        <v>21</v>
      </c>
      <c r="L30">
        <v>165</v>
      </c>
      <c r="M30">
        <v>71</v>
      </c>
      <c r="N30">
        <v>-47</v>
      </c>
      <c r="O30">
        <v>318</v>
      </c>
      <c r="P30">
        <v>90</v>
      </c>
      <c r="Q30">
        <v>207</v>
      </c>
      <c r="R30">
        <v>344</v>
      </c>
      <c r="S30">
        <v>-10</v>
      </c>
      <c r="T30">
        <v>88</v>
      </c>
      <c r="U30">
        <v>38</v>
      </c>
      <c r="V30">
        <v>195</v>
      </c>
      <c r="W30">
        <v>306</v>
      </c>
      <c r="X30">
        <v>214</v>
      </c>
      <c r="Y30">
        <v>6</v>
      </c>
      <c r="Z30">
        <v>75</v>
      </c>
      <c r="AA30">
        <v>78</v>
      </c>
      <c r="AB30">
        <v>-65</v>
      </c>
      <c r="AC30">
        <v>143</v>
      </c>
      <c r="AD30">
        <v>118</v>
      </c>
      <c r="AE30">
        <v>81</v>
      </c>
    </row>
    <row r="31" spans="1:31" x14ac:dyDescent="0.3">
      <c r="A31" t="s">
        <v>251</v>
      </c>
      <c r="B31" t="s">
        <v>180</v>
      </c>
      <c r="C31" t="s">
        <v>0</v>
      </c>
      <c r="D31" t="s">
        <v>181</v>
      </c>
      <c r="E31" t="s">
        <v>123</v>
      </c>
      <c r="F31">
        <v>57</v>
      </c>
      <c r="G31">
        <v>75</v>
      </c>
      <c r="H31">
        <v>41</v>
      </c>
      <c r="I31">
        <v>83</v>
      </c>
      <c r="J31">
        <v>224</v>
      </c>
      <c r="K31">
        <v>118</v>
      </c>
      <c r="L31">
        <v>179</v>
      </c>
      <c r="M31">
        <v>41</v>
      </c>
      <c r="N31">
        <v>28</v>
      </c>
      <c r="O31">
        <v>86</v>
      </c>
      <c r="P31">
        <v>221</v>
      </c>
      <c r="Q31">
        <v>275</v>
      </c>
      <c r="R31">
        <v>255</v>
      </c>
      <c r="S31">
        <v>179</v>
      </c>
      <c r="T31">
        <v>410</v>
      </c>
      <c r="U31">
        <v>118</v>
      </c>
      <c r="V31">
        <v>81</v>
      </c>
      <c r="W31">
        <v>102</v>
      </c>
      <c r="X31">
        <v>282</v>
      </c>
      <c r="Y31">
        <v>87</v>
      </c>
      <c r="Z31">
        <v>133</v>
      </c>
      <c r="AA31">
        <v>316</v>
      </c>
      <c r="AB31">
        <v>354</v>
      </c>
      <c r="AC31">
        <v>213</v>
      </c>
      <c r="AD31">
        <v>355</v>
      </c>
      <c r="AE31">
        <v>130</v>
      </c>
    </row>
    <row r="32" spans="1:31" x14ac:dyDescent="0.3">
      <c r="A32" t="s">
        <v>251</v>
      </c>
      <c r="B32" t="s">
        <v>182</v>
      </c>
      <c r="C32" t="s">
        <v>0</v>
      </c>
      <c r="D32" t="s">
        <v>183</v>
      </c>
      <c r="E32" t="s">
        <v>123</v>
      </c>
      <c r="F32">
        <v>25</v>
      </c>
      <c r="G32">
        <v>13</v>
      </c>
      <c r="H32">
        <v>50</v>
      </c>
      <c r="I32">
        <v>75</v>
      </c>
      <c r="J32">
        <v>15</v>
      </c>
      <c r="K32">
        <v>19</v>
      </c>
      <c r="L32">
        <v>21</v>
      </c>
      <c r="M32">
        <v>16</v>
      </c>
      <c r="N32">
        <v>20</v>
      </c>
      <c r="O32">
        <v>23</v>
      </c>
      <c r="P32">
        <v>19</v>
      </c>
      <c r="Q32">
        <v>39</v>
      </c>
      <c r="R32">
        <v>21</v>
      </c>
      <c r="S32">
        <v>21</v>
      </c>
      <c r="T32">
        <v>37</v>
      </c>
      <c r="U32">
        <v>57</v>
      </c>
      <c r="V32">
        <v>37</v>
      </c>
      <c r="W32">
        <v>20</v>
      </c>
      <c r="X32">
        <v>27</v>
      </c>
      <c r="Y32">
        <v>44</v>
      </c>
      <c r="Z32">
        <v>47</v>
      </c>
      <c r="AA32">
        <v>139</v>
      </c>
      <c r="AB32">
        <v>77</v>
      </c>
      <c r="AC32">
        <v>49</v>
      </c>
      <c r="AD32">
        <v>83</v>
      </c>
      <c r="AE32">
        <v>61</v>
      </c>
    </row>
    <row r="33" spans="1:31" x14ac:dyDescent="0.3">
      <c r="A33" t="s">
        <v>251</v>
      </c>
      <c r="B33" t="s">
        <v>184</v>
      </c>
      <c r="C33" t="s">
        <v>0</v>
      </c>
      <c r="D33" t="s">
        <v>185</v>
      </c>
      <c r="E33" t="s">
        <v>123</v>
      </c>
      <c r="F33">
        <v>6</v>
      </c>
      <c r="G33">
        <v>3</v>
      </c>
      <c r="H33">
        <v>3</v>
      </c>
      <c r="I33">
        <v>4</v>
      </c>
      <c r="J33">
        <v>4</v>
      </c>
      <c r="K33">
        <v>16</v>
      </c>
      <c r="L33">
        <v>8</v>
      </c>
      <c r="M33">
        <v>10</v>
      </c>
      <c r="N33">
        <v>7</v>
      </c>
      <c r="O33">
        <v>16</v>
      </c>
      <c r="P33">
        <v>2</v>
      </c>
      <c r="Q33">
        <v>29</v>
      </c>
      <c r="R33">
        <v>13</v>
      </c>
      <c r="S33">
        <v>10</v>
      </c>
      <c r="T33">
        <v>23</v>
      </c>
      <c r="U33">
        <v>39</v>
      </c>
      <c r="V33">
        <v>21</v>
      </c>
      <c r="W33">
        <v>10</v>
      </c>
      <c r="X33">
        <v>16</v>
      </c>
      <c r="Y33">
        <v>20</v>
      </c>
      <c r="Z33">
        <v>10</v>
      </c>
      <c r="AA33">
        <v>17</v>
      </c>
      <c r="AB33">
        <v>19</v>
      </c>
      <c r="AC33">
        <v>9</v>
      </c>
      <c r="AD33">
        <v>10</v>
      </c>
      <c r="AE33">
        <v>7</v>
      </c>
    </row>
    <row r="34" spans="1:31" x14ac:dyDescent="0.3">
      <c r="A34" t="s">
        <v>251</v>
      </c>
      <c r="B34" t="s">
        <v>186</v>
      </c>
      <c r="C34" t="s">
        <v>0</v>
      </c>
      <c r="D34" t="s">
        <v>187</v>
      </c>
      <c r="E34" t="s">
        <v>123</v>
      </c>
      <c r="F34">
        <v>10</v>
      </c>
      <c r="G34">
        <v>12</v>
      </c>
      <c r="H34">
        <v>7</v>
      </c>
      <c r="I34">
        <v>14</v>
      </c>
      <c r="J34">
        <v>15</v>
      </c>
      <c r="K34">
        <v>14</v>
      </c>
      <c r="L34">
        <v>14</v>
      </c>
      <c r="M34">
        <v>16</v>
      </c>
      <c r="N34">
        <v>18</v>
      </c>
      <c r="O34">
        <v>19</v>
      </c>
      <c r="P34">
        <v>21</v>
      </c>
      <c r="Q34">
        <v>24</v>
      </c>
      <c r="R34">
        <v>16</v>
      </c>
      <c r="S34">
        <v>13</v>
      </c>
      <c r="T34">
        <v>14</v>
      </c>
      <c r="U34">
        <v>22</v>
      </c>
      <c r="V34">
        <v>16</v>
      </c>
      <c r="W34">
        <v>23</v>
      </c>
      <c r="X34">
        <v>15</v>
      </c>
      <c r="Y34">
        <v>15</v>
      </c>
      <c r="Z34">
        <v>13</v>
      </c>
      <c r="AA34">
        <v>14</v>
      </c>
      <c r="AB34">
        <v>10</v>
      </c>
      <c r="AC34">
        <v>11</v>
      </c>
      <c r="AD34">
        <v>9</v>
      </c>
      <c r="AE34">
        <v>6</v>
      </c>
    </row>
    <row r="35" spans="1:31" x14ac:dyDescent="0.3">
      <c r="A35" t="s">
        <v>251</v>
      </c>
      <c r="B35" t="s">
        <v>188</v>
      </c>
      <c r="C35" t="s">
        <v>0</v>
      </c>
      <c r="D35" t="s">
        <v>189</v>
      </c>
      <c r="E35" t="s">
        <v>123</v>
      </c>
      <c r="F35">
        <v>24</v>
      </c>
      <c r="G35">
        <v>30</v>
      </c>
      <c r="H35">
        <v>33</v>
      </c>
      <c r="I35">
        <v>39</v>
      </c>
      <c r="J35">
        <v>43</v>
      </c>
      <c r="K35">
        <v>53</v>
      </c>
      <c r="L35">
        <v>53</v>
      </c>
      <c r="M35">
        <v>49</v>
      </c>
      <c r="N35">
        <v>39</v>
      </c>
      <c r="O35">
        <v>88</v>
      </c>
      <c r="P35">
        <v>78</v>
      </c>
      <c r="Q35">
        <v>67</v>
      </c>
      <c r="R35">
        <v>69</v>
      </c>
      <c r="S35">
        <v>95</v>
      </c>
      <c r="T35">
        <v>84</v>
      </c>
      <c r="U35">
        <v>128</v>
      </c>
      <c r="V35">
        <v>56</v>
      </c>
      <c r="W35">
        <v>61</v>
      </c>
      <c r="X35">
        <v>43</v>
      </c>
      <c r="Y35">
        <v>37</v>
      </c>
      <c r="Z35">
        <v>34</v>
      </c>
      <c r="AA35">
        <v>34</v>
      </c>
      <c r="AB35">
        <v>29</v>
      </c>
      <c r="AC35">
        <v>34</v>
      </c>
      <c r="AD35">
        <v>22</v>
      </c>
      <c r="AE35">
        <v>23</v>
      </c>
    </row>
    <row r="36" spans="1:31" x14ac:dyDescent="0.3">
      <c r="A36" t="s">
        <v>251</v>
      </c>
      <c r="B36" t="s">
        <v>190</v>
      </c>
      <c r="C36" t="s">
        <v>0</v>
      </c>
      <c r="D36" t="s">
        <v>191</v>
      </c>
      <c r="E36" t="s">
        <v>123</v>
      </c>
      <c r="F36">
        <v>5</v>
      </c>
      <c r="G36">
        <v>7</v>
      </c>
      <c r="H36">
        <v>9</v>
      </c>
      <c r="I36">
        <v>11</v>
      </c>
      <c r="J36">
        <v>11</v>
      </c>
      <c r="K36">
        <v>12</v>
      </c>
      <c r="L36">
        <v>12</v>
      </c>
      <c r="M36">
        <v>12</v>
      </c>
      <c r="N36">
        <v>10</v>
      </c>
      <c r="O36">
        <v>10</v>
      </c>
      <c r="P36">
        <v>14</v>
      </c>
      <c r="Q36">
        <v>13</v>
      </c>
      <c r="R36">
        <v>12</v>
      </c>
      <c r="S36">
        <v>10</v>
      </c>
      <c r="T36">
        <v>14</v>
      </c>
      <c r="U36">
        <v>15</v>
      </c>
      <c r="V36">
        <v>13</v>
      </c>
      <c r="W36">
        <v>13</v>
      </c>
      <c r="X36">
        <v>5</v>
      </c>
      <c r="Y36">
        <v>5</v>
      </c>
      <c r="Z36">
        <v>3</v>
      </c>
      <c r="AA36">
        <v>4</v>
      </c>
      <c r="AB36">
        <v>5</v>
      </c>
      <c r="AC36">
        <v>5</v>
      </c>
      <c r="AD36">
        <v>4</v>
      </c>
      <c r="AE36">
        <v>3</v>
      </c>
    </row>
    <row r="37" spans="1:31" x14ac:dyDescent="0.3">
      <c r="A37" t="s">
        <v>251</v>
      </c>
      <c r="B37" t="s">
        <v>192</v>
      </c>
      <c r="C37" t="s">
        <v>0</v>
      </c>
      <c r="D37" t="s">
        <v>193</v>
      </c>
      <c r="E37" t="s">
        <v>123</v>
      </c>
      <c r="F37">
        <v>8</v>
      </c>
      <c r="G37">
        <v>8</v>
      </c>
      <c r="H37">
        <v>12</v>
      </c>
      <c r="I37">
        <v>14</v>
      </c>
      <c r="J37">
        <v>14</v>
      </c>
      <c r="K37">
        <v>23</v>
      </c>
      <c r="L37">
        <v>20</v>
      </c>
      <c r="M37">
        <v>16</v>
      </c>
      <c r="N37">
        <v>13</v>
      </c>
      <c r="O37">
        <v>60</v>
      </c>
      <c r="P37">
        <v>47</v>
      </c>
      <c r="Q37">
        <v>33</v>
      </c>
      <c r="R37">
        <v>57</v>
      </c>
      <c r="S37">
        <v>70</v>
      </c>
      <c r="T37">
        <v>70</v>
      </c>
      <c r="U37">
        <v>99</v>
      </c>
      <c r="V37">
        <v>38</v>
      </c>
      <c r="W37">
        <v>33</v>
      </c>
      <c r="X37">
        <v>27</v>
      </c>
      <c r="Y37">
        <v>25</v>
      </c>
      <c r="Z37">
        <v>20</v>
      </c>
      <c r="AA37">
        <v>21</v>
      </c>
      <c r="AB37">
        <v>17</v>
      </c>
      <c r="AC37">
        <v>19</v>
      </c>
      <c r="AD37">
        <v>15</v>
      </c>
      <c r="AE37">
        <v>18</v>
      </c>
    </row>
    <row r="38" spans="1:31" x14ac:dyDescent="0.3">
      <c r="A38" t="s">
        <v>251</v>
      </c>
      <c r="B38" t="s">
        <v>194</v>
      </c>
      <c r="C38" t="s">
        <v>0</v>
      </c>
      <c r="D38" t="s">
        <v>195</v>
      </c>
      <c r="E38" t="s">
        <v>123</v>
      </c>
      <c r="F38">
        <v>11</v>
      </c>
      <c r="G38">
        <v>15</v>
      </c>
      <c r="H38">
        <v>12</v>
      </c>
      <c r="I38">
        <v>14</v>
      </c>
      <c r="J38">
        <v>18</v>
      </c>
      <c r="K38">
        <v>18</v>
      </c>
      <c r="L38">
        <v>21</v>
      </c>
      <c r="M38">
        <v>21</v>
      </c>
      <c r="N38">
        <v>16</v>
      </c>
      <c r="O38">
        <v>18</v>
      </c>
      <c r="P38">
        <v>17</v>
      </c>
      <c r="Q38">
        <v>21</v>
      </c>
      <c r="R38">
        <v>0</v>
      </c>
      <c r="S38">
        <v>15</v>
      </c>
      <c r="T38">
        <v>0</v>
      </c>
      <c r="U38">
        <v>14</v>
      </c>
      <c r="V38">
        <v>5</v>
      </c>
      <c r="W38">
        <v>15</v>
      </c>
      <c r="X38">
        <v>11</v>
      </c>
      <c r="Y38">
        <v>7</v>
      </c>
      <c r="Z38">
        <v>11</v>
      </c>
      <c r="AA38">
        <v>9</v>
      </c>
      <c r="AB38">
        <v>7</v>
      </c>
      <c r="AC38">
        <v>10</v>
      </c>
      <c r="AD38">
        <v>3</v>
      </c>
      <c r="AE38">
        <v>2</v>
      </c>
    </row>
    <row r="39" spans="1:31" x14ac:dyDescent="0.3">
      <c r="A39" t="s">
        <v>251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31" x14ac:dyDescent="0.3">
      <c r="A40" t="s">
        <v>251</v>
      </c>
      <c r="B40" t="s">
        <v>198</v>
      </c>
      <c r="C40" t="s">
        <v>0</v>
      </c>
      <c r="D40" t="s">
        <v>199</v>
      </c>
      <c r="E40" t="s">
        <v>123</v>
      </c>
      <c r="F40">
        <v>8</v>
      </c>
      <c r="G40">
        <v>14</v>
      </c>
      <c r="H40">
        <v>9</v>
      </c>
      <c r="I40">
        <v>8</v>
      </c>
      <c r="J40">
        <v>10</v>
      </c>
      <c r="K40">
        <v>12</v>
      </c>
      <c r="L40">
        <v>8</v>
      </c>
      <c r="M40">
        <v>17</v>
      </c>
      <c r="N40">
        <v>21</v>
      </c>
      <c r="O40">
        <v>20</v>
      </c>
      <c r="P40">
        <v>31</v>
      </c>
      <c r="Q40">
        <v>34</v>
      </c>
      <c r="R40">
        <v>32</v>
      </c>
      <c r="S40">
        <v>49</v>
      </c>
      <c r="T40">
        <v>55</v>
      </c>
      <c r="U40">
        <v>49</v>
      </c>
      <c r="V40">
        <v>35</v>
      </c>
      <c r="W40">
        <v>48</v>
      </c>
      <c r="X40">
        <v>52</v>
      </c>
      <c r="Y40">
        <v>49</v>
      </c>
      <c r="Z40">
        <v>47</v>
      </c>
      <c r="AA40">
        <v>54</v>
      </c>
      <c r="AB40">
        <v>38</v>
      </c>
      <c r="AC40">
        <v>39</v>
      </c>
      <c r="AD40">
        <v>29</v>
      </c>
      <c r="AE40">
        <v>22</v>
      </c>
    </row>
    <row r="41" spans="1:31" x14ac:dyDescent="0.3">
      <c r="A41" t="s">
        <v>251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251</v>
      </c>
      <c r="B42" t="s">
        <v>202</v>
      </c>
      <c r="C42" t="s">
        <v>0</v>
      </c>
      <c r="D42" t="s">
        <v>203</v>
      </c>
      <c r="E42" t="s">
        <v>123</v>
      </c>
      <c r="F42">
        <v>27</v>
      </c>
      <c r="G42">
        <v>35</v>
      </c>
      <c r="H42">
        <v>54</v>
      </c>
      <c r="I42">
        <v>47</v>
      </c>
      <c r="J42">
        <v>56</v>
      </c>
      <c r="K42">
        <v>51</v>
      </c>
      <c r="L42">
        <v>51</v>
      </c>
      <c r="M42">
        <v>50</v>
      </c>
      <c r="N42">
        <v>53</v>
      </c>
      <c r="O42">
        <v>57</v>
      </c>
      <c r="P42">
        <v>51</v>
      </c>
      <c r="Q42">
        <v>51</v>
      </c>
      <c r="R42">
        <v>65</v>
      </c>
      <c r="S42">
        <v>70</v>
      </c>
      <c r="T42">
        <v>29</v>
      </c>
      <c r="U42">
        <v>42</v>
      </c>
      <c r="V42">
        <v>55</v>
      </c>
      <c r="W42">
        <v>35</v>
      </c>
      <c r="X42">
        <v>28</v>
      </c>
      <c r="Y42">
        <v>27</v>
      </c>
      <c r="Z42">
        <v>20</v>
      </c>
      <c r="AA42">
        <v>24</v>
      </c>
      <c r="AB42">
        <v>20</v>
      </c>
      <c r="AC42">
        <v>18</v>
      </c>
      <c r="AD42">
        <v>18</v>
      </c>
      <c r="AE42">
        <v>13</v>
      </c>
    </row>
    <row r="43" spans="1:31" x14ac:dyDescent="0.3">
      <c r="A43" t="s">
        <v>251</v>
      </c>
      <c r="B43" t="s">
        <v>204</v>
      </c>
      <c r="C43" t="s">
        <v>0</v>
      </c>
      <c r="D43" t="s">
        <v>205</v>
      </c>
      <c r="E43" t="s">
        <v>123</v>
      </c>
      <c r="F43">
        <v>52</v>
      </c>
      <c r="G43">
        <v>74</v>
      </c>
      <c r="H43">
        <v>107</v>
      </c>
      <c r="I43">
        <v>110</v>
      </c>
      <c r="J43">
        <v>114</v>
      </c>
      <c r="K43">
        <v>117</v>
      </c>
      <c r="L43">
        <v>114</v>
      </c>
      <c r="M43">
        <v>147</v>
      </c>
      <c r="N43">
        <v>206</v>
      </c>
      <c r="O43">
        <v>214</v>
      </c>
      <c r="P43">
        <v>213</v>
      </c>
      <c r="Q43">
        <v>352</v>
      </c>
      <c r="R43">
        <v>257</v>
      </c>
      <c r="S43">
        <v>231</v>
      </c>
      <c r="T43">
        <v>151</v>
      </c>
      <c r="U43">
        <v>181</v>
      </c>
      <c r="V43">
        <v>211</v>
      </c>
      <c r="W43">
        <v>211</v>
      </c>
      <c r="X43">
        <v>184</v>
      </c>
      <c r="Y43">
        <v>210</v>
      </c>
      <c r="Z43">
        <v>218</v>
      </c>
      <c r="AA43">
        <v>235</v>
      </c>
      <c r="AB43">
        <v>319</v>
      </c>
      <c r="AC43">
        <v>231</v>
      </c>
      <c r="AD43">
        <v>222</v>
      </c>
      <c r="AE43">
        <v>170</v>
      </c>
    </row>
    <row r="44" spans="1:31" x14ac:dyDescent="0.3">
      <c r="A44" t="s">
        <v>251</v>
      </c>
      <c r="B44" t="s">
        <v>206</v>
      </c>
      <c r="C44" t="s">
        <v>0</v>
      </c>
      <c r="D44" t="s">
        <v>207</v>
      </c>
      <c r="E44" t="s">
        <v>123</v>
      </c>
      <c r="F44">
        <v>1116</v>
      </c>
      <c r="G44">
        <v>1080</v>
      </c>
      <c r="H44">
        <v>1433</v>
      </c>
      <c r="I44">
        <v>1638</v>
      </c>
      <c r="J44">
        <v>1706</v>
      </c>
      <c r="K44">
        <v>1520</v>
      </c>
      <c r="L44">
        <v>1807</v>
      </c>
      <c r="M44">
        <v>1567</v>
      </c>
      <c r="N44">
        <v>1550</v>
      </c>
      <c r="O44">
        <v>2121</v>
      </c>
      <c r="P44">
        <v>2060</v>
      </c>
      <c r="Q44">
        <v>2275</v>
      </c>
      <c r="R44">
        <v>2331</v>
      </c>
      <c r="S44">
        <v>2136</v>
      </c>
      <c r="T44">
        <v>2070</v>
      </c>
      <c r="U44">
        <v>1954</v>
      </c>
      <c r="V44">
        <v>1934</v>
      </c>
      <c r="W44">
        <v>2054</v>
      </c>
      <c r="X44">
        <v>1967</v>
      </c>
      <c r="Y44">
        <v>1649</v>
      </c>
      <c r="Z44">
        <v>1885</v>
      </c>
      <c r="AA44">
        <v>2267</v>
      </c>
      <c r="AB44">
        <v>2111</v>
      </c>
      <c r="AC44">
        <v>1966</v>
      </c>
      <c r="AD44">
        <v>2022</v>
      </c>
      <c r="AE44">
        <v>1578</v>
      </c>
    </row>
    <row r="45" spans="1:31" x14ac:dyDescent="0.3">
      <c r="A45" t="s">
        <v>251</v>
      </c>
      <c r="B45" t="s">
        <v>208</v>
      </c>
      <c r="C45" t="s">
        <v>0</v>
      </c>
      <c r="D45" t="s">
        <v>209</v>
      </c>
      <c r="E45" t="s">
        <v>123</v>
      </c>
      <c r="F45">
        <v>900</v>
      </c>
      <c r="G45">
        <v>906</v>
      </c>
      <c r="H45">
        <v>1232</v>
      </c>
      <c r="I45">
        <v>1452</v>
      </c>
      <c r="J45">
        <v>1496</v>
      </c>
      <c r="K45">
        <v>1290</v>
      </c>
      <c r="L45">
        <v>1566</v>
      </c>
      <c r="M45">
        <v>1298</v>
      </c>
      <c r="N45">
        <v>1282</v>
      </c>
      <c r="O45">
        <v>1866</v>
      </c>
      <c r="P45">
        <v>1820</v>
      </c>
      <c r="Q45">
        <v>2065</v>
      </c>
      <c r="R45">
        <v>2082</v>
      </c>
      <c r="S45">
        <v>1840</v>
      </c>
      <c r="T45">
        <v>1789</v>
      </c>
      <c r="U45">
        <v>1697</v>
      </c>
      <c r="V45">
        <v>1654</v>
      </c>
      <c r="W45">
        <v>1775</v>
      </c>
      <c r="X45">
        <v>1666</v>
      </c>
      <c r="Y45">
        <v>1358</v>
      </c>
      <c r="Z45">
        <v>1619</v>
      </c>
      <c r="AA45">
        <v>2050</v>
      </c>
      <c r="AB45">
        <v>1887</v>
      </c>
      <c r="AC45">
        <v>1743</v>
      </c>
      <c r="AD45">
        <v>1787</v>
      </c>
      <c r="AE45">
        <v>1339</v>
      </c>
    </row>
    <row r="46" spans="1:31" x14ac:dyDescent="0.3">
      <c r="A46" t="s">
        <v>251</v>
      </c>
      <c r="B46" t="s">
        <v>210</v>
      </c>
      <c r="C46" t="s">
        <v>0</v>
      </c>
      <c r="D46" t="s">
        <v>211</v>
      </c>
      <c r="E46" t="s">
        <v>123</v>
      </c>
      <c r="F46">
        <v>25</v>
      </c>
      <c r="G46">
        <v>39</v>
      </c>
      <c r="H46">
        <v>53</v>
      </c>
      <c r="I46">
        <v>63</v>
      </c>
      <c r="J46">
        <v>58</v>
      </c>
      <c r="K46">
        <v>66</v>
      </c>
      <c r="L46">
        <v>63</v>
      </c>
      <c r="M46">
        <v>97</v>
      </c>
      <c r="N46">
        <v>153</v>
      </c>
      <c r="O46">
        <v>157</v>
      </c>
      <c r="P46">
        <v>162</v>
      </c>
      <c r="Q46">
        <v>301</v>
      </c>
      <c r="R46">
        <v>192</v>
      </c>
      <c r="S46">
        <v>161</v>
      </c>
      <c r="T46">
        <v>122</v>
      </c>
      <c r="U46">
        <v>139</v>
      </c>
      <c r="V46">
        <v>156</v>
      </c>
      <c r="W46">
        <v>176</v>
      </c>
      <c r="X46">
        <v>156</v>
      </c>
      <c r="Y46">
        <v>183</v>
      </c>
      <c r="Z46">
        <v>198</v>
      </c>
      <c r="AA46">
        <v>211</v>
      </c>
      <c r="AB46">
        <v>299</v>
      </c>
      <c r="AC46">
        <v>213</v>
      </c>
      <c r="AD46">
        <v>204</v>
      </c>
      <c r="AE46">
        <v>157</v>
      </c>
    </row>
    <row r="47" spans="1:31" x14ac:dyDescent="0.3">
      <c r="A47" t="s">
        <v>251</v>
      </c>
      <c r="B47" t="s">
        <v>212</v>
      </c>
      <c r="C47" t="s">
        <v>0</v>
      </c>
      <c r="D47" t="s">
        <v>213</v>
      </c>
      <c r="E47" t="s">
        <v>123</v>
      </c>
      <c r="F47">
        <v>46</v>
      </c>
      <c r="G47">
        <v>45</v>
      </c>
      <c r="H47">
        <v>31</v>
      </c>
      <c r="I47">
        <v>37</v>
      </c>
      <c r="J47">
        <v>51</v>
      </c>
      <c r="K47">
        <v>58</v>
      </c>
      <c r="L47">
        <v>45</v>
      </c>
      <c r="M47">
        <v>65</v>
      </c>
      <c r="N47">
        <v>60</v>
      </c>
      <c r="O47">
        <v>61</v>
      </c>
      <c r="P47">
        <v>76</v>
      </c>
      <c r="Q47">
        <v>59</v>
      </c>
      <c r="R47">
        <v>45</v>
      </c>
      <c r="S47">
        <v>57</v>
      </c>
      <c r="T47">
        <v>54</v>
      </c>
      <c r="U47">
        <v>97</v>
      </c>
      <c r="V47">
        <v>93</v>
      </c>
      <c r="W47">
        <v>97</v>
      </c>
      <c r="X47">
        <v>103</v>
      </c>
      <c r="Y47">
        <v>88</v>
      </c>
      <c r="Z47">
        <v>107</v>
      </c>
      <c r="AA47">
        <v>111</v>
      </c>
      <c r="AB47">
        <v>90</v>
      </c>
      <c r="AC47">
        <v>78</v>
      </c>
      <c r="AD47">
        <v>86</v>
      </c>
      <c r="AE47">
        <v>114</v>
      </c>
    </row>
    <row r="48" spans="1:31" x14ac:dyDescent="0.3">
      <c r="A48" t="s">
        <v>251</v>
      </c>
      <c r="B48" t="s">
        <v>214</v>
      </c>
      <c r="C48" t="s">
        <v>0</v>
      </c>
      <c r="D48" t="s">
        <v>215</v>
      </c>
      <c r="E48" t="s">
        <v>123</v>
      </c>
      <c r="F48">
        <v>70</v>
      </c>
      <c r="G48">
        <v>66</v>
      </c>
      <c r="H48">
        <v>51</v>
      </c>
      <c r="I48">
        <v>62</v>
      </c>
      <c r="J48">
        <v>75</v>
      </c>
      <c r="K48">
        <v>84</v>
      </c>
      <c r="L48">
        <v>69</v>
      </c>
      <c r="M48">
        <v>97</v>
      </c>
      <c r="N48">
        <v>98</v>
      </c>
      <c r="O48">
        <v>109</v>
      </c>
      <c r="P48">
        <v>126</v>
      </c>
      <c r="Q48">
        <v>110</v>
      </c>
      <c r="R48">
        <v>111</v>
      </c>
      <c r="S48">
        <v>117</v>
      </c>
      <c r="T48">
        <v>112</v>
      </c>
      <c r="U48">
        <v>158</v>
      </c>
      <c r="V48">
        <v>152</v>
      </c>
      <c r="W48">
        <v>152</v>
      </c>
      <c r="X48">
        <v>152</v>
      </c>
      <c r="Y48">
        <v>133</v>
      </c>
      <c r="Z48">
        <v>159</v>
      </c>
      <c r="AA48">
        <v>152</v>
      </c>
      <c r="AB48">
        <v>120</v>
      </c>
      <c r="AC48">
        <v>107</v>
      </c>
      <c r="AD48">
        <v>115</v>
      </c>
      <c r="AE48">
        <v>137</v>
      </c>
    </row>
    <row r="49" spans="1:31" x14ac:dyDescent="0.3">
      <c r="A49" t="s">
        <v>251</v>
      </c>
      <c r="B49" t="s">
        <v>216</v>
      </c>
      <c r="C49" t="s">
        <v>0</v>
      </c>
      <c r="D49" t="s">
        <v>217</v>
      </c>
      <c r="E49" t="s">
        <v>123</v>
      </c>
      <c r="F49">
        <v>18</v>
      </c>
      <c r="G49">
        <v>14</v>
      </c>
      <c r="H49">
        <v>13</v>
      </c>
      <c r="I49">
        <v>15</v>
      </c>
      <c r="J49">
        <v>15</v>
      </c>
      <c r="K49">
        <v>17</v>
      </c>
      <c r="L49">
        <v>13</v>
      </c>
      <c r="M49">
        <v>19</v>
      </c>
      <c r="N49">
        <v>17</v>
      </c>
      <c r="O49">
        <v>19</v>
      </c>
      <c r="P49">
        <v>19</v>
      </c>
      <c r="Q49">
        <v>18</v>
      </c>
      <c r="R49">
        <v>21</v>
      </c>
      <c r="S49">
        <v>22</v>
      </c>
      <c r="T49">
        <v>22</v>
      </c>
      <c r="U49">
        <v>18</v>
      </c>
      <c r="V49">
        <v>17</v>
      </c>
      <c r="W49">
        <v>18</v>
      </c>
      <c r="X49">
        <v>14</v>
      </c>
      <c r="Y49">
        <v>15</v>
      </c>
      <c r="Z49">
        <v>19</v>
      </c>
      <c r="AA49">
        <v>13</v>
      </c>
      <c r="AB49">
        <v>10</v>
      </c>
      <c r="AC49">
        <v>9</v>
      </c>
      <c r="AD49">
        <v>9</v>
      </c>
      <c r="AE49">
        <v>10</v>
      </c>
    </row>
    <row r="50" spans="1:31" x14ac:dyDescent="0.3">
      <c r="A50" t="s">
        <v>251</v>
      </c>
      <c r="B50" t="s">
        <v>218</v>
      </c>
      <c r="C50" t="s">
        <v>0</v>
      </c>
      <c r="D50" t="s">
        <v>219</v>
      </c>
      <c r="E50" t="s">
        <v>123</v>
      </c>
      <c r="F50">
        <v>6</v>
      </c>
      <c r="G50">
        <v>7</v>
      </c>
      <c r="H50">
        <v>7</v>
      </c>
      <c r="I50">
        <v>10</v>
      </c>
      <c r="J50">
        <v>9</v>
      </c>
      <c r="K50">
        <v>9</v>
      </c>
      <c r="L50">
        <v>11</v>
      </c>
      <c r="M50">
        <v>13</v>
      </c>
      <c r="N50">
        <v>21</v>
      </c>
      <c r="O50">
        <v>29</v>
      </c>
      <c r="P50">
        <v>31</v>
      </c>
      <c r="Q50">
        <v>33</v>
      </c>
      <c r="R50">
        <v>45</v>
      </c>
      <c r="S50">
        <v>38</v>
      </c>
      <c r="T50">
        <v>36</v>
      </c>
      <c r="U50">
        <v>43</v>
      </c>
      <c r="V50">
        <v>42</v>
      </c>
      <c r="W50">
        <v>37</v>
      </c>
      <c r="X50">
        <v>35</v>
      </c>
      <c r="Y50">
        <v>30</v>
      </c>
      <c r="Z50">
        <v>33</v>
      </c>
      <c r="AA50">
        <v>28</v>
      </c>
      <c r="AB50">
        <v>20</v>
      </c>
      <c r="AC50">
        <v>20</v>
      </c>
      <c r="AD50">
        <v>20</v>
      </c>
      <c r="AE50">
        <v>13</v>
      </c>
    </row>
    <row r="51" spans="1:31" x14ac:dyDescent="0.3">
      <c r="A51" t="s">
        <v>251</v>
      </c>
      <c r="B51" t="s">
        <v>220</v>
      </c>
      <c r="C51" t="s">
        <v>0</v>
      </c>
      <c r="D51" t="s">
        <v>221</v>
      </c>
      <c r="E51" t="s">
        <v>123</v>
      </c>
      <c r="F51">
        <v>5</v>
      </c>
      <c r="G51">
        <v>5</v>
      </c>
      <c r="H51">
        <v>6</v>
      </c>
      <c r="I51">
        <v>7</v>
      </c>
      <c r="J51">
        <v>7</v>
      </c>
      <c r="K51">
        <v>6</v>
      </c>
      <c r="L51">
        <v>7</v>
      </c>
      <c r="M51">
        <v>8</v>
      </c>
      <c r="N51">
        <v>14</v>
      </c>
      <c r="O51">
        <v>19</v>
      </c>
      <c r="P51">
        <v>20</v>
      </c>
      <c r="Q51">
        <v>20</v>
      </c>
      <c r="R51">
        <v>28</v>
      </c>
      <c r="S51">
        <v>24</v>
      </c>
      <c r="T51">
        <v>25</v>
      </c>
      <c r="U51">
        <v>29</v>
      </c>
      <c r="V51">
        <v>28</v>
      </c>
      <c r="W51">
        <v>23</v>
      </c>
      <c r="X51">
        <v>24</v>
      </c>
      <c r="Y51">
        <v>20</v>
      </c>
      <c r="Z51">
        <v>22</v>
      </c>
      <c r="AA51">
        <v>18</v>
      </c>
      <c r="AB51">
        <v>16</v>
      </c>
      <c r="AC51">
        <v>12</v>
      </c>
      <c r="AD51">
        <v>11</v>
      </c>
      <c r="AE51">
        <v>8</v>
      </c>
    </row>
    <row r="52" spans="1:31" x14ac:dyDescent="0.3">
      <c r="A52" t="s">
        <v>251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2</v>
      </c>
      <c r="H52">
        <v>1</v>
      </c>
      <c r="I52">
        <v>3</v>
      </c>
      <c r="J52">
        <v>2</v>
      </c>
      <c r="K52">
        <v>3</v>
      </c>
      <c r="L52">
        <v>4</v>
      </c>
      <c r="M52">
        <v>5</v>
      </c>
      <c r="N52">
        <v>7</v>
      </c>
      <c r="O52">
        <v>10</v>
      </c>
      <c r="P52">
        <v>11</v>
      </c>
      <c r="Q52">
        <v>13</v>
      </c>
      <c r="R52">
        <v>17</v>
      </c>
      <c r="S52">
        <v>14</v>
      </c>
      <c r="T52">
        <v>11</v>
      </c>
      <c r="U52">
        <v>14</v>
      </c>
      <c r="V52">
        <v>14</v>
      </c>
      <c r="W52">
        <v>14</v>
      </c>
      <c r="X52">
        <v>11</v>
      </c>
      <c r="Y52">
        <v>10</v>
      </c>
      <c r="Z52">
        <v>11</v>
      </c>
      <c r="AA52">
        <v>10</v>
      </c>
      <c r="AB52">
        <v>4</v>
      </c>
      <c r="AC52">
        <v>8</v>
      </c>
      <c r="AD52">
        <v>9</v>
      </c>
      <c r="AE52">
        <v>5</v>
      </c>
    </row>
    <row r="53" spans="1:31" x14ac:dyDescent="0.3">
      <c r="A53" t="s">
        <v>251</v>
      </c>
      <c r="B53" t="s">
        <v>224</v>
      </c>
      <c r="C53" t="s">
        <v>0</v>
      </c>
      <c r="D53" t="s">
        <v>225</v>
      </c>
      <c r="E53" t="s">
        <v>123</v>
      </c>
      <c r="F53">
        <v>4</v>
      </c>
      <c r="G53">
        <v>9</v>
      </c>
      <c r="H53">
        <v>10</v>
      </c>
      <c r="I53">
        <v>12</v>
      </c>
      <c r="J53">
        <v>13</v>
      </c>
      <c r="K53">
        <v>12</v>
      </c>
      <c r="L53">
        <v>13</v>
      </c>
      <c r="M53">
        <v>13</v>
      </c>
      <c r="N53">
        <v>21</v>
      </c>
      <c r="O53">
        <v>25</v>
      </c>
      <c r="P53">
        <v>28</v>
      </c>
      <c r="Q53">
        <v>28</v>
      </c>
      <c r="R53">
        <v>38</v>
      </c>
      <c r="S53">
        <v>28</v>
      </c>
      <c r="T53">
        <v>29</v>
      </c>
      <c r="U53">
        <v>19</v>
      </c>
      <c r="V53">
        <v>27</v>
      </c>
      <c r="W53">
        <v>26</v>
      </c>
      <c r="X53">
        <v>24</v>
      </c>
      <c r="Y53">
        <v>20</v>
      </c>
      <c r="Z53">
        <v>19</v>
      </c>
      <c r="AA53">
        <v>22</v>
      </c>
      <c r="AB53">
        <v>17</v>
      </c>
      <c r="AC53">
        <v>14</v>
      </c>
      <c r="AD53">
        <v>10</v>
      </c>
      <c r="AE53">
        <v>9</v>
      </c>
    </row>
    <row r="54" spans="1:31" x14ac:dyDescent="0.3">
      <c r="A54" t="s">
        <v>251</v>
      </c>
      <c r="B54" t="s">
        <v>226</v>
      </c>
      <c r="C54" t="s">
        <v>0</v>
      </c>
      <c r="D54" t="s">
        <v>227</v>
      </c>
      <c r="E54" t="s">
        <v>123</v>
      </c>
      <c r="F54">
        <v>13</v>
      </c>
      <c r="G54">
        <v>17</v>
      </c>
      <c r="H54">
        <v>18</v>
      </c>
      <c r="I54">
        <v>23</v>
      </c>
      <c r="J54">
        <v>25</v>
      </c>
      <c r="K54">
        <v>23</v>
      </c>
      <c r="L54">
        <v>26</v>
      </c>
      <c r="M54">
        <v>28</v>
      </c>
      <c r="N54">
        <v>34</v>
      </c>
      <c r="O54">
        <v>42</v>
      </c>
      <c r="P54">
        <v>47</v>
      </c>
      <c r="Q54">
        <v>42</v>
      </c>
      <c r="R54">
        <v>54</v>
      </c>
      <c r="S54">
        <v>43</v>
      </c>
      <c r="T54">
        <v>45</v>
      </c>
      <c r="U54">
        <v>35</v>
      </c>
      <c r="V54">
        <v>37</v>
      </c>
      <c r="W54">
        <v>35</v>
      </c>
      <c r="X54">
        <v>27</v>
      </c>
      <c r="Y54">
        <v>23</v>
      </c>
      <c r="Z54">
        <v>25</v>
      </c>
      <c r="AA54">
        <v>27</v>
      </c>
      <c r="AB54">
        <v>20</v>
      </c>
      <c r="AC54">
        <v>16</v>
      </c>
      <c r="AD54">
        <v>12</v>
      </c>
      <c r="AE54">
        <v>10</v>
      </c>
    </row>
    <row r="55" spans="1:31" x14ac:dyDescent="0.3">
      <c r="A55" t="s">
        <v>251</v>
      </c>
      <c r="B55" t="s">
        <v>228</v>
      </c>
      <c r="C55" t="s">
        <v>0</v>
      </c>
      <c r="D55" t="s">
        <v>229</v>
      </c>
      <c r="E55" t="s">
        <v>123</v>
      </c>
      <c r="F55">
        <v>9</v>
      </c>
      <c r="G55">
        <v>8</v>
      </c>
      <c r="H55">
        <v>8</v>
      </c>
      <c r="I55">
        <v>11</v>
      </c>
      <c r="J55">
        <v>12</v>
      </c>
      <c r="K55">
        <v>11</v>
      </c>
      <c r="L55">
        <v>13</v>
      </c>
      <c r="M55">
        <v>15</v>
      </c>
      <c r="N55">
        <v>13</v>
      </c>
      <c r="O55">
        <v>17</v>
      </c>
      <c r="P55">
        <v>19</v>
      </c>
      <c r="Q55">
        <v>14</v>
      </c>
      <c r="R55">
        <v>16</v>
      </c>
      <c r="S55">
        <v>15</v>
      </c>
      <c r="T55">
        <v>16</v>
      </c>
      <c r="U55">
        <v>16</v>
      </c>
      <c r="V55">
        <v>10</v>
      </c>
      <c r="W55">
        <v>9</v>
      </c>
      <c r="X55">
        <v>3</v>
      </c>
      <c r="Y55">
        <v>3</v>
      </c>
      <c r="Z55">
        <v>6</v>
      </c>
      <c r="AA55">
        <v>5</v>
      </c>
      <c r="AB55">
        <v>3</v>
      </c>
      <c r="AC55">
        <v>2</v>
      </c>
      <c r="AD55">
        <v>2</v>
      </c>
      <c r="AE55">
        <v>1</v>
      </c>
    </row>
    <row r="56" spans="1:31" x14ac:dyDescent="0.3">
      <c r="A56" t="s">
        <v>251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251</v>
      </c>
      <c r="B57" t="s">
        <v>232</v>
      </c>
      <c r="C57" t="s">
        <v>0</v>
      </c>
      <c r="D57" t="s">
        <v>233</v>
      </c>
      <c r="E57" t="s">
        <v>123</v>
      </c>
      <c r="F57">
        <v>1194</v>
      </c>
      <c r="G57">
        <v>1160</v>
      </c>
      <c r="H57">
        <v>1493</v>
      </c>
      <c r="I57">
        <v>1708</v>
      </c>
      <c r="J57">
        <v>1791</v>
      </c>
      <c r="K57">
        <v>1616</v>
      </c>
      <c r="L57">
        <v>1884</v>
      </c>
      <c r="M57">
        <v>1681</v>
      </c>
      <c r="N57">
        <v>1669</v>
      </c>
      <c r="O57">
        <v>2250</v>
      </c>
      <c r="P57">
        <v>2217</v>
      </c>
      <c r="Q57">
        <v>2419</v>
      </c>
      <c r="R57">
        <v>2474</v>
      </c>
      <c r="S57">
        <v>2302</v>
      </c>
      <c r="T57">
        <v>2237</v>
      </c>
      <c r="U57">
        <v>2161</v>
      </c>
      <c r="V57">
        <v>2121</v>
      </c>
      <c r="W57">
        <v>2254</v>
      </c>
      <c r="X57">
        <v>2171</v>
      </c>
      <c r="Y57">
        <v>1831</v>
      </c>
      <c r="Z57">
        <v>2091</v>
      </c>
      <c r="AA57">
        <v>2473</v>
      </c>
      <c r="AB57">
        <v>2269</v>
      </c>
      <c r="AC57">
        <v>2112</v>
      </c>
      <c r="AD57">
        <v>2166</v>
      </c>
      <c r="AE57">
        <v>1737</v>
      </c>
    </row>
    <row r="58" spans="1:31" x14ac:dyDescent="0.3">
      <c r="A58" t="s">
        <v>251</v>
      </c>
      <c r="B58" t="s">
        <v>234</v>
      </c>
      <c r="C58" t="s">
        <v>0</v>
      </c>
      <c r="D58" t="s">
        <v>235</v>
      </c>
      <c r="E58" t="s">
        <v>123</v>
      </c>
      <c r="F58">
        <v>1194</v>
      </c>
      <c r="G58">
        <v>1160</v>
      </c>
      <c r="H58">
        <v>1493</v>
      </c>
      <c r="I58">
        <v>1708</v>
      </c>
      <c r="J58">
        <v>1791</v>
      </c>
      <c r="K58">
        <v>1616</v>
      </c>
      <c r="L58">
        <v>1884</v>
      </c>
      <c r="M58">
        <v>1681</v>
      </c>
      <c r="N58">
        <v>1669</v>
      </c>
      <c r="O58">
        <v>2250</v>
      </c>
      <c r="P58">
        <v>2217</v>
      </c>
      <c r="Q58">
        <v>2419</v>
      </c>
      <c r="R58">
        <v>2474</v>
      </c>
      <c r="S58">
        <v>2302</v>
      </c>
      <c r="T58">
        <v>2237</v>
      </c>
      <c r="U58">
        <v>2161</v>
      </c>
      <c r="V58">
        <v>2121</v>
      </c>
      <c r="W58">
        <v>2254</v>
      </c>
      <c r="X58">
        <v>2171</v>
      </c>
      <c r="Y58">
        <v>1831</v>
      </c>
      <c r="Z58">
        <v>2091</v>
      </c>
      <c r="AA58">
        <v>2473</v>
      </c>
      <c r="AB58">
        <v>2269</v>
      </c>
      <c r="AC58">
        <v>2112</v>
      </c>
      <c r="AD58">
        <v>2166</v>
      </c>
      <c r="AE58">
        <v>1737</v>
      </c>
    </row>
    <row r="59" spans="1:31" x14ac:dyDescent="0.3">
      <c r="A59" t="s">
        <v>251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252</v>
      </c>
      <c r="B2" t="s">
        <v>121</v>
      </c>
      <c r="C2" t="s">
        <v>0</v>
      </c>
      <c r="D2" t="s">
        <v>122</v>
      </c>
      <c r="E2" t="s">
        <v>123</v>
      </c>
      <c r="F2">
        <v>315</v>
      </c>
      <c r="G2">
        <v>239</v>
      </c>
      <c r="H2">
        <v>326</v>
      </c>
      <c r="I2">
        <v>338</v>
      </c>
      <c r="J2">
        <v>356</v>
      </c>
      <c r="K2">
        <v>320</v>
      </c>
      <c r="L2">
        <v>322</v>
      </c>
      <c r="M2">
        <v>357</v>
      </c>
      <c r="N2">
        <v>374</v>
      </c>
      <c r="O2">
        <v>371</v>
      </c>
      <c r="P2">
        <v>351</v>
      </c>
      <c r="Q2">
        <v>389</v>
      </c>
      <c r="R2">
        <v>438</v>
      </c>
      <c r="S2">
        <v>367</v>
      </c>
      <c r="T2">
        <v>372</v>
      </c>
      <c r="U2">
        <v>344</v>
      </c>
      <c r="V2">
        <v>385</v>
      </c>
      <c r="W2">
        <v>370</v>
      </c>
      <c r="X2">
        <v>382</v>
      </c>
      <c r="Y2">
        <v>374</v>
      </c>
      <c r="Z2">
        <v>350</v>
      </c>
      <c r="AA2">
        <v>314</v>
      </c>
      <c r="AB2">
        <v>346</v>
      </c>
      <c r="AC2">
        <v>441</v>
      </c>
      <c r="AD2">
        <v>439</v>
      </c>
      <c r="AE2">
        <v>350</v>
      </c>
    </row>
    <row r="3" spans="1:31" x14ac:dyDescent="0.3">
      <c r="A3" t="s">
        <v>252</v>
      </c>
      <c r="B3" t="s">
        <v>124</v>
      </c>
      <c r="C3" t="s">
        <v>0</v>
      </c>
      <c r="D3" t="s">
        <v>125</v>
      </c>
      <c r="E3" t="s">
        <v>123</v>
      </c>
      <c r="F3">
        <v>39</v>
      </c>
      <c r="G3">
        <v>38</v>
      </c>
      <c r="H3">
        <v>22</v>
      </c>
      <c r="I3">
        <v>40</v>
      </c>
      <c r="J3">
        <v>43</v>
      </c>
      <c r="K3">
        <v>32</v>
      </c>
      <c r="L3">
        <v>57</v>
      </c>
      <c r="M3">
        <v>53</v>
      </c>
      <c r="N3">
        <v>87</v>
      </c>
      <c r="O3">
        <v>51</v>
      </c>
      <c r="P3">
        <v>57</v>
      </c>
      <c r="Q3">
        <v>74</v>
      </c>
      <c r="R3">
        <v>68</v>
      </c>
      <c r="S3">
        <v>355</v>
      </c>
      <c r="T3">
        <v>146</v>
      </c>
      <c r="U3">
        <v>106</v>
      </c>
      <c r="V3">
        <v>178</v>
      </c>
      <c r="W3">
        <v>161</v>
      </c>
      <c r="X3">
        <v>151</v>
      </c>
      <c r="Y3">
        <v>133</v>
      </c>
      <c r="Z3">
        <v>131</v>
      </c>
      <c r="AA3">
        <v>102</v>
      </c>
      <c r="AB3">
        <v>103</v>
      </c>
      <c r="AC3">
        <v>116</v>
      </c>
      <c r="AD3">
        <v>90</v>
      </c>
      <c r="AE3">
        <v>215</v>
      </c>
    </row>
    <row r="4" spans="1:31" x14ac:dyDescent="0.3">
      <c r="A4" t="s">
        <v>252</v>
      </c>
      <c r="B4" t="s">
        <v>126</v>
      </c>
      <c r="C4" t="s">
        <v>0</v>
      </c>
      <c r="D4" t="s">
        <v>127</v>
      </c>
      <c r="E4" t="s">
        <v>123</v>
      </c>
      <c r="F4">
        <v>2137</v>
      </c>
      <c r="G4">
        <v>2482</v>
      </c>
      <c r="H4">
        <v>2530</v>
      </c>
      <c r="I4">
        <v>2713</v>
      </c>
      <c r="J4">
        <v>2338</v>
      </c>
      <c r="K4">
        <v>2409</v>
      </c>
      <c r="L4">
        <v>3160</v>
      </c>
      <c r="M4">
        <v>2455</v>
      </c>
      <c r="N4">
        <v>2334</v>
      </c>
      <c r="O4">
        <v>2135</v>
      </c>
      <c r="P4">
        <v>2157</v>
      </c>
      <c r="Q4">
        <v>1895</v>
      </c>
      <c r="R4">
        <v>2502</v>
      </c>
      <c r="S4">
        <v>2179</v>
      </c>
      <c r="T4">
        <v>1703</v>
      </c>
      <c r="U4">
        <v>1357</v>
      </c>
      <c r="V4">
        <v>1425</v>
      </c>
      <c r="W4">
        <v>1715</v>
      </c>
      <c r="X4">
        <v>1559</v>
      </c>
      <c r="Y4">
        <v>1462</v>
      </c>
      <c r="Z4">
        <v>1810</v>
      </c>
      <c r="AA4">
        <v>2088</v>
      </c>
      <c r="AB4">
        <v>2926</v>
      </c>
      <c r="AC4">
        <v>2230</v>
      </c>
      <c r="AD4">
        <v>2129</v>
      </c>
      <c r="AE4">
        <v>1947</v>
      </c>
    </row>
    <row r="5" spans="1:31" x14ac:dyDescent="0.3">
      <c r="A5" t="s">
        <v>252</v>
      </c>
      <c r="B5" t="s">
        <v>128</v>
      </c>
      <c r="C5" t="s">
        <v>0</v>
      </c>
      <c r="D5" t="s">
        <v>129</v>
      </c>
      <c r="E5" t="s">
        <v>123</v>
      </c>
      <c r="F5">
        <v>191</v>
      </c>
      <c r="G5">
        <v>188</v>
      </c>
      <c r="H5">
        <v>178</v>
      </c>
      <c r="I5">
        <v>218</v>
      </c>
      <c r="J5">
        <v>201</v>
      </c>
      <c r="K5">
        <v>188</v>
      </c>
      <c r="L5">
        <v>233</v>
      </c>
      <c r="M5">
        <v>256</v>
      </c>
      <c r="N5">
        <v>263</v>
      </c>
      <c r="O5">
        <v>196</v>
      </c>
      <c r="P5">
        <v>208</v>
      </c>
      <c r="Q5">
        <v>185</v>
      </c>
      <c r="R5">
        <v>228</v>
      </c>
      <c r="S5">
        <v>237</v>
      </c>
      <c r="T5">
        <v>219</v>
      </c>
      <c r="U5">
        <v>168</v>
      </c>
      <c r="V5">
        <v>159</v>
      </c>
      <c r="W5">
        <v>163</v>
      </c>
      <c r="X5">
        <v>202</v>
      </c>
      <c r="Y5">
        <v>216</v>
      </c>
      <c r="Z5">
        <v>203</v>
      </c>
      <c r="AA5">
        <v>200</v>
      </c>
      <c r="AB5">
        <v>345</v>
      </c>
      <c r="AC5">
        <v>238</v>
      </c>
      <c r="AD5">
        <v>208</v>
      </c>
      <c r="AE5">
        <v>213</v>
      </c>
    </row>
    <row r="6" spans="1:31" x14ac:dyDescent="0.3">
      <c r="A6" t="s">
        <v>252</v>
      </c>
      <c r="B6" t="s">
        <v>130</v>
      </c>
      <c r="C6" t="s">
        <v>0</v>
      </c>
      <c r="D6" t="s">
        <v>131</v>
      </c>
      <c r="E6" t="s">
        <v>123</v>
      </c>
      <c r="F6">
        <v>37</v>
      </c>
      <c r="G6">
        <v>27</v>
      </c>
      <c r="H6">
        <v>37</v>
      </c>
      <c r="I6">
        <v>35</v>
      </c>
      <c r="J6">
        <v>25</v>
      </c>
      <c r="K6">
        <v>29</v>
      </c>
      <c r="L6">
        <v>37</v>
      </c>
      <c r="M6">
        <v>36</v>
      </c>
      <c r="N6">
        <v>26</v>
      </c>
      <c r="O6">
        <v>24</v>
      </c>
      <c r="P6">
        <v>28</v>
      </c>
      <c r="Q6">
        <v>24</v>
      </c>
      <c r="R6">
        <v>30</v>
      </c>
      <c r="S6">
        <v>16</v>
      </c>
      <c r="T6">
        <v>11</v>
      </c>
      <c r="U6">
        <v>13</v>
      </c>
      <c r="V6">
        <v>15</v>
      </c>
      <c r="W6">
        <v>11</v>
      </c>
      <c r="X6">
        <v>7</v>
      </c>
      <c r="Y6">
        <v>11</v>
      </c>
      <c r="Z6">
        <v>16</v>
      </c>
      <c r="AA6">
        <v>34</v>
      </c>
      <c r="AB6">
        <v>23</v>
      </c>
      <c r="AC6">
        <v>21</v>
      </c>
      <c r="AD6">
        <v>31</v>
      </c>
      <c r="AE6">
        <v>37</v>
      </c>
    </row>
    <row r="7" spans="1:31" x14ac:dyDescent="0.3">
      <c r="A7" t="s">
        <v>252</v>
      </c>
      <c r="B7" t="s">
        <v>132</v>
      </c>
      <c r="C7" t="s">
        <v>0</v>
      </c>
      <c r="D7" t="s">
        <v>133</v>
      </c>
      <c r="E7" t="s">
        <v>123</v>
      </c>
      <c r="F7">
        <v>652</v>
      </c>
      <c r="G7">
        <v>1221</v>
      </c>
      <c r="H7">
        <v>876</v>
      </c>
      <c r="I7">
        <v>1041</v>
      </c>
      <c r="J7">
        <v>771</v>
      </c>
      <c r="K7">
        <v>744</v>
      </c>
      <c r="L7">
        <v>1363</v>
      </c>
      <c r="M7">
        <v>653</v>
      </c>
      <c r="N7">
        <v>848</v>
      </c>
      <c r="O7">
        <v>604</v>
      </c>
      <c r="P7">
        <v>630</v>
      </c>
      <c r="Q7">
        <v>585</v>
      </c>
      <c r="R7">
        <v>536</v>
      </c>
      <c r="S7">
        <v>710</v>
      </c>
      <c r="T7">
        <v>249</v>
      </c>
      <c r="U7">
        <v>284</v>
      </c>
      <c r="V7">
        <v>346</v>
      </c>
      <c r="W7">
        <v>369</v>
      </c>
      <c r="X7">
        <v>452</v>
      </c>
      <c r="Y7">
        <v>325</v>
      </c>
      <c r="Z7">
        <v>401</v>
      </c>
      <c r="AA7">
        <v>739</v>
      </c>
      <c r="AB7">
        <v>916</v>
      </c>
      <c r="AC7">
        <v>495</v>
      </c>
      <c r="AD7">
        <v>525</v>
      </c>
      <c r="AE7">
        <v>455</v>
      </c>
    </row>
    <row r="8" spans="1:31" x14ac:dyDescent="0.3">
      <c r="A8" t="s">
        <v>252</v>
      </c>
      <c r="B8" t="s">
        <v>134</v>
      </c>
      <c r="C8" t="s">
        <v>0</v>
      </c>
      <c r="D8" t="s">
        <v>135</v>
      </c>
      <c r="E8" t="s">
        <v>123</v>
      </c>
      <c r="F8">
        <v>28</v>
      </c>
      <c r="G8">
        <v>25</v>
      </c>
      <c r="H8">
        <v>104</v>
      </c>
      <c r="I8">
        <v>19</v>
      </c>
      <c r="J8">
        <v>45</v>
      </c>
      <c r="K8">
        <v>24</v>
      </c>
      <c r="L8">
        <v>86</v>
      </c>
      <c r="M8">
        <v>14</v>
      </c>
      <c r="N8">
        <v>53</v>
      </c>
      <c r="O8">
        <v>24</v>
      </c>
      <c r="P8">
        <v>132</v>
      </c>
      <c r="Q8">
        <v>167</v>
      </c>
      <c r="R8">
        <v>557</v>
      </c>
      <c r="S8">
        <v>35</v>
      </c>
      <c r="T8">
        <v>28</v>
      </c>
      <c r="U8">
        <v>80</v>
      </c>
      <c r="V8">
        <v>29</v>
      </c>
      <c r="W8">
        <v>68</v>
      </c>
      <c r="X8">
        <v>54</v>
      </c>
      <c r="Y8">
        <v>61</v>
      </c>
      <c r="Z8">
        <v>190</v>
      </c>
      <c r="AA8">
        <v>65</v>
      </c>
      <c r="AB8">
        <v>465</v>
      </c>
      <c r="AC8">
        <v>131</v>
      </c>
      <c r="AD8">
        <v>48</v>
      </c>
      <c r="AE8">
        <v>60</v>
      </c>
    </row>
    <row r="9" spans="1:31" x14ac:dyDescent="0.3">
      <c r="A9" t="s">
        <v>252</v>
      </c>
      <c r="B9" t="s">
        <v>136</v>
      </c>
      <c r="C9" t="s">
        <v>0</v>
      </c>
      <c r="D9" t="s">
        <v>137</v>
      </c>
      <c r="E9" t="s">
        <v>123</v>
      </c>
      <c r="F9">
        <v>233</v>
      </c>
      <c r="G9">
        <v>116</v>
      </c>
      <c r="H9">
        <v>202</v>
      </c>
      <c r="I9">
        <v>171</v>
      </c>
      <c r="J9">
        <v>179</v>
      </c>
      <c r="K9">
        <v>124</v>
      </c>
      <c r="L9">
        <v>154</v>
      </c>
      <c r="M9">
        <v>237</v>
      </c>
      <c r="N9">
        <v>149</v>
      </c>
      <c r="O9">
        <v>152</v>
      </c>
      <c r="P9">
        <v>132</v>
      </c>
      <c r="Q9">
        <v>123</v>
      </c>
      <c r="R9">
        <v>233</v>
      </c>
      <c r="S9">
        <v>183</v>
      </c>
      <c r="T9">
        <v>186</v>
      </c>
      <c r="U9">
        <v>72</v>
      </c>
      <c r="V9">
        <v>115</v>
      </c>
      <c r="W9">
        <v>139</v>
      </c>
      <c r="X9">
        <v>177</v>
      </c>
      <c r="Y9">
        <v>120</v>
      </c>
      <c r="Z9">
        <v>149</v>
      </c>
      <c r="AA9">
        <v>177</v>
      </c>
      <c r="AB9">
        <v>238</v>
      </c>
      <c r="AC9">
        <v>199</v>
      </c>
      <c r="AD9">
        <v>171</v>
      </c>
      <c r="AE9">
        <v>160</v>
      </c>
    </row>
    <row r="10" spans="1:31" x14ac:dyDescent="0.3">
      <c r="A10" t="s">
        <v>252</v>
      </c>
      <c r="B10" t="s">
        <v>138</v>
      </c>
      <c r="C10" t="s">
        <v>0</v>
      </c>
      <c r="D10" t="s">
        <v>139</v>
      </c>
      <c r="E10" t="s">
        <v>123</v>
      </c>
      <c r="F10">
        <v>255</v>
      </c>
      <c r="G10">
        <v>132</v>
      </c>
      <c r="H10">
        <v>219</v>
      </c>
      <c r="I10">
        <v>195</v>
      </c>
      <c r="J10">
        <v>197</v>
      </c>
      <c r="K10">
        <v>147</v>
      </c>
      <c r="L10">
        <v>164</v>
      </c>
      <c r="M10">
        <v>275</v>
      </c>
      <c r="N10">
        <v>167</v>
      </c>
      <c r="O10">
        <v>167</v>
      </c>
      <c r="P10">
        <v>146</v>
      </c>
      <c r="Q10">
        <v>136</v>
      </c>
      <c r="R10">
        <v>251</v>
      </c>
      <c r="S10">
        <v>198</v>
      </c>
      <c r="T10">
        <v>217</v>
      </c>
      <c r="U10">
        <v>96</v>
      </c>
      <c r="V10">
        <v>134</v>
      </c>
      <c r="W10">
        <v>164</v>
      </c>
      <c r="X10">
        <v>214</v>
      </c>
      <c r="Y10">
        <v>147</v>
      </c>
      <c r="Z10">
        <v>172</v>
      </c>
      <c r="AA10">
        <v>198</v>
      </c>
      <c r="AB10">
        <v>256</v>
      </c>
      <c r="AC10">
        <v>226</v>
      </c>
      <c r="AD10">
        <v>198</v>
      </c>
      <c r="AE10">
        <v>175</v>
      </c>
    </row>
    <row r="11" spans="1:31" x14ac:dyDescent="0.3">
      <c r="A11" t="s">
        <v>252</v>
      </c>
      <c r="B11" t="s">
        <v>140</v>
      </c>
      <c r="C11" t="s">
        <v>0</v>
      </c>
      <c r="D11" t="s">
        <v>141</v>
      </c>
      <c r="E11" t="s">
        <v>123</v>
      </c>
      <c r="F11">
        <v>22</v>
      </c>
      <c r="G11">
        <v>16</v>
      </c>
      <c r="H11">
        <v>17</v>
      </c>
      <c r="I11">
        <v>24</v>
      </c>
      <c r="J11">
        <v>18</v>
      </c>
      <c r="K11">
        <v>23</v>
      </c>
      <c r="L11">
        <v>10</v>
      </c>
      <c r="M11">
        <v>38</v>
      </c>
      <c r="N11">
        <v>18</v>
      </c>
      <c r="O11">
        <v>15</v>
      </c>
      <c r="P11">
        <v>14</v>
      </c>
      <c r="Q11">
        <v>13</v>
      </c>
      <c r="R11">
        <v>18</v>
      </c>
      <c r="S11">
        <v>15</v>
      </c>
      <c r="T11">
        <v>31</v>
      </c>
      <c r="U11">
        <v>24</v>
      </c>
      <c r="V11">
        <v>19</v>
      </c>
      <c r="W11">
        <v>25</v>
      </c>
      <c r="X11">
        <v>37</v>
      </c>
      <c r="Y11">
        <v>27</v>
      </c>
      <c r="Z11">
        <v>23</v>
      </c>
      <c r="AA11">
        <v>21</v>
      </c>
      <c r="AB11">
        <v>18</v>
      </c>
      <c r="AC11">
        <v>27</v>
      </c>
      <c r="AD11">
        <v>27</v>
      </c>
      <c r="AE11">
        <v>15</v>
      </c>
    </row>
    <row r="12" spans="1:31" x14ac:dyDescent="0.3">
      <c r="A12" t="s">
        <v>252</v>
      </c>
      <c r="B12" t="s">
        <v>142</v>
      </c>
      <c r="C12" t="s">
        <v>0</v>
      </c>
      <c r="D12" t="s">
        <v>143</v>
      </c>
      <c r="E12" t="s">
        <v>123</v>
      </c>
      <c r="F12">
        <v>116</v>
      </c>
      <c r="G12">
        <v>109</v>
      </c>
      <c r="H12">
        <v>131</v>
      </c>
      <c r="I12">
        <v>189</v>
      </c>
      <c r="J12">
        <v>179</v>
      </c>
      <c r="K12">
        <v>196</v>
      </c>
      <c r="L12">
        <v>176</v>
      </c>
      <c r="M12">
        <v>167</v>
      </c>
      <c r="N12">
        <v>174</v>
      </c>
      <c r="O12">
        <v>154</v>
      </c>
      <c r="P12">
        <v>179</v>
      </c>
      <c r="Q12">
        <v>153</v>
      </c>
      <c r="R12">
        <v>161</v>
      </c>
      <c r="S12">
        <v>161</v>
      </c>
      <c r="T12">
        <v>148</v>
      </c>
      <c r="U12">
        <v>93</v>
      </c>
      <c r="V12">
        <v>123</v>
      </c>
      <c r="W12">
        <v>97</v>
      </c>
      <c r="X12">
        <v>107</v>
      </c>
      <c r="Y12">
        <v>116</v>
      </c>
      <c r="Z12">
        <v>166</v>
      </c>
      <c r="AA12">
        <v>192</v>
      </c>
      <c r="AB12">
        <v>192</v>
      </c>
      <c r="AC12">
        <v>238</v>
      </c>
      <c r="AD12">
        <v>229</v>
      </c>
      <c r="AE12">
        <v>248</v>
      </c>
    </row>
    <row r="13" spans="1:31" x14ac:dyDescent="0.3">
      <c r="A13" t="s">
        <v>252</v>
      </c>
      <c r="B13" t="s">
        <v>144</v>
      </c>
      <c r="C13" t="s">
        <v>0</v>
      </c>
      <c r="D13" t="s">
        <v>145</v>
      </c>
      <c r="E13" t="s">
        <v>123</v>
      </c>
      <c r="F13">
        <v>345</v>
      </c>
      <c r="G13">
        <v>321</v>
      </c>
      <c r="H13">
        <v>449</v>
      </c>
      <c r="I13">
        <v>403</v>
      </c>
      <c r="J13">
        <v>261</v>
      </c>
      <c r="K13">
        <v>384</v>
      </c>
      <c r="L13">
        <v>353</v>
      </c>
      <c r="M13">
        <v>525</v>
      </c>
      <c r="N13">
        <v>316</v>
      </c>
      <c r="O13">
        <v>552</v>
      </c>
      <c r="P13">
        <v>289</v>
      </c>
      <c r="Q13">
        <v>234</v>
      </c>
      <c r="R13">
        <v>317</v>
      </c>
      <c r="S13">
        <v>397</v>
      </c>
      <c r="T13">
        <v>420</v>
      </c>
      <c r="U13">
        <v>312</v>
      </c>
      <c r="V13">
        <v>248</v>
      </c>
      <c r="W13">
        <v>517</v>
      </c>
      <c r="X13">
        <v>210</v>
      </c>
      <c r="Y13">
        <v>268</v>
      </c>
      <c r="Z13">
        <v>309</v>
      </c>
      <c r="AA13">
        <v>267</v>
      </c>
      <c r="AB13">
        <v>299</v>
      </c>
      <c r="AC13">
        <v>374</v>
      </c>
      <c r="AD13">
        <v>422</v>
      </c>
      <c r="AE13">
        <v>318</v>
      </c>
    </row>
    <row r="14" spans="1:31" x14ac:dyDescent="0.3">
      <c r="A14" t="s">
        <v>252</v>
      </c>
      <c r="B14" t="s">
        <v>146</v>
      </c>
      <c r="C14" t="s">
        <v>0</v>
      </c>
      <c r="D14" t="s">
        <v>147</v>
      </c>
      <c r="E14" t="s">
        <v>123</v>
      </c>
      <c r="F14">
        <v>233</v>
      </c>
      <c r="G14">
        <v>139</v>
      </c>
      <c r="H14">
        <v>203</v>
      </c>
      <c r="I14">
        <v>264</v>
      </c>
      <c r="J14">
        <v>355</v>
      </c>
      <c r="K14">
        <v>393</v>
      </c>
      <c r="L14">
        <v>419</v>
      </c>
      <c r="M14">
        <v>238</v>
      </c>
      <c r="N14">
        <v>193</v>
      </c>
      <c r="O14">
        <v>199</v>
      </c>
      <c r="P14">
        <v>275</v>
      </c>
      <c r="Q14">
        <v>146</v>
      </c>
      <c r="R14">
        <v>139</v>
      </c>
      <c r="S14">
        <v>66</v>
      </c>
      <c r="T14">
        <v>74</v>
      </c>
      <c r="U14">
        <v>102</v>
      </c>
      <c r="V14">
        <v>97</v>
      </c>
      <c r="W14">
        <v>87</v>
      </c>
      <c r="X14">
        <v>50</v>
      </c>
      <c r="Y14">
        <v>89</v>
      </c>
      <c r="Z14">
        <v>120</v>
      </c>
      <c r="AA14">
        <v>101</v>
      </c>
      <c r="AB14">
        <v>113</v>
      </c>
      <c r="AC14">
        <v>109</v>
      </c>
      <c r="AD14">
        <v>105</v>
      </c>
      <c r="AE14">
        <v>134</v>
      </c>
    </row>
    <row r="15" spans="1:31" x14ac:dyDescent="0.3">
      <c r="A15" t="s">
        <v>252</v>
      </c>
      <c r="B15" t="s">
        <v>148</v>
      </c>
      <c r="C15" t="s">
        <v>0</v>
      </c>
      <c r="D15" t="s">
        <v>149</v>
      </c>
      <c r="E15" t="s">
        <v>123</v>
      </c>
      <c r="F15">
        <v>281</v>
      </c>
      <c r="G15">
        <v>193</v>
      </c>
      <c r="H15">
        <v>264</v>
      </c>
      <c r="I15">
        <v>336</v>
      </c>
      <c r="J15">
        <v>404</v>
      </c>
      <c r="K15">
        <v>444</v>
      </c>
      <c r="L15">
        <v>473</v>
      </c>
      <c r="M15">
        <v>278</v>
      </c>
      <c r="N15">
        <v>241</v>
      </c>
      <c r="O15">
        <v>233</v>
      </c>
      <c r="P15">
        <v>327</v>
      </c>
      <c r="Q15">
        <v>179</v>
      </c>
      <c r="R15">
        <v>183</v>
      </c>
      <c r="S15">
        <v>123</v>
      </c>
      <c r="T15">
        <v>120</v>
      </c>
      <c r="U15">
        <v>146</v>
      </c>
      <c r="V15">
        <v>136</v>
      </c>
      <c r="W15">
        <v>124</v>
      </c>
      <c r="X15">
        <v>91</v>
      </c>
      <c r="Y15">
        <v>114</v>
      </c>
      <c r="Z15">
        <v>175</v>
      </c>
      <c r="AA15">
        <v>188</v>
      </c>
      <c r="AB15">
        <v>167</v>
      </c>
      <c r="AC15">
        <v>160</v>
      </c>
      <c r="AD15">
        <v>162</v>
      </c>
      <c r="AE15">
        <v>174</v>
      </c>
    </row>
    <row r="16" spans="1:31" x14ac:dyDescent="0.3">
      <c r="A16" t="s">
        <v>252</v>
      </c>
      <c r="B16" t="s">
        <v>150</v>
      </c>
      <c r="C16" t="s">
        <v>0</v>
      </c>
      <c r="D16" t="s">
        <v>151</v>
      </c>
      <c r="E16" t="s">
        <v>123</v>
      </c>
      <c r="F16">
        <v>48</v>
      </c>
      <c r="G16">
        <v>54</v>
      </c>
      <c r="H16">
        <v>61</v>
      </c>
      <c r="I16">
        <v>72</v>
      </c>
      <c r="J16">
        <v>49</v>
      </c>
      <c r="K16">
        <v>51</v>
      </c>
      <c r="L16">
        <v>54</v>
      </c>
      <c r="M16">
        <v>40</v>
      </c>
      <c r="N16">
        <v>48</v>
      </c>
      <c r="O16">
        <v>34</v>
      </c>
      <c r="P16">
        <v>52</v>
      </c>
      <c r="Q16">
        <v>33</v>
      </c>
      <c r="R16">
        <v>44</v>
      </c>
      <c r="S16">
        <v>57</v>
      </c>
      <c r="T16">
        <v>46</v>
      </c>
      <c r="U16">
        <v>44</v>
      </c>
      <c r="V16">
        <v>39</v>
      </c>
      <c r="W16">
        <v>37</v>
      </c>
      <c r="X16">
        <v>41</v>
      </c>
      <c r="Y16">
        <v>25</v>
      </c>
      <c r="Z16">
        <v>55</v>
      </c>
      <c r="AA16">
        <v>87</v>
      </c>
      <c r="AB16">
        <v>54</v>
      </c>
      <c r="AC16">
        <v>51</v>
      </c>
      <c r="AD16">
        <v>57</v>
      </c>
      <c r="AE16">
        <v>40</v>
      </c>
    </row>
    <row r="17" spans="1:31" x14ac:dyDescent="0.3">
      <c r="A17" t="s">
        <v>252</v>
      </c>
      <c r="B17" t="s">
        <v>152</v>
      </c>
      <c r="C17" t="s">
        <v>0</v>
      </c>
      <c r="D17" t="s">
        <v>153</v>
      </c>
      <c r="E17" t="s">
        <v>123</v>
      </c>
      <c r="F17">
        <v>115</v>
      </c>
      <c r="G17">
        <v>149</v>
      </c>
      <c r="H17">
        <v>132</v>
      </c>
      <c r="I17">
        <v>130</v>
      </c>
      <c r="J17">
        <v>110</v>
      </c>
      <c r="K17">
        <v>122</v>
      </c>
      <c r="L17">
        <v>115</v>
      </c>
      <c r="M17">
        <v>92</v>
      </c>
      <c r="N17">
        <v>130</v>
      </c>
      <c r="O17">
        <v>77</v>
      </c>
      <c r="P17">
        <v>93</v>
      </c>
      <c r="Q17">
        <v>111</v>
      </c>
      <c r="R17">
        <v>120</v>
      </c>
      <c r="S17">
        <v>177</v>
      </c>
      <c r="T17">
        <v>202</v>
      </c>
      <c r="U17">
        <v>75</v>
      </c>
      <c r="V17">
        <v>114</v>
      </c>
      <c r="W17">
        <v>117</v>
      </c>
      <c r="X17">
        <v>88</v>
      </c>
      <c r="Y17">
        <v>129</v>
      </c>
      <c r="Z17">
        <v>101</v>
      </c>
      <c r="AA17">
        <v>92</v>
      </c>
      <c r="AB17">
        <v>75</v>
      </c>
      <c r="AC17">
        <v>114</v>
      </c>
      <c r="AD17">
        <v>151</v>
      </c>
      <c r="AE17">
        <v>109</v>
      </c>
    </row>
    <row r="18" spans="1:31" x14ac:dyDescent="0.3">
      <c r="A18" t="s">
        <v>252</v>
      </c>
      <c r="B18" t="s">
        <v>154</v>
      </c>
      <c r="C18" t="s">
        <v>0</v>
      </c>
      <c r="D18" t="s">
        <v>155</v>
      </c>
      <c r="E18" t="s">
        <v>123</v>
      </c>
      <c r="F18">
        <v>35</v>
      </c>
      <c r="G18">
        <v>40</v>
      </c>
      <c r="H18">
        <v>39</v>
      </c>
      <c r="I18">
        <v>40</v>
      </c>
      <c r="J18">
        <v>36</v>
      </c>
      <c r="K18">
        <v>27</v>
      </c>
      <c r="L18">
        <v>49</v>
      </c>
      <c r="M18">
        <v>37</v>
      </c>
      <c r="N18">
        <v>37</v>
      </c>
      <c r="O18">
        <v>37</v>
      </c>
      <c r="P18">
        <v>43</v>
      </c>
      <c r="Q18">
        <v>38</v>
      </c>
      <c r="R18">
        <v>36</v>
      </c>
      <c r="S18">
        <v>44</v>
      </c>
      <c r="T18">
        <v>45</v>
      </c>
      <c r="U18">
        <v>43</v>
      </c>
      <c r="V18">
        <v>61</v>
      </c>
      <c r="W18">
        <v>44</v>
      </c>
      <c r="X18">
        <v>111</v>
      </c>
      <c r="Y18">
        <v>40</v>
      </c>
      <c r="Z18">
        <v>33</v>
      </c>
      <c r="AA18">
        <v>49</v>
      </c>
      <c r="AB18">
        <v>113</v>
      </c>
      <c r="AC18">
        <v>149</v>
      </c>
      <c r="AD18">
        <v>73</v>
      </c>
      <c r="AE18">
        <v>73</v>
      </c>
    </row>
    <row r="19" spans="1:31" x14ac:dyDescent="0.3">
      <c r="A19" t="s">
        <v>252</v>
      </c>
      <c r="B19" t="s">
        <v>156</v>
      </c>
      <c r="C19" t="s">
        <v>0</v>
      </c>
      <c r="D19" t="s">
        <v>157</v>
      </c>
      <c r="E19" t="s">
        <v>123</v>
      </c>
      <c r="F19">
        <v>82</v>
      </c>
      <c r="G19">
        <v>77</v>
      </c>
      <c r="H19">
        <v>101</v>
      </c>
      <c r="I19">
        <v>107</v>
      </c>
      <c r="J19">
        <v>109</v>
      </c>
      <c r="K19">
        <v>104</v>
      </c>
      <c r="L19">
        <v>111</v>
      </c>
      <c r="M19">
        <v>122</v>
      </c>
      <c r="N19">
        <v>79</v>
      </c>
      <c r="O19">
        <v>67</v>
      </c>
      <c r="P19">
        <v>82</v>
      </c>
      <c r="Q19">
        <v>83</v>
      </c>
      <c r="R19">
        <v>83</v>
      </c>
      <c r="S19">
        <v>81</v>
      </c>
      <c r="T19">
        <v>44</v>
      </c>
      <c r="U19">
        <v>47</v>
      </c>
      <c r="V19">
        <v>60</v>
      </c>
      <c r="W19">
        <v>41</v>
      </c>
      <c r="X19">
        <v>23</v>
      </c>
      <c r="Y19">
        <v>35</v>
      </c>
      <c r="Z19">
        <v>44</v>
      </c>
      <c r="AA19">
        <v>64</v>
      </c>
      <c r="AB19">
        <v>75</v>
      </c>
      <c r="AC19">
        <v>84</v>
      </c>
      <c r="AD19">
        <v>82</v>
      </c>
      <c r="AE19">
        <v>85</v>
      </c>
    </row>
    <row r="20" spans="1:31" x14ac:dyDescent="0.3">
      <c r="A20" t="s">
        <v>252</v>
      </c>
      <c r="B20" t="s">
        <v>158</v>
      </c>
      <c r="C20" t="s">
        <v>0</v>
      </c>
      <c r="D20" t="s">
        <v>159</v>
      </c>
      <c r="E20" t="s">
        <v>123</v>
      </c>
      <c r="F20">
        <v>206</v>
      </c>
      <c r="G20">
        <v>189</v>
      </c>
      <c r="H20">
        <v>286</v>
      </c>
      <c r="I20">
        <v>179</v>
      </c>
      <c r="J20">
        <v>169</v>
      </c>
      <c r="K20">
        <v>251</v>
      </c>
      <c r="L20">
        <v>232</v>
      </c>
      <c r="M20">
        <v>314</v>
      </c>
      <c r="N20">
        <v>246</v>
      </c>
      <c r="O20">
        <v>304</v>
      </c>
      <c r="P20">
        <v>318</v>
      </c>
      <c r="Q20">
        <v>281</v>
      </c>
      <c r="R20">
        <v>317</v>
      </c>
      <c r="S20">
        <v>481</v>
      </c>
      <c r="T20">
        <v>766</v>
      </c>
      <c r="U20">
        <v>591</v>
      </c>
      <c r="V20">
        <v>506</v>
      </c>
      <c r="W20">
        <v>602</v>
      </c>
      <c r="X20">
        <v>692</v>
      </c>
      <c r="Y20">
        <v>946</v>
      </c>
      <c r="Z20">
        <v>1100</v>
      </c>
      <c r="AA20">
        <v>1292</v>
      </c>
      <c r="AB20">
        <v>1289</v>
      </c>
      <c r="AC20">
        <v>948</v>
      </c>
      <c r="AD20">
        <v>735</v>
      </c>
      <c r="AE20">
        <v>1180</v>
      </c>
    </row>
    <row r="21" spans="1:31" x14ac:dyDescent="0.3">
      <c r="A21" t="s">
        <v>252</v>
      </c>
      <c r="B21" t="s">
        <v>160</v>
      </c>
      <c r="C21" t="s">
        <v>0</v>
      </c>
      <c r="D21" t="s">
        <v>161</v>
      </c>
      <c r="E21" t="s">
        <v>123</v>
      </c>
      <c r="F21">
        <v>241</v>
      </c>
      <c r="G21">
        <v>229</v>
      </c>
      <c r="H21">
        <v>327</v>
      </c>
      <c r="I21">
        <v>215</v>
      </c>
      <c r="J21">
        <v>215</v>
      </c>
      <c r="K21">
        <v>291</v>
      </c>
      <c r="L21">
        <v>269</v>
      </c>
      <c r="M21">
        <v>369</v>
      </c>
      <c r="N21">
        <v>298</v>
      </c>
      <c r="O21">
        <v>339</v>
      </c>
      <c r="P21">
        <v>368</v>
      </c>
      <c r="Q21">
        <v>334</v>
      </c>
      <c r="R21">
        <v>413</v>
      </c>
      <c r="S21">
        <v>554</v>
      </c>
      <c r="T21">
        <v>870</v>
      </c>
      <c r="U21">
        <v>660</v>
      </c>
      <c r="V21">
        <v>600</v>
      </c>
      <c r="W21">
        <v>758</v>
      </c>
      <c r="X21">
        <v>796</v>
      </c>
      <c r="Y21">
        <v>1029</v>
      </c>
      <c r="Z21">
        <v>1192</v>
      </c>
      <c r="AA21">
        <v>1404</v>
      </c>
      <c r="AB21">
        <v>1416</v>
      </c>
      <c r="AC21">
        <v>1065</v>
      </c>
      <c r="AD21">
        <v>840</v>
      </c>
      <c r="AE21">
        <v>1324</v>
      </c>
    </row>
    <row r="22" spans="1:31" x14ac:dyDescent="0.3">
      <c r="A22" t="s">
        <v>252</v>
      </c>
      <c r="B22" t="s">
        <v>162</v>
      </c>
      <c r="C22" t="s">
        <v>0</v>
      </c>
      <c r="D22" t="s">
        <v>163</v>
      </c>
      <c r="E22" t="s">
        <v>123</v>
      </c>
      <c r="F22">
        <v>35</v>
      </c>
      <c r="G22">
        <v>40</v>
      </c>
      <c r="H22">
        <v>41</v>
      </c>
      <c r="I22">
        <v>36</v>
      </c>
      <c r="J22">
        <v>46</v>
      </c>
      <c r="K22">
        <v>40</v>
      </c>
      <c r="L22">
        <v>37</v>
      </c>
      <c r="M22">
        <v>55</v>
      </c>
      <c r="N22">
        <v>52</v>
      </c>
      <c r="O22">
        <v>35</v>
      </c>
      <c r="P22">
        <v>50</v>
      </c>
      <c r="Q22">
        <v>53</v>
      </c>
      <c r="R22">
        <v>96</v>
      </c>
      <c r="S22">
        <v>73</v>
      </c>
      <c r="T22">
        <v>104</v>
      </c>
      <c r="U22">
        <v>69</v>
      </c>
      <c r="V22">
        <v>94</v>
      </c>
      <c r="W22">
        <v>156</v>
      </c>
      <c r="X22">
        <v>104</v>
      </c>
      <c r="Y22">
        <v>83</v>
      </c>
      <c r="Z22">
        <v>92</v>
      </c>
      <c r="AA22">
        <v>112</v>
      </c>
      <c r="AB22">
        <v>127</v>
      </c>
      <c r="AC22">
        <v>117</v>
      </c>
      <c r="AD22">
        <v>105</v>
      </c>
      <c r="AE22">
        <v>144</v>
      </c>
    </row>
    <row r="23" spans="1:31" x14ac:dyDescent="0.3">
      <c r="A23" t="s">
        <v>252</v>
      </c>
      <c r="B23" t="s">
        <v>164</v>
      </c>
      <c r="C23" t="s">
        <v>0</v>
      </c>
      <c r="D23" t="s">
        <v>165</v>
      </c>
      <c r="E23" t="s">
        <v>123</v>
      </c>
      <c r="F23">
        <v>142</v>
      </c>
      <c r="G23">
        <v>160</v>
      </c>
      <c r="H23">
        <v>191</v>
      </c>
      <c r="I23">
        <v>169</v>
      </c>
      <c r="J23">
        <v>251</v>
      </c>
      <c r="K23">
        <v>293</v>
      </c>
      <c r="L23">
        <v>278</v>
      </c>
      <c r="M23">
        <v>280</v>
      </c>
      <c r="N23">
        <v>338</v>
      </c>
      <c r="O23">
        <v>333</v>
      </c>
      <c r="P23">
        <v>392</v>
      </c>
      <c r="Q23">
        <v>424</v>
      </c>
      <c r="R23">
        <v>487</v>
      </c>
      <c r="S23">
        <v>538</v>
      </c>
      <c r="T23">
        <v>373</v>
      </c>
      <c r="U23">
        <v>310</v>
      </c>
      <c r="V23">
        <v>455</v>
      </c>
      <c r="W23">
        <v>475</v>
      </c>
      <c r="X23">
        <v>461</v>
      </c>
      <c r="Y23">
        <v>449</v>
      </c>
      <c r="Z23">
        <v>432</v>
      </c>
      <c r="AA23">
        <v>566</v>
      </c>
      <c r="AB23">
        <v>635</v>
      </c>
      <c r="AC23">
        <v>757</v>
      </c>
      <c r="AD23">
        <v>851</v>
      </c>
      <c r="AE23">
        <v>848</v>
      </c>
    </row>
    <row r="24" spans="1:31" x14ac:dyDescent="0.3">
      <c r="A24" t="s">
        <v>252</v>
      </c>
      <c r="B24" t="s">
        <v>166</v>
      </c>
      <c r="C24" t="s">
        <v>0</v>
      </c>
      <c r="D24" t="s">
        <v>167</v>
      </c>
      <c r="E24" t="s">
        <v>123</v>
      </c>
      <c r="F24">
        <v>246</v>
      </c>
      <c r="G24">
        <v>280</v>
      </c>
      <c r="H24">
        <v>436</v>
      </c>
      <c r="I24">
        <v>435</v>
      </c>
      <c r="J24">
        <v>436</v>
      </c>
      <c r="K24">
        <v>422</v>
      </c>
      <c r="L24">
        <v>435</v>
      </c>
      <c r="M24">
        <v>431</v>
      </c>
      <c r="N24">
        <v>433</v>
      </c>
      <c r="O24">
        <v>333</v>
      </c>
      <c r="P24">
        <v>357</v>
      </c>
      <c r="Q24">
        <v>313</v>
      </c>
      <c r="R24">
        <v>441</v>
      </c>
      <c r="S24">
        <v>476</v>
      </c>
      <c r="T24">
        <v>465</v>
      </c>
      <c r="U24">
        <v>373</v>
      </c>
      <c r="V24">
        <v>549</v>
      </c>
      <c r="W24">
        <v>672</v>
      </c>
      <c r="X24">
        <v>530</v>
      </c>
      <c r="Y24">
        <v>623</v>
      </c>
      <c r="Z24">
        <v>482</v>
      </c>
      <c r="AA24">
        <v>770</v>
      </c>
      <c r="AB24">
        <v>801</v>
      </c>
      <c r="AC24">
        <v>893</v>
      </c>
      <c r="AD24">
        <v>846</v>
      </c>
      <c r="AE24">
        <v>822</v>
      </c>
    </row>
    <row r="25" spans="1:31" x14ac:dyDescent="0.3">
      <c r="A25" t="s">
        <v>252</v>
      </c>
      <c r="B25" t="s">
        <v>168</v>
      </c>
      <c r="C25" t="s">
        <v>0</v>
      </c>
      <c r="D25" t="s">
        <v>169</v>
      </c>
      <c r="E25" t="s">
        <v>123</v>
      </c>
      <c r="F25">
        <v>34</v>
      </c>
      <c r="G25">
        <v>36</v>
      </c>
      <c r="H25">
        <v>59</v>
      </c>
      <c r="I25">
        <v>68</v>
      </c>
      <c r="J25">
        <v>64</v>
      </c>
      <c r="K25">
        <v>59</v>
      </c>
      <c r="L25">
        <v>61</v>
      </c>
      <c r="M25">
        <v>60</v>
      </c>
      <c r="N25">
        <v>58</v>
      </c>
      <c r="O25">
        <v>54</v>
      </c>
      <c r="P25">
        <v>43</v>
      </c>
      <c r="Q25">
        <v>58</v>
      </c>
      <c r="R25">
        <v>42</v>
      </c>
      <c r="S25">
        <v>38</v>
      </c>
      <c r="T25">
        <v>60</v>
      </c>
      <c r="U25">
        <v>67</v>
      </c>
      <c r="V25">
        <v>114</v>
      </c>
      <c r="W25">
        <v>85</v>
      </c>
      <c r="X25">
        <v>65</v>
      </c>
      <c r="Y25">
        <v>88</v>
      </c>
      <c r="Z25">
        <v>64</v>
      </c>
      <c r="AA25">
        <v>120</v>
      </c>
      <c r="AB25">
        <v>93</v>
      </c>
      <c r="AC25">
        <v>112</v>
      </c>
      <c r="AD25">
        <v>127</v>
      </c>
      <c r="AE25">
        <v>132</v>
      </c>
    </row>
    <row r="26" spans="1:31" x14ac:dyDescent="0.3">
      <c r="A26" t="s">
        <v>252</v>
      </c>
      <c r="B26" t="s">
        <v>170</v>
      </c>
      <c r="C26" t="s">
        <v>0</v>
      </c>
      <c r="D26" t="s">
        <v>171</v>
      </c>
      <c r="E26" t="s">
        <v>123</v>
      </c>
      <c r="F26">
        <v>91</v>
      </c>
      <c r="G26">
        <v>117</v>
      </c>
      <c r="H26">
        <v>211</v>
      </c>
      <c r="I26">
        <v>178</v>
      </c>
      <c r="J26">
        <v>161</v>
      </c>
      <c r="K26">
        <v>172</v>
      </c>
      <c r="L26">
        <v>177</v>
      </c>
      <c r="M26">
        <v>180</v>
      </c>
      <c r="N26">
        <v>160</v>
      </c>
      <c r="O26">
        <v>118</v>
      </c>
      <c r="P26">
        <v>129</v>
      </c>
      <c r="Q26">
        <v>91</v>
      </c>
      <c r="R26">
        <v>217</v>
      </c>
      <c r="S26">
        <v>251</v>
      </c>
      <c r="T26">
        <v>206</v>
      </c>
      <c r="U26">
        <v>153</v>
      </c>
      <c r="V26">
        <v>236</v>
      </c>
      <c r="W26">
        <v>296</v>
      </c>
      <c r="X26">
        <v>241</v>
      </c>
      <c r="Y26">
        <v>291</v>
      </c>
      <c r="Z26">
        <v>198</v>
      </c>
      <c r="AA26">
        <v>357</v>
      </c>
      <c r="AB26">
        <v>433</v>
      </c>
      <c r="AC26">
        <v>462</v>
      </c>
      <c r="AD26">
        <v>408</v>
      </c>
      <c r="AE26">
        <v>363</v>
      </c>
    </row>
    <row r="27" spans="1:31" x14ac:dyDescent="0.3">
      <c r="A27" t="s">
        <v>252</v>
      </c>
      <c r="B27" t="s">
        <v>172</v>
      </c>
      <c r="C27" t="s">
        <v>0</v>
      </c>
      <c r="D27" t="s">
        <v>173</v>
      </c>
      <c r="E27" t="s">
        <v>123</v>
      </c>
      <c r="F27">
        <v>121</v>
      </c>
      <c r="G27">
        <v>127</v>
      </c>
      <c r="H27">
        <v>166</v>
      </c>
      <c r="I27">
        <v>189</v>
      </c>
      <c r="J27">
        <v>211</v>
      </c>
      <c r="K27">
        <v>191</v>
      </c>
      <c r="L27">
        <v>197</v>
      </c>
      <c r="M27">
        <v>191</v>
      </c>
      <c r="N27">
        <v>215</v>
      </c>
      <c r="O27">
        <v>161</v>
      </c>
      <c r="P27">
        <v>185</v>
      </c>
      <c r="Q27">
        <v>164</v>
      </c>
      <c r="R27">
        <v>182</v>
      </c>
      <c r="S27">
        <v>187</v>
      </c>
      <c r="T27">
        <v>199</v>
      </c>
      <c r="U27">
        <v>153</v>
      </c>
      <c r="V27">
        <v>199</v>
      </c>
      <c r="W27">
        <v>291</v>
      </c>
      <c r="X27">
        <v>224</v>
      </c>
      <c r="Y27">
        <v>244</v>
      </c>
      <c r="Z27">
        <v>220</v>
      </c>
      <c r="AA27">
        <v>293</v>
      </c>
      <c r="AB27">
        <v>275</v>
      </c>
      <c r="AC27">
        <v>319</v>
      </c>
      <c r="AD27">
        <v>311</v>
      </c>
      <c r="AE27">
        <v>327</v>
      </c>
    </row>
    <row r="28" spans="1:31" x14ac:dyDescent="0.3">
      <c r="A28" t="s">
        <v>252</v>
      </c>
      <c r="B28" t="s">
        <v>174</v>
      </c>
      <c r="C28" t="s">
        <v>0</v>
      </c>
      <c r="D28" t="s">
        <v>175</v>
      </c>
      <c r="E28" t="s">
        <v>123</v>
      </c>
      <c r="F28">
        <v>158</v>
      </c>
      <c r="G28">
        <v>165</v>
      </c>
      <c r="H28">
        <v>186</v>
      </c>
      <c r="I28">
        <v>240</v>
      </c>
      <c r="J28">
        <v>196</v>
      </c>
      <c r="K28">
        <v>201</v>
      </c>
      <c r="L28">
        <v>205</v>
      </c>
      <c r="M28">
        <v>229</v>
      </c>
      <c r="N28">
        <v>267</v>
      </c>
      <c r="O28">
        <v>222</v>
      </c>
      <c r="P28">
        <v>202</v>
      </c>
      <c r="Q28">
        <v>169</v>
      </c>
      <c r="R28">
        <v>182</v>
      </c>
      <c r="S28">
        <v>181</v>
      </c>
      <c r="T28">
        <v>240</v>
      </c>
      <c r="U28">
        <v>205</v>
      </c>
      <c r="V28">
        <v>263</v>
      </c>
      <c r="W28">
        <v>192</v>
      </c>
      <c r="X28">
        <v>156</v>
      </c>
      <c r="Y28">
        <v>253</v>
      </c>
      <c r="Z28">
        <v>185</v>
      </c>
      <c r="AA28">
        <v>269</v>
      </c>
      <c r="AB28">
        <v>210</v>
      </c>
      <c r="AC28">
        <v>247</v>
      </c>
      <c r="AD28">
        <v>321</v>
      </c>
      <c r="AE28">
        <v>268</v>
      </c>
    </row>
    <row r="29" spans="1:31" x14ac:dyDescent="0.3">
      <c r="A29" t="s">
        <v>252</v>
      </c>
      <c r="B29" t="s">
        <v>176</v>
      </c>
      <c r="C29" t="s">
        <v>0</v>
      </c>
      <c r="D29" t="s">
        <v>177</v>
      </c>
      <c r="E29" t="s">
        <v>123</v>
      </c>
      <c r="F29">
        <v>90</v>
      </c>
      <c r="G29">
        <v>93</v>
      </c>
      <c r="H29">
        <v>108</v>
      </c>
      <c r="I29">
        <v>147</v>
      </c>
      <c r="J29">
        <v>94</v>
      </c>
      <c r="K29">
        <v>103</v>
      </c>
      <c r="L29">
        <v>106</v>
      </c>
      <c r="M29">
        <v>125</v>
      </c>
      <c r="N29">
        <v>153</v>
      </c>
      <c r="O29">
        <v>136</v>
      </c>
      <c r="P29">
        <v>116</v>
      </c>
      <c r="Q29">
        <v>82</v>
      </c>
      <c r="R29">
        <v>74</v>
      </c>
      <c r="S29">
        <v>96</v>
      </c>
      <c r="T29">
        <v>84</v>
      </c>
      <c r="U29">
        <v>81</v>
      </c>
      <c r="V29">
        <v>108</v>
      </c>
      <c r="W29">
        <v>75</v>
      </c>
      <c r="X29">
        <v>64</v>
      </c>
      <c r="Y29">
        <v>95</v>
      </c>
      <c r="Z29">
        <v>32</v>
      </c>
      <c r="AA29">
        <v>70</v>
      </c>
      <c r="AB29">
        <v>67</v>
      </c>
      <c r="AC29">
        <v>72</v>
      </c>
      <c r="AD29">
        <v>107</v>
      </c>
      <c r="AE29">
        <v>78</v>
      </c>
    </row>
    <row r="30" spans="1:31" x14ac:dyDescent="0.3">
      <c r="A30" t="s">
        <v>252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  <c r="M30">
        <v>7</v>
      </c>
      <c r="N30">
        <v>7</v>
      </c>
      <c r="O30">
        <v>8</v>
      </c>
      <c r="P30">
        <v>10</v>
      </c>
      <c r="Q30">
        <v>20</v>
      </c>
      <c r="R30">
        <v>19</v>
      </c>
      <c r="S30">
        <v>16</v>
      </c>
      <c r="T30">
        <v>7</v>
      </c>
      <c r="U30">
        <v>4</v>
      </c>
      <c r="V30">
        <v>26</v>
      </c>
      <c r="W30">
        <v>29</v>
      </c>
      <c r="X30">
        <v>24</v>
      </c>
      <c r="Y30">
        <v>10</v>
      </c>
      <c r="Z30">
        <v>18</v>
      </c>
      <c r="AA30">
        <v>21</v>
      </c>
      <c r="AB30">
        <v>8</v>
      </c>
      <c r="AC30">
        <v>23</v>
      </c>
      <c r="AD30">
        <v>24</v>
      </c>
      <c r="AE30">
        <v>13</v>
      </c>
    </row>
    <row r="31" spans="1:31" x14ac:dyDescent="0.3">
      <c r="A31" t="s">
        <v>252</v>
      </c>
      <c r="B31" t="s">
        <v>180</v>
      </c>
      <c r="C31" t="s">
        <v>0</v>
      </c>
      <c r="D31" t="s">
        <v>181</v>
      </c>
      <c r="E31" t="s">
        <v>123</v>
      </c>
      <c r="F31">
        <v>8</v>
      </c>
      <c r="G31">
        <v>10</v>
      </c>
      <c r="H31">
        <v>10</v>
      </c>
      <c r="I31">
        <v>16</v>
      </c>
      <c r="J31">
        <v>14</v>
      </c>
      <c r="K31">
        <v>7</v>
      </c>
      <c r="L31">
        <v>13</v>
      </c>
      <c r="M31">
        <v>5</v>
      </c>
      <c r="N31">
        <v>5</v>
      </c>
      <c r="O31">
        <v>6</v>
      </c>
      <c r="P31">
        <v>8</v>
      </c>
      <c r="Q31">
        <v>11</v>
      </c>
      <c r="R31">
        <v>12</v>
      </c>
      <c r="S31">
        <v>12</v>
      </c>
      <c r="T31">
        <v>14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2</v>
      </c>
      <c r="AB31">
        <v>4</v>
      </c>
      <c r="AC31">
        <v>4</v>
      </c>
      <c r="AD31">
        <v>5</v>
      </c>
      <c r="AE31">
        <v>4</v>
      </c>
    </row>
    <row r="32" spans="1:31" x14ac:dyDescent="0.3">
      <c r="A32" t="s">
        <v>252</v>
      </c>
      <c r="B32" t="s">
        <v>182</v>
      </c>
      <c r="C32" t="s">
        <v>0</v>
      </c>
      <c r="D32" t="s">
        <v>183</v>
      </c>
      <c r="E32" t="s">
        <v>123</v>
      </c>
      <c r="F32">
        <v>54</v>
      </c>
      <c r="G32">
        <v>53</v>
      </c>
      <c r="H32">
        <v>50</v>
      </c>
      <c r="I32">
        <v>58</v>
      </c>
      <c r="J32">
        <v>63</v>
      </c>
      <c r="K32">
        <v>65</v>
      </c>
      <c r="L32">
        <v>55</v>
      </c>
      <c r="M32">
        <v>65</v>
      </c>
      <c r="N32">
        <v>84</v>
      </c>
      <c r="O32">
        <v>68</v>
      </c>
      <c r="P32">
        <v>67</v>
      </c>
      <c r="Q32">
        <v>55</v>
      </c>
      <c r="R32">
        <v>75</v>
      </c>
      <c r="S32">
        <v>55</v>
      </c>
      <c r="T32">
        <v>131</v>
      </c>
      <c r="U32">
        <v>114</v>
      </c>
      <c r="V32">
        <v>126</v>
      </c>
      <c r="W32">
        <v>86</v>
      </c>
      <c r="X32">
        <v>62</v>
      </c>
      <c r="Y32">
        <v>140</v>
      </c>
      <c r="Z32">
        <v>125</v>
      </c>
      <c r="AA32">
        <v>165</v>
      </c>
      <c r="AB32">
        <v>121</v>
      </c>
      <c r="AC32">
        <v>136</v>
      </c>
      <c r="AD32">
        <v>175</v>
      </c>
      <c r="AE32">
        <v>162</v>
      </c>
    </row>
    <row r="33" spans="1:31" x14ac:dyDescent="0.3">
      <c r="A33" t="s">
        <v>252</v>
      </c>
      <c r="B33" t="s">
        <v>184</v>
      </c>
      <c r="C33" t="s">
        <v>0</v>
      </c>
      <c r="D33" t="s">
        <v>185</v>
      </c>
      <c r="E33" t="s">
        <v>123</v>
      </c>
      <c r="F33">
        <v>6</v>
      </c>
      <c r="G33">
        <v>9</v>
      </c>
      <c r="H33">
        <v>18</v>
      </c>
      <c r="I33">
        <v>19</v>
      </c>
      <c r="J33">
        <v>25</v>
      </c>
      <c r="K33">
        <v>26</v>
      </c>
      <c r="L33">
        <v>24</v>
      </c>
      <c r="M33">
        <v>27</v>
      </c>
      <c r="N33">
        <v>18</v>
      </c>
      <c r="O33">
        <v>4</v>
      </c>
      <c r="P33">
        <v>1</v>
      </c>
      <c r="Q33">
        <v>1</v>
      </c>
      <c r="R33">
        <v>2</v>
      </c>
      <c r="S33">
        <v>2</v>
      </c>
      <c r="T33">
        <v>4</v>
      </c>
      <c r="U33">
        <v>5</v>
      </c>
      <c r="V33">
        <v>2</v>
      </c>
      <c r="W33">
        <v>2</v>
      </c>
      <c r="X33">
        <v>5</v>
      </c>
      <c r="Y33">
        <v>7</v>
      </c>
      <c r="Z33">
        <v>9</v>
      </c>
      <c r="AA33">
        <v>11</v>
      </c>
      <c r="AB33">
        <v>10</v>
      </c>
      <c r="AC33">
        <v>12</v>
      </c>
      <c r="AD33">
        <v>10</v>
      </c>
      <c r="AE33">
        <v>11</v>
      </c>
    </row>
    <row r="34" spans="1:31" x14ac:dyDescent="0.3">
      <c r="A34" t="s">
        <v>252</v>
      </c>
      <c r="B34" t="s">
        <v>186</v>
      </c>
      <c r="C34" t="s">
        <v>0</v>
      </c>
      <c r="D34" t="s">
        <v>187</v>
      </c>
      <c r="E34" t="s">
        <v>123</v>
      </c>
      <c r="F34">
        <v>36</v>
      </c>
      <c r="G34">
        <v>46</v>
      </c>
      <c r="H34">
        <v>66</v>
      </c>
      <c r="I34">
        <v>85</v>
      </c>
      <c r="J34">
        <v>68</v>
      </c>
      <c r="K34">
        <v>70</v>
      </c>
      <c r="L34">
        <v>66</v>
      </c>
      <c r="M34">
        <v>66</v>
      </c>
      <c r="N34">
        <v>75</v>
      </c>
      <c r="O34">
        <v>63</v>
      </c>
      <c r="P34">
        <v>74</v>
      </c>
      <c r="Q34">
        <v>91</v>
      </c>
      <c r="R34">
        <v>88</v>
      </c>
      <c r="S34">
        <v>97</v>
      </c>
      <c r="T34">
        <v>79</v>
      </c>
      <c r="U34">
        <v>60</v>
      </c>
      <c r="V34">
        <v>85</v>
      </c>
      <c r="W34">
        <v>97</v>
      </c>
      <c r="X34">
        <v>82</v>
      </c>
      <c r="Y34">
        <v>92</v>
      </c>
      <c r="Z34">
        <v>96</v>
      </c>
      <c r="AA34">
        <v>131</v>
      </c>
      <c r="AB34">
        <v>118</v>
      </c>
      <c r="AC34">
        <v>161</v>
      </c>
      <c r="AD34">
        <v>162</v>
      </c>
      <c r="AE34">
        <v>145</v>
      </c>
    </row>
    <row r="35" spans="1:31" x14ac:dyDescent="0.3">
      <c r="A35" t="s">
        <v>252</v>
      </c>
      <c r="B35" t="s">
        <v>188</v>
      </c>
      <c r="C35" t="s">
        <v>0</v>
      </c>
      <c r="D35" t="s">
        <v>189</v>
      </c>
      <c r="E35" t="s">
        <v>123</v>
      </c>
      <c r="F35">
        <v>152</v>
      </c>
      <c r="G35">
        <v>187</v>
      </c>
      <c r="H35">
        <v>259</v>
      </c>
      <c r="I35">
        <v>252</v>
      </c>
      <c r="J35">
        <v>240</v>
      </c>
      <c r="K35">
        <v>347</v>
      </c>
      <c r="L35">
        <v>408</v>
      </c>
      <c r="M35">
        <v>369</v>
      </c>
      <c r="N35">
        <v>204</v>
      </c>
      <c r="O35">
        <v>210</v>
      </c>
      <c r="P35">
        <v>197</v>
      </c>
      <c r="Q35">
        <v>167</v>
      </c>
      <c r="R35">
        <v>168</v>
      </c>
      <c r="S35">
        <v>213</v>
      </c>
      <c r="T35">
        <v>194</v>
      </c>
      <c r="U35">
        <v>227</v>
      </c>
      <c r="V35">
        <v>263</v>
      </c>
      <c r="W35">
        <v>319</v>
      </c>
      <c r="X35">
        <v>279</v>
      </c>
      <c r="Y35">
        <v>270</v>
      </c>
      <c r="Z35">
        <v>278</v>
      </c>
      <c r="AA35">
        <v>310</v>
      </c>
      <c r="AB35">
        <v>278</v>
      </c>
      <c r="AC35">
        <v>313</v>
      </c>
      <c r="AD35">
        <v>296</v>
      </c>
      <c r="AE35">
        <v>380</v>
      </c>
    </row>
    <row r="36" spans="1:31" x14ac:dyDescent="0.3">
      <c r="A36" t="s">
        <v>252</v>
      </c>
      <c r="B36" t="s">
        <v>190</v>
      </c>
      <c r="C36" t="s">
        <v>0</v>
      </c>
      <c r="D36" t="s">
        <v>191</v>
      </c>
      <c r="E36" t="s">
        <v>123</v>
      </c>
      <c r="F36">
        <v>32</v>
      </c>
      <c r="G36">
        <v>43</v>
      </c>
      <c r="H36">
        <v>75</v>
      </c>
      <c r="I36">
        <v>62</v>
      </c>
      <c r="J36">
        <v>14</v>
      </c>
      <c r="K36">
        <v>57</v>
      </c>
      <c r="L36">
        <v>56</v>
      </c>
      <c r="M36">
        <v>44</v>
      </c>
      <c r="N36">
        <v>38</v>
      </c>
      <c r="O36">
        <v>29</v>
      </c>
      <c r="P36">
        <v>39</v>
      </c>
      <c r="Q36">
        <v>27</v>
      </c>
      <c r="R36">
        <v>24</v>
      </c>
      <c r="S36">
        <v>24</v>
      </c>
      <c r="T36">
        <v>28</v>
      </c>
      <c r="U36">
        <v>45</v>
      </c>
      <c r="V36">
        <v>38</v>
      </c>
      <c r="W36">
        <v>55</v>
      </c>
      <c r="X36">
        <v>40</v>
      </c>
      <c r="Y36">
        <v>39</v>
      </c>
      <c r="Z36">
        <v>46</v>
      </c>
      <c r="AA36">
        <v>48</v>
      </c>
      <c r="AB36">
        <v>49</v>
      </c>
      <c r="AC36">
        <v>32</v>
      </c>
      <c r="AD36">
        <v>22</v>
      </c>
      <c r="AE36">
        <v>15</v>
      </c>
    </row>
    <row r="37" spans="1:31" x14ac:dyDescent="0.3">
      <c r="A37" t="s">
        <v>252</v>
      </c>
      <c r="B37" t="s">
        <v>192</v>
      </c>
      <c r="C37" t="s">
        <v>0</v>
      </c>
      <c r="D37" t="s">
        <v>193</v>
      </c>
      <c r="E37" t="s">
        <v>123</v>
      </c>
      <c r="F37">
        <v>91</v>
      </c>
      <c r="G37">
        <v>119</v>
      </c>
      <c r="H37">
        <v>141</v>
      </c>
      <c r="I37">
        <v>131</v>
      </c>
      <c r="J37">
        <v>149</v>
      </c>
      <c r="K37">
        <v>200</v>
      </c>
      <c r="L37">
        <v>214</v>
      </c>
      <c r="M37">
        <v>233</v>
      </c>
      <c r="N37">
        <v>87</v>
      </c>
      <c r="O37">
        <v>118</v>
      </c>
      <c r="P37">
        <v>86</v>
      </c>
      <c r="Q37">
        <v>77</v>
      </c>
      <c r="R37">
        <v>79</v>
      </c>
      <c r="S37">
        <v>140</v>
      </c>
      <c r="T37">
        <v>141</v>
      </c>
      <c r="U37">
        <v>135</v>
      </c>
      <c r="V37">
        <v>170</v>
      </c>
      <c r="W37">
        <v>162</v>
      </c>
      <c r="X37">
        <v>150</v>
      </c>
      <c r="Y37">
        <v>153</v>
      </c>
      <c r="Z37">
        <v>141</v>
      </c>
      <c r="AA37">
        <v>185</v>
      </c>
      <c r="AB37">
        <v>178</v>
      </c>
      <c r="AC37">
        <v>184</v>
      </c>
      <c r="AD37">
        <v>194</v>
      </c>
      <c r="AE37">
        <v>269</v>
      </c>
    </row>
    <row r="38" spans="1:31" x14ac:dyDescent="0.3">
      <c r="A38" t="s">
        <v>252</v>
      </c>
      <c r="B38" t="s">
        <v>194</v>
      </c>
      <c r="C38" t="s">
        <v>0</v>
      </c>
      <c r="D38" t="s">
        <v>195</v>
      </c>
      <c r="E38" t="s">
        <v>123</v>
      </c>
      <c r="F38">
        <v>29</v>
      </c>
      <c r="G38">
        <v>25</v>
      </c>
      <c r="H38">
        <v>43</v>
      </c>
      <c r="I38">
        <v>59</v>
      </c>
      <c r="J38">
        <v>77</v>
      </c>
      <c r="K38">
        <v>90</v>
      </c>
      <c r="L38">
        <v>138</v>
      </c>
      <c r="M38">
        <v>92</v>
      </c>
      <c r="N38">
        <v>79</v>
      </c>
      <c r="O38">
        <v>63</v>
      </c>
      <c r="P38">
        <v>72</v>
      </c>
      <c r="Q38">
        <v>63</v>
      </c>
      <c r="R38">
        <v>65</v>
      </c>
      <c r="S38">
        <v>49</v>
      </c>
      <c r="T38">
        <v>25</v>
      </c>
      <c r="U38">
        <v>47</v>
      </c>
      <c r="V38">
        <v>55</v>
      </c>
      <c r="W38">
        <v>102</v>
      </c>
      <c r="X38">
        <v>89</v>
      </c>
      <c r="Y38">
        <v>78</v>
      </c>
      <c r="Z38">
        <v>91</v>
      </c>
      <c r="AA38">
        <v>77</v>
      </c>
      <c r="AB38">
        <v>51</v>
      </c>
      <c r="AC38">
        <v>97</v>
      </c>
      <c r="AD38">
        <v>80</v>
      </c>
      <c r="AE38">
        <v>96</v>
      </c>
    </row>
    <row r="39" spans="1:31" x14ac:dyDescent="0.3">
      <c r="A39" t="s">
        <v>252</v>
      </c>
      <c r="B39" t="s">
        <v>196</v>
      </c>
      <c r="C39" t="s">
        <v>0</v>
      </c>
      <c r="D39" t="s">
        <v>197</v>
      </c>
      <c r="E39" t="s">
        <v>123</v>
      </c>
      <c r="F39">
        <v>10</v>
      </c>
      <c r="G39">
        <v>38</v>
      </c>
      <c r="H39">
        <v>5</v>
      </c>
      <c r="I39">
        <v>11</v>
      </c>
      <c r="J39">
        <v>14</v>
      </c>
      <c r="K39">
        <v>10</v>
      </c>
      <c r="L39">
        <v>6</v>
      </c>
      <c r="M39">
        <v>115</v>
      </c>
      <c r="N39">
        <v>10</v>
      </c>
      <c r="O39">
        <v>4</v>
      </c>
      <c r="P39">
        <v>9</v>
      </c>
      <c r="Q39">
        <v>60</v>
      </c>
      <c r="R39">
        <v>33</v>
      </c>
      <c r="S39">
        <v>41</v>
      </c>
      <c r="T39">
        <v>26</v>
      </c>
      <c r="U39">
        <v>-55</v>
      </c>
      <c r="V39">
        <v>-32</v>
      </c>
      <c r="W39">
        <v>23</v>
      </c>
      <c r="X39">
        <v>19</v>
      </c>
      <c r="Y39">
        <v>10</v>
      </c>
      <c r="Z39">
        <v>9</v>
      </c>
      <c r="AA39">
        <v>9</v>
      </c>
      <c r="AB39">
        <v>57</v>
      </c>
      <c r="AC39">
        <v>34</v>
      </c>
      <c r="AD39">
        <v>53</v>
      </c>
      <c r="AE39">
        <v>42</v>
      </c>
    </row>
    <row r="40" spans="1:31" x14ac:dyDescent="0.3">
      <c r="A40" t="s">
        <v>252</v>
      </c>
      <c r="B40" t="s">
        <v>198</v>
      </c>
      <c r="C40" t="s">
        <v>0</v>
      </c>
      <c r="D40" t="s">
        <v>199</v>
      </c>
      <c r="E40" t="s">
        <v>123</v>
      </c>
      <c r="F40">
        <v>24</v>
      </c>
      <c r="G40">
        <v>28</v>
      </c>
      <c r="H40">
        <v>33</v>
      </c>
      <c r="I40">
        <v>19</v>
      </c>
      <c r="J40">
        <v>22</v>
      </c>
      <c r="K40">
        <v>54</v>
      </c>
      <c r="L40">
        <v>40</v>
      </c>
      <c r="M40">
        <v>64</v>
      </c>
      <c r="N40">
        <v>102</v>
      </c>
      <c r="O40">
        <v>78</v>
      </c>
      <c r="P40">
        <v>113</v>
      </c>
      <c r="Q40">
        <v>113</v>
      </c>
      <c r="R40">
        <v>85</v>
      </c>
      <c r="S40">
        <v>155</v>
      </c>
      <c r="T40">
        <v>151</v>
      </c>
      <c r="U40">
        <v>80</v>
      </c>
      <c r="V40">
        <v>76</v>
      </c>
      <c r="W40">
        <v>83</v>
      </c>
      <c r="X40">
        <v>95</v>
      </c>
      <c r="Y40">
        <v>103</v>
      </c>
      <c r="Z40">
        <v>117</v>
      </c>
      <c r="AA40">
        <v>132</v>
      </c>
      <c r="AB40">
        <v>164</v>
      </c>
      <c r="AC40">
        <v>294</v>
      </c>
      <c r="AD40">
        <v>259</v>
      </c>
      <c r="AE40">
        <v>238</v>
      </c>
    </row>
    <row r="41" spans="1:31" x14ac:dyDescent="0.3">
      <c r="A41" t="s">
        <v>252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252</v>
      </c>
      <c r="B42" t="s">
        <v>202</v>
      </c>
      <c r="C42" t="s">
        <v>0</v>
      </c>
      <c r="D42" t="s">
        <v>203</v>
      </c>
      <c r="E42" t="s">
        <v>123</v>
      </c>
      <c r="F42">
        <v>103</v>
      </c>
      <c r="G42">
        <v>112</v>
      </c>
      <c r="H42">
        <v>134</v>
      </c>
      <c r="I42">
        <v>147</v>
      </c>
      <c r="J42">
        <v>149</v>
      </c>
      <c r="K42">
        <v>156</v>
      </c>
      <c r="L42">
        <v>155</v>
      </c>
      <c r="M42">
        <v>178</v>
      </c>
      <c r="N42">
        <v>160</v>
      </c>
      <c r="O42">
        <v>168</v>
      </c>
      <c r="P42">
        <v>153</v>
      </c>
      <c r="Q42">
        <v>125</v>
      </c>
      <c r="R42">
        <v>210</v>
      </c>
      <c r="S42">
        <v>154</v>
      </c>
      <c r="T42">
        <v>104</v>
      </c>
      <c r="U42">
        <v>155</v>
      </c>
      <c r="V42">
        <v>183</v>
      </c>
      <c r="W42">
        <v>208</v>
      </c>
      <c r="X42">
        <v>176</v>
      </c>
      <c r="Y42">
        <v>198</v>
      </c>
      <c r="Z42">
        <v>181</v>
      </c>
      <c r="AA42">
        <v>182</v>
      </c>
      <c r="AB42">
        <v>198</v>
      </c>
      <c r="AC42">
        <v>236</v>
      </c>
      <c r="AD42">
        <v>275</v>
      </c>
      <c r="AE42">
        <v>263</v>
      </c>
    </row>
    <row r="43" spans="1:31" x14ac:dyDescent="0.3">
      <c r="A43" t="s">
        <v>252</v>
      </c>
      <c r="B43" t="s">
        <v>204</v>
      </c>
      <c r="C43" t="s">
        <v>0</v>
      </c>
      <c r="D43" t="s">
        <v>205</v>
      </c>
      <c r="E43" t="s">
        <v>123</v>
      </c>
      <c r="F43">
        <v>193</v>
      </c>
      <c r="G43">
        <v>260</v>
      </c>
      <c r="H43">
        <v>247</v>
      </c>
      <c r="I43">
        <v>285</v>
      </c>
      <c r="J43">
        <v>297</v>
      </c>
      <c r="K43">
        <v>359</v>
      </c>
      <c r="L43">
        <v>311</v>
      </c>
      <c r="M43">
        <v>391</v>
      </c>
      <c r="N43">
        <v>364</v>
      </c>
      <c r="O43">
        <v>352</v>
      </c>
      <c r="P43">
        <v>357</v>
      </c>
      <c r="Q43">
        <v>317</v>
      </c>
      <c r="R43">
        <v>420</v>
      </c>
      <c r="S43">
        <v>450</v>
      </c>
      <c r="T43">
        <v>288</v>
      </c>
      <c r="U43">
        <v>314</v>
      </c>
      <c r="V43">
        <v>401</v>
      </c>
      <c r="W43">
        <v>441</v>
      </c>
      <c r="X43">
        <v>400</v>
      </c>
      <c r="Y43">
        <v>478</v>
      </c>
      <c r="Z43">
        <v>367</v>
      </c>
      <c r="AA43">
        <v>437</v>
      </c>
      <c r="AB43">
        <v>452</v>
      </c>
      <c r="AC43">
        <v>565</v>
      </c>
      <c r="AD43">
        <v>643</v>
      </c>
      <c r="AE43">
        <v>591</v>
      </c>
    </row>
    <row r="44" spans="1:31" x14ac:dyDescent="0.3">
      <c r="A44" t="s">
        <v>252</v>
      </c>
      <c r="B44" t="s">
        <v>206</v>
      </c>
      <c r="C44" t="s">
        <v>0</v>
      </c>
      <c r="D44" t="s">
        <v>207</v>
      </c>
      <c r="E44" t="s">
        <v>123</v>
      </c>
      <c r="F44">
        <v>3730</v>
      </c>
      <c r="G44">
        <v>4213</v>
      </c>
      <c r="H44">
        <v>4720</v>
      </c>
      <c r="I44">
        <v>4894</v>
      </c>
      <c r="J44">
        <v>4494</v>
      </c>
      <c r="K44">
        <v>4865</v>
      </c>
      <c r="L44">
        <v>5630</v>
      </c>
      <c r="M44">
        <v>5219</v>
      </c>
      <c r="N44">
        <v>4904</v>
      </c>
      <c r="O44">
        <v>4521</v>
      </c>
      <c r="P44">
        <v>4631</v>
      </c>
      <c r="Q44">
        <v>4351</v>
      </c>
      <c r="R44">
        <v>5378</v>
      </c>
      <c r="S44">
        <v>5591</v>
      </c>
      <c r="T44">
        <v>4899</v>
      </c>
      <c r="U44">
        <v>4021</v>
      </c>
      <c r="V44">
        <v>4724</v>
      </c>
      <c r="W44">
        <v>5368</v>
      </c>
      <c r="X44">
        <v>4955</v>
      </c>
      <c r="Y44">
        <v>5321</v>
      </c>
      <c r="Z44">
        <v>5505</v>
      </c>
      <c r="AA44">
        <v>6604</v>
      </c>
      <c r="AB44">
        <v>7542</v>
      </c>
      <c r="AC44">
        <v>7039</v>
      </c>
      <c r="AD44">
        <v>6901</v>
      </c>
      <c r="AE44">
        <v>7157</v>
      </c>
    </row>
    <row r="45" spans="1:31" x14ac:dyDescent="0.3">
      <c r="A45" t="s">
        <v>252</v>
      </c>
      <c r="B45" t="s">
        <v>208</v>
      </c>
      <c r="C45" t="s">
        <v>0</v>
      </c>
      <c r="D45" t="s">
        <v>209</v>
      </c>
      <c r="E45" t="s">
        <v>123</v>
      </c>
      <c r="F45">
        <v>3415</v>
      </c>
      <c r="G45">
        <v>3974</v>
      </c>
      <c r="H45">
        <v>4394</v>
      </c>
      <c r="I45">
        <v>4556</v>
      </c>
      <c r="J45">
        <v>4138</v>
      </c>
      <c r="K45">
        <v>4545</v>
      </c>
      <c r="L45">
        <v>5308</v>
      </c>
      <c r="M45">
        <v>4862</v>
      </c>
      <c r="N45">
        <v>4530</v>
      </c>
      <c r="O45">
        <v>4150</v>
      </c>
      <c r="P45">
        <v>4280</v>
      </c>
      <c r="Q45">
        <v>3962</v>
      </c>
      <c r="R45">
        <v>4940</v>
      </c>
      <c r="S45">
        <v>5224</v>
      </c>
      <c r="T45">
        <v>4527</v>
      </c>
      <c r="U45">
        <v>3677</v>
      </c>
      <c r="V45">
        <v>4339</v>
      </c>
      <c r="W45">
        <v>4998</v>
      </c>
      <c r="X45">
        <v>4573</v>
      </c>
      <c r="Y45">
        <v>4947</v>
      </c>
      <c r="Z45">
        <v>5155</v>
      </c>
      <c r="AA45">
        <v>6290</v>
      </c>
      <c r="AB45">
        <v>7196</v>
      </c>
      <c r="AC45">
        <v>6598</v>
      </c>
      <c r="AD45">
        <v>6462</v>
      </c>
      <c r="AE45">
        <v>6807</v>
      </c>
    </row>
    <row r="46" spans="1:31" x14ac:dyDescent="0.3">
      <c r="A46" t="s">
        <v>252</v>
      </c>
      <c r="B46" t="s">
        <v>210</v>
      </c>
      <c r="C46" t="s">
        <v>0</v>
      </c>
      <c r="D46" t="s">
        <v>211</v>
      </c>
      <c r="E46" t="s">
        <v>123</v>
      </c>
      <c r="F46">
        <v>90</v>
      </c>
      <c r="G46">
        <v>148</v>
      </c>
      <c r="H46">
        <v>113</v>
      </c>
      <c r="I46">
        <v>138</v>
      </c>
      <c r="J46">
        <v>148</v>
      </c>
      <c r="K46">
        <v>203</v>
      </c>
      <c r="L46">
        <v>156</v>
      </c>
      <c r="M46">
        <v>213</v>
      </c>
      <c r="N46">
        <v>204</v>
      </c>
      <c r="O46">
        <v>184</v>
      </c>
      <c r="P46">
        <v>204</v>
      </c>
      <c r="Q46">
        <v>192</v>
      </c>
      <c r="R46">
        <v>210</v>
      </c>
      <c r="S46">
        <v>296</v>
      </c>
      <c r="T46">
        <v>184</v>
      </c>
      <c r="U46">
        <v>159</v>
      </c>
      <c r="V46">
        <v>218</v>
      </c>
      <c r="W46">
        <v>233</v>
      </c>
      <c r="X46">
        <v>224</v>
      </c>
      <c r="Y46">
        <v>280</v>
      </c>
      <c r="Z46">
        <v>186</v>
      </c>
      <c r="AA46">
        <v>255</v>
      </c>
      <c r="AB46">
        <v>254</v>
      </c>
      <c r="AC46">
        <v>329</v>
      </c>
      <c r="AD46">
        <v>368</v>
      </c>
      <c r="AE46">
        <v>328</v>
      </c>
    </row>
    <row r="47" spans="1:31" x14ac:dyDescent="0.3">
      <c r="A47" t="s">
        <v>252</v>
      </c>
      <c r="B47" t="s">
        <v>212</v>
      </c>
      <c r="C47" t="s">
        <v>0</v>
      </c>
      <c r="D47" t="s">
        <v>213</v>
      </c>
      <c r="E47" t="s">
        <v>123</v>
      </c>
      <c r="F47">
        <v>555</v>
      </c>
      <c r="G47">
        <v>637</v>
      </c>
      <c r="H47">
        <v>702</v>
      </c>
      <c r="I47">
        <v>866</v>
      </c>
      <c r="J47">
        <v>755</v>
      </c>
      <c r="K47">
        <v>705</v>
      </c>
      <c r="L47">
        <v>545</v>
      </c>
      <c r="M47">
        <v>610</v>
      </c>
      <c r="N47">
        <v>660</v>
      </c>
      <c r="O47">
        <v>674</v>
      </c>
      <c r="P47">
        <v>772</v>
      </c>
      <c r="Q47">
        <v>540</v>
      </c>
      <c r="R47">
        <v>566</v>
      </c>
      <c r="S47">
        <v>744</v>
      </c>
      <c r="T47">
        <v>628</v>
      </c>
      <c r="U47">
        <v>529</v>
      </c>
      <c r="V47">
        <v>592</v>
      </c>
      <c r="W47">
        <v>811</v>
      </c>
      <c r="X47">
        <v>802</v>
      </c>
      <c r="Y47">
        <v>726</v>
      </c>
      <c r="Z47">
        <v>545</v>
      </c>
      <c r="AA47">
        <v>628</v>
      </c>
      <c r="AB47">
        <v>799</v>
      </c>
      <c r="AC47">
        <v>923</v>
      </c>
      <c r="AD47">
        <v>1001</v>
      </c>
      <c r="AE47">
        <v>1257</v>
      </c>
    </row>
    <row r="48" spans="1:31" x14ac:dyDescent="0.3">
      <c r="A48" t="s">
        <v>252</v>
      </c>
      <c r="B48" t="s">
        <v>214</v>
      </c>
      <c r="C48" t="s">
        <v>0</v>
      </c>
      <c r="D48" t="s">
        <v>215</v>
      </c>
      <c r="E48" t="s">
        <v>123</v>
      </c>
      <c r="F48">
        <v>755</v>
      </c>
      <c r="G48">
        <v>850</v>
      </c>
      <c r="H48">
        <v>951</v>
      </c>
      <c r="I48">
        <v>1114</v>
      </c>
      <c r="J48">
        <v>1008</v>
      </c>
      <c r="K48">
        <v>1006</v>
      </c>
      <c r="L48">
        <v>881</v>
      </c>
      <c r="M48">
        <v>993</v>
      </c>
      <c r="N48">
        <v>1011</v>
      </c>
      <c r="O48">
        <v>996</v>
      </c>
      <c r="P48">
        <v>1099</v>
      </c>
      <c r="Q48">
        <v>899</v>
      </c>
      <c r="R48">
        <v>941</v>
      </c>
      <c r="S48">
        <v>1089</v>
      </c>
      <c r="T48">
        <v>998</v>
      </c>
      <c r="U48">
        <v>886</v>
      </c>
      <c r="V48">
        <v>1007</v>
      </c>
      <c r="W48">
        <v>1265</v>
      </c>
      <c r="X48">
        <v>1238</v>
      </c>
      <c r="Y48">
        <v>1150</v>
      </c>
      <c r="Z48">
        <v>1007</v>
      </c>
      <c r="AA48">
        <v>1101</v>
      </c>
      <c r="AB48">
        <v>1285</v>
      </c>
      <c r="AC48">
        <v>1416</v>
      </c>
      <c r="AD48">
        <v>1553</v>
      </c>
      <c r="AE48">
        <v>1816</v>
      </c>
    </row>
    <row r="49" spans="1:31" x14ac:dyDescent="0.3">
      <c r="A49" t="s">
        <v>252</v>
      </c>
      <c r="B49" t="s">
        <v>216</v>
      </c>
      <c r="C49" t="s">
        <v>0</v>
      </c>
      <c r="D49" t="s">
        <v>217</v>
      </c>
      <c r="E49" t="s">
        <v>123</v>
      </c>
      <c r="F49">
        <v>137</v>
      </c>
      <c r="G49">
        <v>126</v>
      </c>
      <c r="H49">
        <v>145</v>
      </c>
      <c r="I49">
        <v>144</v>
      </c>
      <c r="J49">
        <v>148</v>
      </c>
      <c r="K49">
        <v>164</v>
      </c>
      <c r="L49">
        <v>186</v>
      </c>
      <c r="M49">
        <v>208</v>
      </c>
      <c r="N49">
        <v>191</v>
      </c>
      <c r="O49">
        <v>175</v>
      </c>
      <c r="P49">
        <v>147</v>
      </c>
      <c r="Q49">
        <v>139</v>
      </c>
      <c r="R49">
        <v>136</v>
      </c>
      <c r="S49">
        <v>124</v>
      </c>
      <c r="T49">
        <v>154</v>
      </c>
      <c r="U49">
        <v>128</v>
      </c>
      <c r="V49">
        <v>168</v>
      </c>
      <c r="W49">
        <v>160</v>
      </c>
      <c r="X49">
        <v>148</v>
      </c>
      <c r="Y49">
        <v>149</v>
      </c>
      <c r="Z49">
        <v>150</v>
      </c>
      <c r="AA49">
        <v>165</v>
      </c>
      <c r="AB49">
        <v>181</v>
      </c>
      <c r="AC49">
        <v>159</v>
      </c>
      <c r="AD49">
        <v>206</v>
      </c>
      <c r="AE49">
        <v>196</v>
      </c>
    </row>
    <row r="50" spans="1:31" x14ac:dyDescent="0.3">
      <c r="A50" t="s">
        <v>252</v>
      </c>
      <c r="B50" t="s">
        <v>218</v>
      </c>
      <c r="C50" t="s">
        <v>0</v>
      </c>
      <c r="D50" t="s">
        <v>219</v>
      </c>
      <c r="E50" t="s">
        <v>123</v>
      </c>
      <c r="F50">
        <v>63</v>
      </c>
      <c r="G50">
        <v>87</v>
      </c>
      <c r="H50">
        <v>104</v>
      </c>
      <c r="I50">
        <v>104</v>
      </c>
      <c r="J50">
        <v>105</v>
      </c>
      <c r="K50">
        <v>137</v>
      </c>
      <c r="L50">
        <v>150</v>
      </c>
      <c r="M50">
        <v>175</v>
      </c>
      <c r="N50">
        <v>160</v>
      </c>
      <c r="O50">
        <v>147</v>
      </c>
      <c r="P50">
        <v>180</v>
      </c>
      <c r="Q50">
        <v>220</v>
      </c>
      <c r="R50">
        <v>239</v>
      </c>
      <c r="S50">
        <v>221</v>
      </c>
      <c r="T50">
        <v>216</v>
      </c>
      <c r="U50">
        <v>229</v>
      </c>
      <c r="V50">
        <v>247</v>
      </c>
      <c r="W50">
        <v>294</v>
      </c>
      <c r="X50">
        <v>288</v>
      </c>
      <c r="Y50">
        <v>275</v>
      </c>
      <c r="Z50">
        <v>312</v>
      </c>
      <c r="AA50">
        <v>308</v>
      </c>
      <c r="AB50">
        <v>305</v>
      </c>
      <c r="AC50">
        <v>334</v>
      </c>
      <c r="AD50">
        <v>346</v>
      </c>
      <c r="AE50">
        <v>363</v>
      </c>
    </row>
    <row r="51" spans="1:31" x14ac:dyDescent="0.3">
      <c r="A51" t="s">
        <v>252</v>
      </c>
      <c r="B51" t="s">
        <v>220</v>
      </c>
      <c r="C51" t="s">
        <v>0</v>
      </c>
      <c r="D51" t="s">
        <v>221</v>
      </c>
      <c r="E51" t="s">
        <v>123</v>
      </c>
      <c r="F51">
        <v>51</v>
      </c>
      <c r="G51">
        <v>71</v>
      </c>
      <c r="H51">
        <v>89</v>
      </c>
      <c r="I51">
        <v>91</v>
      </c>
      <c r="J51">
        <v>92</v>
      </c>
      <c r="K51">
        <v>119</v>
      </c>
      <c r="L51">
        <v>125</v>
      </c>
      <c r="M51">
        <v>151</v>
      </c>
      <c r="N51">
        <v>138</v>
      </c>
      <c r="O51">
        <v>124</v>
      </c>
      <c r="P51">
        <v>156</v>
      </c>
      <c r="Q51">
        <v>187</v>
      </c>
      <c r="R51">
        <v>203</v>
      </c>
      <c r="S51">
        <v>186</v>
      </c>
      <c r="T51">
        <v>177</v>
      </c>
      <c r="U51">
        <v>192</v>
      </c>
      <c r="V51">
        <v>208</v>
      </c>
      <c r="W51">
        <v>248</v>
      </c>
      <c r="X51">
        <v>241</v>
      </c>
      <c r="Y51">
        <v>222</v>
      </c>
      <c r="Z51">
        <v>258</v>
      </c>
      <c r="AA51">
        <v>245</v>
      </c>
      <c r="AB51">
        <v>265</v>
      </c>
      <c r="AC51">
        <v>279</v>
      </c>
      <c r="AD51">
        <v>274</v>
      </c>
      <c r="AE51">
        <v>301</v>
      </c>
    </row>
    <row r="52" spans="1:31" x14ac:dyDescent="0.3">
      <c r="A52" t="s">
        <v>252</v>
      </c>
      <c r="B52" t="s">
        <v>222</v>
      </c>
      <c r="C52" t="s">
        <v>0</v>
      </c>
      <c r="D52" t="s">
        <v>223</v>
      </c>
      <c r="E52" t="s">
        <v>123</v>
      </c>
      <c r="F52">
        <v>12</v>
      </c>
      <c r="G52">
        <v>16</v>
      </c>
      <c r="H52">
        <v>15</v>
      </c>
      <c r="I52">
        <v>13</v>
      </c>
      <c r="J52">
        <v>13</v>
      </c>
      <c r="K52">
        <v>18</v>
      </c>
      <c r="L52">
        <v>25</v>
      </c>
      <c r="M52">
        <v>24</v>
      </c>
      <c r="N52">
        <v>22</v>
      </c>
      <c r="O52">
        <v>23</v>
      </c>
      <c r="P52">
        <v>24</v>
      </c>
      <c r="Q52">
        <v>33</v>
      </c>
      <c r="R52">
        <v>36</v>
      </c>
      <c r="S52">
        <v>35</v>
      </c>
      <c r="T52">
        <v>39</v>
      </c>
      <c r="U52">
        <v>37</v>
      </c>
      <c r="V52">
        <v>39</v>
      </c>
      <c r="W52">
        <v>46</v>
      </c>
      <c r="X52">
        <v>47</v>
      </c>
      <c r="Y52">
        <v>53</v>
      </c>
      <c r="Z52">
        <v>54</v>
      </c>
      <c r="AA52">
        <v>63</v>
      </c>
      <c r="AB52">
        <v>40</v>
      </c>
      <c r="AC52">
        <v>55</v>
      </c>
      <c r="AD52">
        <v>72</v>
      </c>
      <c r="AE52">
        <v>62</v>
      </c>
    </row>
    <row r="53" spans="1:31" x14ac:dyDescent="0.3">
      <c r="A53" t="s">
        <v>252</v>
      </c>
      <c r="B53" t="s">
        <v>224</v>
      </c>
      <c r="C53" t="s">
        <v>0</v>
      </c>
      <c r="D53" t="s">
        <v>225</v>
      </c>
      <c r="E53" t="s">
        <v>123</v>
      </c>
      <c r="F53">
        <v>22</v>
      </c>
      <c r="G53">
        <v>46</v>
      </c>
      <c r="H53">
        <v>70</v>
      </c>
      <c r="I53">
        <v>57</v>
      </c>
      <c r="J53">
        <v>-12</v>
      </c>
      <c r="K53">
        <v>57</v>
      </c>
      <c r="L53">
        <v>58</v>
      </c>
      <c r="M53">
        <v>50</v>
      </c>
      <c r="N53">
        <v>53</v>
      </c>
      <c r="O53">
        <v>54</v>
      </c>
      <c r="P53">
        <v>54</v>
      </c>
      <c r="Q53">
        <v>59</v>
      </c>
      <c r="R53">
        <v>63</v>
      </c>
      <c r="S53">
        <v>57</v>
      </c>
      <c r="T53">
        <v>59</v>
      </c>
      <c r="U53">
        <v>51</v>
      </c>
      <c r="V53">
        <v>66</v>
      </c>
      <c r="W53">
        <v>80</v>
      </c>
      <c r="X53">
        <v>79</v>
      </c>
      <c r="Y53">
        <v>84</v>
      </c>
      <c r="Z53">
        <v>84</v>
      </c>
      <c r="AA53">
        <v>119</v>
      </c>
      <c r="AB53">
        <v>115</v>
      </c>
      <c r="AC53">
        <v>136</v>
      </c>
      <c r="AD53">
        <v>135</v>
      </c>
      <c r="AE53">
        <v>127</v>
      </c>
    </row>
    <row r="54" spans="1:31" x14ac:dyDescent="0.3">
      <c r="A54" t="s">
        <v>252</v>
      </c>
      <c r="B54" t="s">
        <v>226</v>
      </c>
      <c r="C54" t="s">
        <v>0</v>
      </c>
      <c r="D54" t="s">
        <v>227</v>
      </c>
      <c r="E54" t="s">
        <v>123</v>
      </c>
      <c r="F54">
        <v>61</v>
      </c>
      <c r="G54">
        <v>89</v>
      </c>
      <c r="H54">
        <v>125</v>
      </c>
      <c r="I54">
        <v>111</v>
      </c>
      <c r="J54">
        <v>40</v>
      </c>
      <c r="K54">
        <v>111</v>
      </c>
      <c r="L54">
        <v>113</v>
      </c>
      <c r="M54">
        <v>104</v>
      </c>
      <c r="N54">
        <v>120</v>
      </c>
      <c r="O54">
        <v>108</v>
      </c>
      <c r="P54">
        <v>110</v>
      </c>
      <c r="Q54">
        <v>118</v>
      </c>
      <c r="R54">
        <v>138</v>
      </c>
      <c r="S54">
        <v>140</v>
      </c>
      <c r="T54">
        <v>143</v>
      </c>
      <c r="U54">
        <v>120</v>
      </c>
      <c r="V54">
        <v>152</v>
      </c>
      <c r="W54">
        <v>145</v>
      </c>
      <c r="X54">
        <v>140</v>
      </c>
      <c r="Y54">
        <v>148</v>
      </c>
      <c r="Z54">
        <v>173</v>
      </c>
      <c r="AA54">
        <v>204</v>
      </c>
      <c r="AB54">
        <v>200</v>
      </c>
      <c r="AC54">
        <v>217</v>
      </c>
      <c r="AD54">
        <v>231</v>
      </c>
      <c r="AE54">
        <v>225</v>
      </c>
    </row>
    <row r="55" spans="1:31" x14ac:dyDescent="0.3">
      <c r="A55" t="s">
        <v>252</v>
      </c>
      <c r="B55" t="s">
        <v>228</v>
      </c>
      <c r="C55" t="s">
        <v>0</v>
      </c>
      <c r="D55" t="s">
        <v>229</v>
      </c>
      <c r="E55" t="s">
        <v>123</v>
      </c>
      <c r="F55">
        <v>39</v>
      </c>
      <c r="G55">
        <v>43</v>
      </c>
      <c r="H55">
        <v>55</v>
      </c>
      <c r="I55">
        <v>54</v>
      </c>
      <c r="J55">
        <v>52</v>
      </c>
      <c r="K55">
        <v>54</v>
      </c>
      <c r="L55">
        <v>55</v>
      </c>
      <c r="M55">
        <v>54</v>
      </c>
      <c r="N55">
        <v>67</v>
      </c>
      <c r="O55">
        <v>54</v>
      </c>
      <c r="P55">
        <v>56</v>
      </c>
      <c r="Q55">
        <v>59</v>
      </c>
      <c r="R55">
        <v>75</v>
      </c>
      <c r="S55">
        <v>83</v>
      </c>
      <c r="T55">
        <v>84</v>
      </c>
      <c r="U55">
        <v>69</v>
      </c>
      <c r="V55">
        <v>86</v>
      </c>
      <c r="W55">
        <v>65</v>
      </c>
      <c r="X55">
        <v>61</v>
      </c>
      <c r="Y55">
        <v>64</v>
      </c>
      <c r="Z55">
        <v>89</v>
      </c>
      <c r="AA55">
        <v>85</v>
      </c>
      <c r="AB55">
        <v>85</v>
      </c>
      <c r="AC55">
        <v>81</v>
      </c>
      <c r="AD55">
        <v>96</v>
      </c>
      <c r="AE55">
        <v>98</v>
      </c>
    </row>
    <row r="56" spans="1:31" x14ac:dyDescent="0.3">
      <c r="A56" t="s">
        <v>252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252</v>
      </c>
      <c r="B57" t="s">
        <v>232</v>
      </c>
      <c r="C57" t="s">
        <v>0</v>
      </c>
      <c r="D57" t="s">
        <v>233</v>
      </c>
      <c r="E57" t="s">
        <v>123</v>
      </c>
      <c r="F57">
        <v>4509</v>
      </c>
      <c r="G57">
        <v>5091</v>
      </c>
      <c r="H57">
        <v>5704</v>
      </c>
      <c r="I57">
        <v>6027</v>
      </c>
      <c r="J57">
        <v>5524</v>
      </c>
      <c r="K57">
        <v>5925</v>
      </c>
      <c r="L57">
        <v>6551</v>
      </c>
      <c r="M57">
        <v>6276</v>
      </c>
      <c r="N57">
        <v>6017</v>
      </c>
      <c r="O57">
        <v>5595</v>
      </c>
      <c r="P57">
        <v>5843</v>
      </c>
      <c r="Q57">
        <v>5363</v>
      </c>
      <c r="R57">
        <v>6404</v>
      </c>
      <c r="S57">
        <v>6835</v>
      </c>
      <c r="T57">
        <v>6048</v>
      </c>
      <c r="U57">
        <v>4987</v>
      </c>
      <c r="V57">
        <v>5807</v>
      </c>
      <c r="W57">
        <v>6716</v>
      </c>
      <c r="X57">
        <v>6288</v>
      </c>
      <c r="Y57">
        <v>6574</v>
      </c>
      <c r="Z57">
        <v>6629</v>
      </c>
      <c r="AA57">
        <v>7837</v>
      </c>
      <c r="AB57">
        <v>8991</v>
      </c>
      <c r="AC57">
        <v>8749</v>
      </c>
      <c r="AD57">
        <v>8713</v>
      </c>
      <c r="AE57">
        <v>9211</v>
      </c>
    </row>
    <row r="58" spans="1:31" x14ac:dyDescent="0.3">
      <c r="A58" t="s">
        <v>252</v>
      </c>
      <c r="B58" t="s">
        <v>234</v>
      </c>
      <c r="C58" t="s">
        <v>0</v>
      </c>
      <c r="D58" t="s">
        <v>235</v>
      </c>
      <c r="E58" t="s">
        <v>123</v>
      </c>
      <c r="F58">
        <v>4509</v>
      </c>
      <c r="G58">
        <v>5091</v>
      </c>
      <c r="H58">
        <v>5704</v>
      </c>
      <c r="I58">
        <v>6027</v>
      </c>
      <c r="J58">
        <v>5524</v>
      </c>
      <c r="K58">
        <v>5925</v>
      </c>
      <c r="L58">
        <v>6551</v>
      </c>
      <c r="M58">
        <v>6276</v>
      </c>
      <c r="N58">
        <v>6017</v>
      </c>
      <c r="O58">
        <v>5595</v>
      </c>
      <c r="P58">
        <v>5843</v>
      </c>
      <c r="Q58">
        <v>5363</v>
      </c>
      <c r="R58">
        <v>6404</v>
      </c>
      <c r="S58">
        <v>6835</v>
      </c>
      <c r="T58">
        <v>6048</v>
      </c>
      <c r="U58">
        <v>4987</v>
      </c>
      <c r="V58">
        <v>5807</v>
      </c>
      <c r="W58">
        <v>6716</v>
      </c>
      <c r="X58">
        <v>6288</v>
      </c>
      <c r="Y58">
        <v>6574</v>
      </c>
      <c r="Z58">
        <v>6629</v>
      </c>
      <c r="AA58">
        <v>7837</v>
      </c>
      <c r="AB58">
        <v>8991</v>
      </c>
      <c r="AC58">
        <v>8749</v>
      </c>
      <c r="AD58">
        <v>8713</v>
      </c>
      <c r="AE58">
        <v>9211</v>
      </c>
    </row>
    <row r="59" spans="1:31" x14ac:dyDescent="0.3">
      <c r="A59" t="s">
        <v>252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253</v>
      </c>
      <c r="B2" t="s">
        <v>121</v>
      </c>
      <c r="C2" t="s">
        <v>0</v>
      </c>
      <c r="D2" t="s">
        <v>122</v>
      </c>
      <c r="E2" t="s">
        <v>123</v>
      </c>
      <c r="F2">
        <v>413</v>
      </c>
      <c r="G2">
        <v>463</v>
      </c>
      <c r="H2">
        <v>577</v>
      </c>
      <c r="I2">
        <v>668</v>
      </c>
      <c r="J2">
        <v>683</v>
      </c>
      <c r="K2">
        <v>665</v>
      </c>
      <c r="L2">
        <v>739</v>
      </c>
      <c r="M2">
        <v>739</v>
      </c>
      <c r="N2">
        <v>707</v>
      </c>
      <c r="O2">
        <v>646</v>
      </c>
      <c r="P2">
        <v>743</v>
      </c>
      <c r="Q2">
        <v>778</v>
      </c>
      <c r="R2">
        <v>883</v>
      </c>
      <c r="S2">
        <v>918</v>
      </c>
      <c r="T2">
        <v>893</v>
      </c>
      <c r="U2">
        <v>880</v>
      </c>
      <c r="V2">
        <v>860</v>
      </c>
      <c r="W2">
        <v>865</v>
      </c>
      <c r="X2">
        <v>955</v>
      </c>
      <c r="Y2">
        <v>960</v>
      </c>
      <c r="Z2">
        <v>674</v>
      </c>
      <c r="AA2">
        <v>787</v>
      </c>
      <c r="AB2">
        <v>843</v>
      </c>
      <c r="AC2">
        <v>806</v>
      </c>
      <c r="AD2">
        <v>907</v>
      </c>
      <c r="AE2">
        <v>966</v>
      </c>
    </row>
    <row r="3" spans="1:31" x14ac:dyDescent="0.3">
      <c r="A3" t="s">
        <v>253</v>
      </c>
      <c r="B3" t="s">
        <v>124</v>
      </c>
      <c r="C3" t="s">
        <v>0</v>
      </c>
      <c r="D3" t="s">
        <v>125</v>
      </c>
      <c r="E3" t="s">
        <v>123</v>
      </c>
      <c r="F3">
        <v>11</v>
      </c>
      <c r="G3">
        <v>12</v>
      </c>
      <c r="H3">
        <v>11</v>
      </c>
      <c r="I3">
        <v>12</v>
      </c>
      <c r="J3">
        <v>25</v>
      </c>
      <c r="K3">
        <v>45</v>
      </c>
      <c r="L3">
        <v>35</v>
      </c>
      <c r="M3">
        <v>21</v>
      </c>
      <c r="N3">
        <v>37</v>
      </c>
      <c r="O3">
        <v>21</v>
      </c>
      <c r="P3">
        <v>29</v>
      </c>
      <c r="Q3">
        <v>36</v>
      </c>
      <c r="R3">
        <v>220</v>
      </c>
      <c r="S3">
        <v>258</v>
      </c>
      <c r="T3">
        <v>136</v>
      </c>
      <c r="U3">
        <v>129</v>
      </c>
      <c r="V3">
        <v>188</v>
      </c>
      <c r="W3">
        <v>143</v>
      </c>
      <c r="X3">
        <v>82</v>
      </c>
      <c r="Y3">
        <v>93</v>
      </c>
      <c r="Z3">
        <v>184</v>
      </c>
      <c r="AA3">
        <v>99</v>
      </c>
      <c r="AB3">
        <v>128</v>
      </c>
      <c r="AC3">
        <v>148</v>
      </c>
      <c r="AD3">
        <v>169</v>
      </c>
      <c r="AE3">
        <v>161</v>
      </c>
    </row>
    <row r="4" spans="1:31" x14ac:dyDescent="0.3">
      <c r="A4" t="s">
        <v>253</v>
      </c>
      <c r="B4" t="s">
        <v>126</v>
      </c>
      <c r="C4" t="s">
        <v>0</v>
      </c>
      <c r="D4" t="s">
        <v>127</v>
      </c>
      <c r="E4" t="s">
        <v>123</v>
      </c>
      <c r="F4">
        <v>728</v>
      </c>
      <c r="G4">
        <v>635</v>
      </c>
      <c r="H4">
        <v>649</v>
      </c>
      <c r="I4">
        <v>631</v>
      </c>
      <c r="J4">
        <v>594</v>
      </c>
      <c r="K4">
        <v>605</v>
      </c>
      <c r="L4">
        <v>614</v>
      </c>
      <c r="M4">
        <v>754</v>
      </c>
      <c r="N4">
        <v>564</v>
      </c>
      <c r="O4">
        <v>486</v>
      </c>
      <c r="P4">
        <v>527</v>
      </c>
      <c r="Q4">
        <v>644</v>
      </c>
      <c r="R4">
        <v>713</v>
      </c>
      <c r="S4">
        <v>659</v>
      </c>
      <c r="T4">
        <v>573</v>
      </c>
      <c r="U4">
        <v>420</v>
      </c>
      <c r="V4">
        <v>457</v>
      </c>
      <c r="W4">
        <v>381</v>
      </c>
      <c r="X4">
        <v>392</v>
      </c>
      <c r="Y4">
        <v>519</v>
      </c>
      <c r="Z4">
        <v>595</v>
      </c>
      <c r="AA4">
        <v>768</v>
      </c>
      <c r="AB4">
        <v>776</v>
      </c>
      <c r="AC4">
        <v>804</v>
      </c>
      <c r="AD4">
        <v>713</v>
      </c>
      <c r="AE4">
        <v>760</v>
      </c>
    </row>
    <row r="5" spans="1:31" x14ac:dyDescent="0.3">
      <c r="A5" t="s">
        <v>253</v>
      </c>
      <c r="B5" t="s">
        <v>128</v>
      </c>
      <c r="C5" t="s">
        <v>0</v>
      </c>
      <c r="D5" t="s">
        <v>129</v>
      </c>
      <c r="E5" t="s">
        <v>123</v>
      </c>
      <c r="F5">
        <v>71</v>
      </c>
      <c r="G5">
        <v>96</v>
      </c>
      <c r="H5">
        <v>87</v>
      </c>
      <c r="I5">
        <v>63</v>
      </c>
      <c r="J5">
        <v>59</v>
      </c>
      <c r="K5">
        <v>89</v>
      </c>
      <c r="L5">
        <v>108</v>
      </c>
      <c r="M5">
        <v>135</v>
      </c>
      <c r="N5">
        <v>80</v>
      </c>
      <c r="O5">
        <v>58</v>
      </c>
      <c r="P5">
        <v>113</v>
      </c>
      <c r="Q5">
        <v>101</v>
      </c>
      <c r="R5">
        <v>119</v>
      </c>
      <c r="S5">
        <v>103</v>
      </c>
      <c r="T5">
        <v>57</v>
      </c>
      <c r="U5">
        <v>56</v>
      </c>
      <c r="V5">
        <v>88</v>
      </c>
      <c r="W5">
        <v>134</v>
      </c>
      <c r="X5">
        <v>109</v>
      </c>
      <c r="Y5">
        <v>162</v>
      </c>
      <c r="Z5">
        <v>123</v>
      </c>
      <c r="AA5">
        <v>222</v>
      </c>
      <c r="AB5">
        <v>95</v>
      </c>
      <c r="AC5">
        <v>90</v>
      </c>
      <c r="AD5">
        <v>114</v>
      </c>
      <c r="AE5">
        <v>147</v>
      </c>
    </row>
    <row r="6" spans="1:31" x14ac:dyDescent="0.3">
      <c r="A6" t="s">
        <v>253</v>
      </c>
      <c r="B6" t="s">
        <v>130</v>
      </c>
      <c r="C6" t="s">
        <v>0</v>
      </c>
      <c r="D6" t="s">
        <v>131</v>
      </c>
      <c r="E6" t="s">
        <v>123</v>
      </c>
      <c r="F6">
        <v>12</v>
      </c>
      <c r="G6">
        <v>2</v>
      </c>
      <c r="H6">
        <v>9</v>
      </c>
      <c r="I6">
        <v>10</v>
      </c>
      <c r="J6">
        <v>7</v>
      </c>
      <c r="K6">
        <v>5</v>
      </c>
      <c r="L6">
        <v>7</v>
      </c>
      <c r="M6">
        <v>5</v>
      </c>
      <c r="N6">
        <v>5</v>
      </c>
      <c r="O6">
        <v>0</v>
      </c>
      <c r="P6">
        <v>2</v>
      </c>
      <c r="Q6">
        <v>8</v>
      </c>
      <c r="R6">
        <v>2</v>
      </c>
      <c r="S6">
        <v>4</v>
      </c>
      <c r="T6">
        <v>-7</v>
      </c>
      <c r="U6">
        <v>-2</v>
      </c>
      <c r="V6">
        <v>3</v>
      </c>
      <c r="W6">
        <v>14</v>
      </c>
      <c r="X6">
        <v>1</v>
      </c>
      <c r="Y6">
        <v>5</v>
      </c>
      <c r="Z6">
        <v>6</v>
      </c>
      <c r="AA6">
        <v>0</v>
      </c>
      <c r="AB6">
        <v>4</v>
      </c>
      <c r="AC6">
        <v>7</v>
      </c>
      <c r="AD6">
        <v>6</v>
      </c>
      <c r="AE6">
        <v>-2</v>
      </c>
    </row>
    <row r="7" spans="1:31" x14ac:dyDescent="0.3">
      <c r="A7" t="s">
        <v>253</v>
      </c>
      <c r="B7" t="s">
        <v>132</v>
      </c>
      <c r="C7" t="s">
        <v>0</v>
      </c>
      <c r="D7" t="s">
        <v>133</v>
      </c>
      <c r="E7" t="s">
        <v>123</v>
      </c>
      <c r="F7">
        <v>261</v>
      </c>
      <c r="G7">
        <v>182</v>
      </c>
      <c r="H7">
        <v>181</v>
      </c>
      <c r="I7">
        <v>142</v>
      </c>
      <c r="J7">
        <v>139</v>
      </c>
      <c r="K7">
        <v>187</v>
      </c>
      <c r="L7">
        <v>164</v>
      </c>
      <c r="M7">
        <v>143</v>
      </c>
      <c r="N7">
        <v>97</v>
      </c>
      <c r="O7">
        <v>124</v>
      </c>
      <c r="P7">
        <v>138</v>
      </c>
      <c r="Q7">
        <v>109</v>
      </c>
      <c r="R7">
        <v>181</v>
      </c>
      <c r="S7">
        <v>118</v>
      </c>
      <c r="T7">
        <v>32</v>
      </c>
      <c r="U7">
        <v>20</v>
      </c>
      <c r="V7">
        <v>53</v>
      </c>
      <c r="W7">
        <v>62</v>
      </c>
      <c r="X7">
        <v>74</v>
      </c>
      <c r="Y7">
        <v>43</v>
      </c>
      <c r="Z7">
        <v>71</v>
      </c>
      <c r="AA7">
        <v>230</v>
      </c>
      <c r="AB7">
        <v>156</v>
      </c>
      <c r="AC7">
        <v>191</v>
      </c>
      <c r="AD7">
        <v>149</v>
      </c>
      <c r="AE7">
        <v>131</v>
      </c>
    </row>
    <row r="8" spans="1:31" x14ac:dyDescent="0.3">
      <c r="A8" t="s">
        <v>253</v>
      </c>
      <c r="B8" t="s">
        <v>134</v>
      </c>
      <c r="C8" t="s">
        <v>0</v>
      </c>
      <c r="D8" t="s">
        <v>135</v>
      </c>
      <c r="E8" t="s">
        <v>123</v>
      </c>
      <c r="F8">
        <v>8</v>
      </c>
      <c r="G8">
        <v>11</v>
      </c>
      <c r="H8">
        <v>20</v>
      </c>
      <c r="I8">
        <v>14</v>
      </c>
      <c r="J8">
        <v>37</v>
      </c>
      <c r="K8">
        <v>24</v>
      </c>
      <c r="L8">
        <v>14</v>
      </c>
      <c r="M8">
        <v>24</v>
      </c>
      <c r="N8">
        <v>36</v>
      </c>
      <c r="O8">
        <v>36</v>
      </c>
      <c r="P8">
        <v>65</v>
      </c>
      <c r="Q8">
        <v>57</v>
      </c>
      <c r="R8">
        <v>163</v>
      </c>
      <c r="S8">
        <v>53</v>
      </c>
      <c r="T8">
        <v>138</v>
      </c>
      <c r="U8">
        <v>55</v>
      </c>
      <c r="V8">
        <v>31</v>
      </c>
      <c r="W8">
        <v>44</v>
      </c>
      <c r="X8">
        <v>60</v>
      </c>
      <c r="Y8">
        <v>57</v>
      </c>
      <c r="Z8">
        <v>79</v>
      </c>
      <c r="AA8">
        <v>-7</v>
      </c>
      <c r="AB8">
        <v>54</v>
      </c>
      <c r="AC8">
        <v>48</v>
      </c>
      <c r="AD8">
        <v>43</v>
      </c>
      <c r="AE8">
        <v>14</v>
      </c>
    </row>
    <row r="9" spans="1:31" x14ac:dyDescent="0.3">
      <c r="A9" t="s">
        <v>253</v>
      </c>
      <c r="B9" t="s">
        <v>136</v>
      </c>
      <c r="C9" t="s">
        <v>0</v>
      </c>
      <c r="D9" t="s">
        <v>137</v>
      </c>
      <c r="E9" t="s">
        <v>123</v>
      </c>
      <c r="F9">
        <v>79</v>
      </c>
      <c r="G9">
        <v>34</v>
      </c>
      <c r="H9">
        <v>49</v>
      </c>
      <c r="I9">
        <v>55</v>
      </c>
      <c r="J9">
        <v>40</v>
      </c>
      <c r="K9">
        <v>29</v>
      </c>
      <c r="L9">
        <v>41</v>
      </c>
      <c r="M9">
        <v>69</v>
      </c>
      <c r="N9">
        <v>37</v>
      </c>
      <c r="O9">
        <v>56</v>
      </c>
      <c r="P9">
        <v>8</v>
      </c>
      <c r="Q9">
        <v>50</v>
      </c>
      <c r="R9">
        <v>19</v>
      </c>
      <c r="S9">
        <v>51</v>
      </c>
      <c r="T9">
        <v>135</v>
      </c>
      <c r="U9">
        <v>46</v>
      </c>
      <c r="V9">
        <v>29</v>
      </c>
      <c r="W9">
        <v>35</v>
      </c>
      <c r="X9">
        <v>34</v>
      </c>
      <c r="Y9">
        <v>41</v>
      </c>
      <c r="Z9">
        <v>69</v>
      </c>
      <c r="AA9">
        <v>75</v>
      </c>
      <c r="AB9">
        <v>174</v>
      </c>
      <c r="AC9">
        <v>91</v>
      </c>
      <c r="AD9">
        <v>80</v>
      </c>
      <c r="AE9">
        <v>56</v>
      </c>
    </row>
    <row r="10" spans="1:31" x14ac:dyDescent="0.3">
      <c r="A10" t="s">
        <v>253</v>
      </c>
      <c r="B10" t="s">
        <v>138</v>
      </c>
      <c r="C10" t="s">
        <v>0</v>
      </c>
      <c r="D10" t="s">
        <v>139</v>
      </c>
      <c r="E10" t="s">
        <v>123</v>
      </c>
      <c r="F10">
        <v>84</v>
      </c>
      <c r="G10">
        <v>37</v>
      </c>
      <c r="H10">
        <v>53</v>
      </c>
      <c r="I10">
        <v>61</v>
      </c>
      <c r="J10">
        <v>48</v>
      </c>
      <c r="K10">
        <v>38</v>
      </c>
      <c r="L10">
        <v>44</v>
      </c>
      <c r="M10">
        <v>86</v>
      </c>
      <c r="N10">
        <v>47</v>
      </c>
      <c r="O10">
        <v>67</v>
      </c>
      <c r="P10">
        <v>8</v>
      </c>
      <c r="Q10">
        <v>60</v>
      </c>
      <c r="R10">
        <v>23</v>
      </c>
      <c r="S10">
        <v>57</v>
      </c>
      <c r="T10">
        <v>144</v>
      </c>
      <c r="U10">
        <v>52</v>
      </c>
      <c r="V10">
        <v>34</v>
      </c>
      <c r="W10">
        <v>57</v>
      </c>
      <c r="X10">
        <v>102</v>
      </c>
      <c r="Y10">
        <v>62</v>
      </c>
      <c r="Z10">
        <v>85</v>
      </c>
      <c r="AA10">
        <v>86</v>
      </c>
      <c r="AB10">
        <v>192</v>
      </c>
      <c r="AC10">
        <v>112</v>
      </c>
      <c r="AD10">
        <v>100</v>
      </c>
      <c r="AE10">
        <v>85</v>
      </c>
    </row>
    <row r="11" spans="1:31" x14ac:dyDescent="0.3">
      <c r="A11" t="s">
        <v>253</v>
      </c>
      <c r="B11" t="s">
        <v>140</v>
      </c>
      <c r="C11" t="s">
        <v>0</v>
      </c>
      <c r="D11" t="s">
        <v>141</v>
      </c>
      <c r="E11" t="s">
        <v>123</v>
      </c>
      <c r="F11">
        <v>5</v>
      </c>
      <c r="G11">
        <v>3</v>
      </c>
      <c r="H11">
        <v>4</v>
      </c>
      <c r="I11">
        <v>6</v>
      </c>
      <c r="J11">
        <v>8</v>
      </c>
      <c r="K11">
        <v>9</v>
      </c>
      <c r="L11">
        <v>3</v>
      </c>
      <c r="M11">
        <v>17</v>
      </c>
      <c r="N11">
        <v>10</v>
      </c>
      <c r="O11">
        <v>11</v>
      </c>
      <c r="P11">
        <v>0</v>
      </c>
      <c r="Q11">
        <v>10</v>
      </c>
      <c r="R11">
        <v>4</v>
      </c>
      <c r="S11">
        <v>6</v>
      </c>
      <c r="T11">
        <v>9</v>
      </c>
      <c r="U11">
        <v>6</v>
      </c>
      <c r="V11">
        <v>5</v>
      </c>
      <c r="W11">
        <v>22</v>
      </c>
      <c r="X11">
        <v>68</v>
      </c>
      <c r="Y11">
        <v>21</v>
      </c>
      <c r="Z11">
        <v>16</v>
      </c>
      <c r="AA11">
        <v>11</v>
      </c>
      <c r="AB11">
        <v>18</v>
      </c>
      <c r="AC11">
        <v>21</v>
      </c>
      <c r="AD11">
        <v>20</v>
      </c>
      <c r="AE11">
        <v>29</v>
      </c>
    </row>
    <row r="12" spans="1:31" x14ac:dyDescent="0.3">
      <c r="A12" t="s">
        <v>253</v>
      </c>
      <c r="B12" t="s">
        <v>142</v>
      </c>
      <c r="C12" t="s">
        <v>0</v>
      </c>
      <c r="D12" t="s">
        <v>143</v>
      </c>
      <c r="E12" t="s">
        <v>123</v>
      </c>
      <c r="F12">
        <v>33</v>
      </c>
      <c r="G12">
        <v>18</v>
      </c>
      <c r="H12">
        <v>37</v>
      </c>
      <c r="I12">
        <v>62</v>
      </c>
      <c r="J12">
        <v>61</v>
      </c>
      <c r="K12">
        <v>19</v>
      </c>
      <c r="L12">
        <v>33</v>
      </c>
      <c r="M12">
        <v>37</v>
      </c>
      <c r="N12">
        <v>40</v>
      </c>
      <c r="O12">
        <v>44</v>
      </c>
      <c r="P12">
        <v>52</v>
      </c>
      <c r="Q12">
        <v>65</v>
      </c>
      <c r="R12">
        <v>17</v>
      </c>
      <c r="S12">
        <v>40</v>
      </c>
      <c r="T12">
        <v>29</v>
      </c>
      <c r="U12">
        <v>35</v>
      </c>
      <c r="V12">
        <v>42</v>
      </c>
      <c r="W12">
        <v>35</v>
      </c>
      <c r="X12">
        <v>26</v>
      </c>
      <c r="Y12">
        <v>23</v>
      </c>
      <c r="Z12">
        <v>38</v>
      </c>
      <c r="AA12">
        <v>48</v>
      </c>
      <c r="AB12">
        <v>37</v>
      </c>
      <c r="AC12">
        <v>57</v>
      </c>
      <c r="AD12">
        <v>52</v>
      </c>
      <c r="AE12">
        <v>75</v>
      </c>
    </row>
    <row r="13" spans="1:31" x14ac:dyDescent="0.3">
      <c r="A13" t="s">
        <v>253</v>
      </c>
      <c r="B13" t="s">
        <v>144</v>
      </c>
      <c r="C13" t="s">
        <v>0</v>
      </c>
      <c r="D13" t="s">
        <v>145</v>
      </c>
      <c r="E13" t="s">
        <v>123</v>
      </c>
      <c r="F13">
        <v>88</v>
      </c>
      <c r="G13">
        <v>136</v>
      </c>
      <c r="H13">
        <v>126</v>
      </c>
      <c r="I13">
        <v>96</v>
      </c>
      <c r="J13">
        <v>86</v>
      </c>
      <c r="K13">
        <v>75</v>
      </c>
      <c r="L13">
        <v>93</v>
      </c>
      <c r="M13">
        <v>229</v>
      </c>
      <c r="N13">
        <v>158</v>
      </c>
      <c r="O13">
        <v>102</v>
      </c>
      <c r="P13">
        <v>67</v>
      </c>
      <c r="Q13">
        <v>81</v>
      </c>
      <c r="R13">
        <v>94</v>
      </c>
      <c r="S13">
        <v>171</v>
      </c>
      <c r="T13">
        <v>125</v>
      </c>
      <c r="U13">
        <v>87</v>
      </c>
      <c r="V13">
        <v>156</v>
      </c>
      <c r="W13">
        <v>131</v>
      </c>
      <c r="X13">
        <v>56</v>
      </c>
      <c r="Y13">
        <v>87</v>
      </c>
      <c r="Z13">
        <v>79</v>
      </c>
      <c r="AA13">
        <v>68</v>
      </c>
      <c r="AB13">
        <v>94</v>
      </c>
      <c r="AC13">
        <v>114</v>
      </c>
      <c r="AD13">
        <v>108</v>
      </c>
      <c r="AE13">
        <v>97</v>
      </c>
    </row>
    <row r="14" spans="1:31" x14ac:dyDescent="0.3">
      <c r="A14" t="s">
        <v>253</v>
      </c>
      <c r="B14" t="s">
        <v>146</v>
      </c>
      <c r="C14" t="s">
        <v>0</v>
      </c>
      <c r="D14" t="s">
        <v>147</v>
      </c>
      <c r="E14" t="s">
        <v>123</v>
      </c>
      <c r="F14">
        <v>47</v>
      </c>
      <c r="G14">
        <v>91</v>
      </c>
      <c r="H14">
        <v>25</v>
      </c>
      <c r="I14">
        <v>65</v>
      </c>
      <c r="J14">
        <v>74</v>
      </c>
      <c r="K14">
        <v>66</v>
      </c>
      <c r="L14">
        <v>68</v>
      </c>
      <c r="M14">
        <v>10</v>
      </c>
      <c r="N14">
        <v>16</v>
      </c>
      <c r="O14">
        <v>10</v>
      </c>
      <c r="P14">
        <v>20</v>
      </c>
      <c r="Q14">
        <v>70</v>
      </c>
      <c r="R14">
        <v>4</v>
      </c>
      <c r="S14">
        <v>22</v>
      </c>
      <c r="T14">
        <v>-23</v>
      </c>
      <c r="U14">
        <v>46</v>
      </c>
      <c r="V14">
        <v>7</v>
      </c>
      <c r="W14">
        <v>-185</v>
      </c>
      <c r="X14">
        <v>-57</v>
      </c>
      <c r="Y14">
        <v>7</v>
      </c>
      <c r="Z14">
        <v>10</v>
      </c>
      <c r="AA14">
        <v>-2</v>
      </c>
      <c r="AB14">
        <v>13</v>
      </c>
      <c r="AC14">
        <v>18</v>
      </c>
      <c r="AD14">
        <v>23</v>
      </c>
      <c r="AE14">
        <v>57</v>
      </c>
    </row>
    <row r="15" spans="1:31" x14ac:dyDescent="0.3">
      <c r="A15" t="s">
        <v>253</v>
      </c>
      <c r="B15" t="s">
        <v>148</v>
      </c>
      <c r="C15" t="s">
        <v>0</v>
      </c>
      <c r="D15" t="s">
        <v>149</v>
      </c>
      <c r="E15" t="s">
        <v>123</v>
      </c>
      <c r="F15">
        <v>66</v>
      </c>
      <c r="G15">
        <v>102</v>
      </c>
      <c r="H15">
        <v>41</v>
      </c>
      <c r="I15">
        <v>73</v>
      </c>
      <c r="J15">
        <v>86</v>
      </c>
      <c r="K15">
        <v>73</v>
      </c>
      <c r="L15">
        <v>84</v>
      </c>
      <c r="M15">
        <v>25</v>
      </c>
      <c r="N15">
        <v>24</v>
      </c>
      <c r="O15">
        <v>20</v>
      </c>
      <c r="P15">
        <v>17</v>
      </c>
      <c r="Q15">
        <v>87</v>
      </c>
      <c r="R15">
        <v>42</v>
      </c>
      <c r="S15">
        <v>47</v>
      </c>
      <c r="T15">
        <v>-8</v>
      </c>
      <c r="U15">
        <v>68</v>
      </c>
      <c r="V15">
        <v>13</v>
      </c>
      <c r="W15">
        <v>-175</v>
      </c>
      <c r="X15">
        <v>-53</v>
      </c>
      <c r="Y15">
        <v>22</v>
      </c>
      <c r="Z15">
        <v>49</v>
      </c>
      <c r="AA15">
        <v>8</v>
      </c>
      <c r="AB15">
        <v>16</v>
      </c>
      <c r="AC15">
        <v>51</v>
      </c>
      <c r="AD15">
        <v>72</v>
      </c>
      <c r="AE15">
        <v>90</v>
      </c>
    </row>
    <row r="16" spans="1:31" x14ac:dyDescent="0.3">
      <c r="A16" t="s">
        <v>253</v>
      </c>
      <c r="B16" t="s">
        <v>150</v>
      </c>
      <c r="C16" t="s">
        <v>0</v>
      </c>
      <c r="D16" t="s">
        <v>151</v>
      </c>
      <c r="E16" t="s">
        <v>123</v>
      </c>
      <c r="F16">
        <v>19</v>
      </c>
      <c r="G16">
        <v>11</v>
      </c>
      <c r="H16">
        <v>16</v>
      </c>
      <c r="I16">
        <v>8</v>
      </c>
      <c r="J16">
        <v>12</v>
      </c>
      <c r="K16">
        <v>7</v>
      </c>
      <c r="L16">
        <v>16</v>
      </c>
      <c r="M16">
        <v>15</v>
      </c>
      <c r="N16">
        <v>8</v>
      </c>
      <c r="O16">
        <v>10</v>
      </c>
      <c r="P16">
        <v>-3</v>
      </c>
      <c r="Q16">
        <v>17</v>
      </c>
      <c r="R16">
        <v>38</v>
      </c>
      <c r="S16">
        <v>25</v>
      </c>
      <c r="T16">
        <v>15</v>
      </c>
      <c r="U16">
        <v>22</v>
      </c>
      <c r="V16">
        <v>6</v>
      </c>
      <c r="W16">
        <v>10</v>
      </c>
      <c r="X16">
        <v>4</v>
      </c>
      <c r="Y16">
        <v>15</v>
      </c>
      <c r="Z16">
        <v>39</v>
      </c>
      <c r="AA16">
        <v>10</v>
      </c>
      <c r="AB16">
        <v>3</v>
      </c>
      <c r="AC16">
        <v>33</v>
      </c>
      <c r="AD16">
        <v>49</v>
      </c>
      <c r="AE16">
        <v>33</v>
      </c>
    </row>
    <row r="17" spans="1:31" x14ac:dyDescent="0.3">
      <c r="A17" t="s">
        <v>253</v>
      </c>
      <c r="B17" t="s">
        <v>152</v>
      </c>
      <c r="C17" t="s">
        <v>0</v>
      </c>
      <c r="D17" t="s">
        <v>153</v>
      </c>
      <c r="E17" t="s">
        <v>123</v>
      </c>
      <c r="F17">
        <v>61</v>
      </c>
      <c r="G17">
        <v>27</v>
      </c>
      <c r="H17">
        <v>53</v>
      </c>
      <c r="I17">
        <v>46</v>
      </c>
      <c r="J17">
        <v>28</v>
      </c>
      <c r="K17">
        <v>31</v>
      </c>
      <c r="L17">
        <v>41</v>
      </c>
      <c r="M17">
        <v>51</v>
      </c>
      <c r="N17">
        <v>58</v>
      </c>
      <c r="O17">
        <v>13</v>
      </c>
      <c r="P17">
        <v>27</v>
      </c>
      <c r="Q17">
        <v>37</v>
      </c>
      <c r="R17">
        <v>36</v>
      </c>
      <c r="S17">
        <v>25</v>
      </c>
      <c r="T17">
        <v>37</v>
      </c>
      <c r="U17">
        <v>35</v>
      </c>
      <c r="V17">
        <v>38</v>
      </c>
      <c r="W17">
        <v>42</v>
      </c>
      <c r="X17">
        <v>23</v>
      </c>
      <c r="Y17">
        <v>49</v>
      </c>
      <c r="Z17">
        <v>46</v>
      </c>
      <c r="AA17">
        <v>51</v>
      </c>
      <c r="AB17">
        <v>87</v>
      </c>
      <c r="AC17">
        <v>85</v>
      </c>
      <c r="AD17">
        <v>65</v>
      </c>
      <c r="AE17">
        <v>63</v>
      </c>
    </row>
    <row r="18" spans="1:31" x14ac:dyDescent="0.3">
      <c r="A18" t="s">
        <v>253</v>
      </c>
      <c r="B18" t="s">
        <v>154</v>
      </c>
      <c r="C18" t="s">
        <v>0</v>
      </c>
      <c r="D18" t="s">
        <v>155</v>
      </c>
      <c r="E18" t="s">
        <v>123</v>
      </c>
      <c r="F18">
        <v>25</v>
      </c>
      <c r="G18">
        <v>12</v>
      </c>
      <c r="H18">
        <v>6</v>
      </c>
      <c r="I18">
        <v>25</v>
      </c>
      <c r="J18">
        <v>14</v>
      </c>
      <c r="K18">
        <v>13</v>
      </c>
      <c r="L18">
        <v>15</v>
      </c>
      <c r="M18">
        <v>17</v>
      </c>
      <c r="N18">
        <v>7</v>
      </c>
      <c r="O18">
        <v>13</v>
      </c>
      <c r="P18">
        <v>20</v>
      </c>
      <c r="Q18">
        <v>38</v>
      </c>
      <c r="R18">
        <v>22</v>
      </c>
      <c r="S18">
        <v>23</v>
      </c>
      <c r="T18">
        <v>13</v>
      </c>
      <c r="U18">
        <v>4</v>
      </c>
      <c r="V18">
        <v>-6</v>
      </c>
      <c r="W18">
        <v>21</v>
      </c>
      <c r="X18">
        <v>-18</v>
      </c>
      <c r="Y18">
        <v>3</v>
      </c>
      <c r="Z18">
        <v>10</v>
      </c>
      <c r="AA18">
        <v>15</v>
      </c>
      <c r="AB18">
        <v>34</v>
      </c>
      <c r="AC18">
        <v>35</v>
      </c>
      <c r="AD18">
        <v>3</v>
      </c>
      <c r="AE18">
        <v>28</v>
      </c>
    </row>
    <row r="19" spans="1:31" x14ac:dyDescent="0.3">
      <c r="A19" t="s">
        <v>253</v>
      </c>
      <c r="B19" t="s">
        <v>156</v>
      </c>
      <c r="C19" t="s">
        <v>0</v>
      </c>
      <c r="D19" t="s">
        <v>157</v>
      </c>
      <c r="E19" t="s">
        <v>123</v>
      </c>
      <c r="F19">
        <v>19</v>
      </c>
      <c r="G19">
        <v>12</v>
      </c>
      <c r="H19">
        <v>36</v>
      </c>
      <c r="I19">
        <v>39</v>
      </c>
      <c r="J19">
        <v>29</v>
      </c>
      <c r="K19">
        <v>51</v>
      </c>
      <c r="L19">
        <v>11</v>
      </c>
      <c r="M19">
        <v>2</v>
      </c>
      <c r="N19">
        <v>12</v>
      </c>
      <c r="O19">
        <v>9</v>
      </c>
      <c r="P19">
        <v>18</v>
      </c>
      <c r="Q19">
        <v>0</v>
      </c>
      <c r="R19">
        <v>14</v>
      </c>
      <c r="S19">
        <v>18</v>
      </c>
      <c r="T19">
        <v>13</v>
      </c>
      <c r="U19">
        <v>10</v>
      </c>
      <c r="V19">
        <v>5</v>
      </c>
      <c r="W19">
        <v>16</v>
      </c>
      <c r="X19">
        <v>12</v>
      </c>
      <c r="Y19">
        <v>6</v>
      </c>
      <c r="Z19">
        <v>9</v>
      </c>
      <c r="AA19">
        <v>47</v>
      </c>
      <c r="AB19">
        <v>7</v>
      </c>
      <c r="AC19">
        <v>14</v>
      </c>
      <c r="AD19">
        <v>1</v>
      </c>
      <c r="AE19">
        <v>32</v>
      </c>
    </row>
    <row r="20" spans="1:31" x14ac:dyDescent="0.3">
      <c r="A20" t="s">
        <v>253</v>
      </c>
      <c r="B20" t="s">
        <v>158</v>
      </c>
      <c r="C20" t="s">
        <v>0</v>
      </c>
      <c r="D20" t="s">
        <v>159</v>
      </c>
      <c r="E20" t="s">
        <v>123</v>
      </c>
      <c r="F20">
        <v>354</v>
      </c>
      <c r="G20">
        <v>369</v>
      </c>
      <c r="H20">
        <v>393</v>
      </c>
      <c r="I20">
        <v>367</v>
      </c>
      <c r="J20">
        <v>300</v>
      </c>
      <c r="K20">
        <v>350</v>
      </c>
      <c r="L20">
        <v>481</v>
      </c>
      <c r="M20">
        <v>410</v>
      </c>
      <c r="N20">
        <v>395</v>
      </c>
      <c r="O20">
        <v>642</v>
      </c>
      <c r="P20">
        <v>535</v>
      </c>
      <c r="Q20">
        <v>553</v>
      </c>
      <c r="R20">
        <v>617</v>
      </c>
      <c r="S20">
        <v>812</v>
      </c>
      <c r="T20">
        <v>774</v>
      </c>
      <c r="U20">
        <v>695</v>
      </c>
      <c r="V20">
        <v>879</v>
      </c>
      <c r="W20">
        <v>855</v>
      </c>
      <c r="X20">
        <v>1019</v>
      </c>
      <c r="Y20">
        <v>1178</v>
      </c>
      <c r="Z20">
        <v>1110</v>
      </c>
      <c r="AA20">
        <v>1468</v>
      </c>
      <c r="AB20">
        <v>1379</v>
      </c>
      <c r="AC20">
        <v>1137</v>
      </c>
      <c r="AD20">
        <v>1164</v>
      </c>
      <c r="AE20">
        <v>993</v>
      </c>
    </row>
    <row r="21" spans="1:31" x14ac:dyDescent="0.3">
      <c r="A21" t="s">
        <v>253</v>
      </c>
      <c r="B21" t="s">
        <v>160</v>
      </c>
      <c r="C21" t="s">
        <v>0</v>
      </c>
      <c r="D21" t="s">
        <v>161</v>
      </c>
      <c r="E21" t="s">
        <v>123</v>
      </c>
      <c r="F21">
        <v>557</v>
      </c>
      <c r="G21">
        <v>580</v>
      </c>
      <c r="H21">
        <v>625</v>
      </c>
      <c r="I21">
        <v>595</v>
      </c>
      <c r="J21">
        <v>539</v>
      </c>
      <c r="K21">
        <v>610</v>
      </c>
      <c r="L21">
        <v>700</v>
      </c>
      <c r="M21">
        <v>713</v>
      </c>
      <c r="N21">
        <v>723</v>
      </c>
      <c r="O21">
        <v>951</v>
      </c>
      <c r="P21">
        <v>866</v>
      </c>
      <c r="Q21">
        <v>967</v>
      </c>
      <c r="R21">
        <v>1014</v>
      </c>
      <c r="S21">
        <v>1275</v>
      </c>
      <c r="T21">
        <v>1246</v>
      </c>
      <c r="U21">
        <v>1250</v>
      </c>
      <c r="V21">
        <v>1320</v>
      </c>
      <c r="W21">
        <v>1202</v>
      </c>
      <c r="X21">
        <v>1433</v>
      </c>
      <c r="Y21">
        <v>1618</v>
      </c>
      <c r="Z21">
        <v>1490</v>
      </c>
      <c r="AA21">
        <v>1946</v>
      </c>
      <c r="AB21">
        <v>1801</v>
      </c>
      <c r="AC21">
        <v>1714</v>
      </c>
      <c r="AD21">
        <v>1647</v>
      </c>
      <c r="AE21">
        <v>1794</v>
      </c>
    </row>
    <row r="22" spans="1:31" x14ac:dyDescent="0.3">
      <c r="A22" t="s">
        <v>253</v>
      </c>
      <c r="B22" t="s">
        <v>162</v>
      </c>
      <c r="C22" t="s">
        <v>0</v>
      </c>
      <c r="D22" t="s">
        <v>163</v>
      </c>
      <c r="E22" t="s">
        <v>123</v>
      </c>
      <c r="F22">
        <v>203</v>
      </c>
      <c r="G22">
        <v>211</v>
      </c>
      <c r="H22">
        <v>232</v>
      </c>
      <c r="I22">
        <v>228</v>
      </c>
      <c r="J22">
        <v>239</v>
      </c>
      <c r="K22">
        <v>260</v>
      </c>
      <c r="L22">
        <v>219</v>
      </c>
      <c r="M22">
        <v>303</v>
      </c>
      <c r="N22">
        <v>328</v>
      </c>
      <c r="O22">
        <v>309</v>
      </c>
      <c r="P22">
        <v>331</v>
      </c>
      <c r="Q22">
        <v>414</v>
      </c>
      <c r="R22">
        <v>397</v>
      </c>
      <c r="S22">
        <v>463</v>
      </c>
      <c r="T22">
        <v>472</v>
      </c>
      <c r="U22">
        <v>555</v>
      </c>
      <c r="V22">
        <v>441</v>
      </c>
      <c r="W22">
        <v>347</v>
      </c>
      <c r="X22">
        <v>414</v>
      </c>
      <c r="Y22">
        <v>440</v>
      </c>
      <c r="Z22">
        <v>380</v>
      </c>
      <c r="AA22">
        <v>478</v>
      </c>
      <c r="AB22">
        <v>422</v>
      </c>
      <c r="AC22">
        <v>577</v>
      </c>
      <c r="AD22">
        <v>483</v>
      </c>
      <c r="AE22">
        <v>801</v>
      </c>
    </row>
    <row r="23" spans="1:31" x14ac:dyDescent="0.3">
      <c r="A23" t="s">
        <v>253</v>
      </c>
      <c r="B23" t="s">
        <v>164</v>
      </c>
      <c r="C23" t="s">
        <v>0</v>
      </c>
      <c r="D23" t="s">
        <v>165</v>
      </c>
      <c r="E23" t="s">
        <v>123</v>
      </c>
      <c r="F23">
        <v>21</v>
      </c>
      <c r="G23">
        <v>18</v>
      </c>
      <c r="H23">
        <v>38</v>
      </c>
      <c r="I23">
        <v>35</v>
      </c>
      <c r="J23">
        <v>46</v>
      </c>
      <c r="K23">
        <v>53</v>
      </c>
      <c r="L23">
        <v>44</v>
      </c>
      <c r="M23">
        <v>54</v>
      </c>
      <c r="N23">
        <v>54</v>
      </c>
      <c r="O23">
        <v>65</v>
      </c>
      <c r="P23">
        <v>62</v>
      </c>
      <c r="Q23">
        <v>77</v>
      </c>
      <c r="R23">
        <v>101</v>
      </c>
      <c r="S23">
        <v>116</v>
      </c>
      <c r="T23">
        <v>114</v>
      </c>
      <c r="U23">
        <v>144</v>
      </c>
      <c r="V23">
        <v>100</v>
      </c>
      <c r="W23">
        <v>130</v>
      </c>
      <c r="X23">
        <v>90</v>
      </c>
      <c r="Y23">
        <v>134</v>
      </c>
      <c r="Z23">
        <v>125</v>
      </c>
      <c r="AA23">
        <v>112</v>
      </c>
      <c r="AB23">
        <v>131</v>
      </c>
      <c r="AC23">
        <v>139</v>
      </c>
      <c r="AD23">
        <v>158</v>
      </c>
      <c r="AE23">
        <v>235</v>
      </c>
    </row>
    <row r="24" spans="1:31" x14ac:dyDescent="0.3">
      <c r="A24" t="s">
        <v>253</v>
      </c>
      <c r="B24" t="s">
        <v>166</v>
      </c>
      <c r="C24" t="s">
        <v>0</v>
      </c>
      <c r="D24" t="s">
        <v>167</v>
      </c>
      <c r="E24" t="s">
        <v>123</v>
      </c>
      <c r="F24">
        <v>159</v>
      </c>
      <c r="G24">
        <v>276</v>
      </c>
      <c r="H24">
        <v>269</v>
      </c>
      <c r="I24">
        <v>233</v>
      </c>
      <c r="J24">
        <v>267</v>
      </c>
      <c r="K24">
        <v>283</v>
      </c>
      <c r="L24">
        <v>188</v>
      </c>
      <c r="M24">
        <v>240</v>
      </c>
      <c r="N24">
        <v>307</v>
      </c>
      <c r="O24">
        <v>357</v>
      </c>
      <c r="P24">
        <v>251</v>
      </c>
      <c r="Q24">
        <v>104</v>
      </c>
      <c r="R24">
        <v>349</v>
      </c>
      <c r="S24">
        <v>321</v>
      </c>
      <c r="T24">
        <v>313</v>
      </c>
      <c r="U24">
        <v>279</v>
      </c>
      <c r="V24">
        <v>243</v>
      </c>
      <c r="W24">
        <v>364</v>
      </c>
      <c r="X24">
        <v>342</v>
      </c>
      <c r="Y24">
        <v>262</v>
      </c>
      <c r="Z24">
        <v>118</v>
      </c>
      <c r="AA24">
        <v>396</v>
      </c>
      <c r="AB24">
        <v>488</v>
      </c>
      <c r="AC24">
        <v>502</v>
      </c>
      <c r="AD24">
        <v>398</v>
      </c>
      <c r="AE24">
        <v>374</v>
      </c>
    </row>
    <row r="25" spans="1:31" x14ac:dyDescent="0.3">
      <c r="A25" t="s">
        <v>253</v>
      </c>
      <c r="B25" t="s">
        <v>168</v>
      </c>
      <c r="C25" t="s">
        <v>0</v>
      </c>
      <c r="D25" t="s">
        <v>169</v>
      </c>
      <c r="E25" t="s">
        <v>123</v>
      </c>
      <c r="F25">
        <v>14</v>
      </c>
      <c r="G25">
        <v>16</v>
      </c>
      <c r="H25">
        <v>28</v>
      </c>
      <c r="I25">
        <v>25</v>
      </c>
      <c r="J25">
        <v>41</v>
      </c>
      <c r="K25">
        <v>19</v>
      </c>
      <c r="L25">
        <v>21</v>
      </c>
      <c r="M25">
        <v>22</v>
      </c>
      <c r="N25">
        <v>32</v>
      </c>
      <c r="O25">
        <v>51</v>
      </c>
      <c r="P25">
        <v>51</v>
      </c>
      <c r="Q25">
        <v>54</v>
      </c>
      <c r="R25">
        <v>42</v>
      </c>
      <c r="S25">
        <v>58</v>
      </c>
      <c r="T25">
        <v>45</v>
      </c>
      <c r="U25">
        <v>52</v>
      </c>
      <c r="V25">
        <v>2</v>
      </c>
      <c r="W25">
        <v>41</v>
      </c>
      <c r="X25">
        <v>36</v>
      </c>
      <c r="Y25">
        <v>20</v>
      </c>
      <c r="Z25">
        <v>25</v>
      </c>
      <c r="AA25">
        <v>40</v>
      </c>
      <c r="AB25">
        <v>28</v>
      </c>
      <c r="AC25">
        <v>59</v>
      </c>
      <c r="AD25">
        <v>70</v>
      </c>
      <c r="AE25">
        <v>39</v>
      </c>
    </row>
    <row r="26" spans="1:31" x14ac:dyDescent="0.3">
      <c r="A26" t="s">
        <v>253</v>
      </c>
      <c r="B26" t="s">
        <v>170</v>
      </c>
      <c r="C26" t="s">
        <v>0</v>
      </c>
      <c r="D26" t="s">
        <v>171</v>
      </c>
      <c r="E26" t="s">
        <v>123</v>
      </c>
      <c r="F26">
        <v>24</v>
      </c>
      <c r="G26">
        <v>177</v>
      </c>
      <c r="H26">
        <v>121</v>
      </c>
      <c r="I26">
        <v>105</v>
      </c>
      <c r="J26">
        <v>109</v>
      </c>
      <c r="K26">
        <v>111</v>
      </c>
      <c r="L26">
        <v>66</v>
      </c>
      <c r="M26">
        <v>81</v>
      </c>
      <c r="N26">
        <v>71</v>
      </c>
      <c r="O26">
        <v>68</v>
      </c>
      <c r="P26">
        <v>96</v>
      </c>
      <c r="Q26">
        <v>-18</v>
      </c>
      <c r="R26">
        <v>154</v>
      </c>
      <c r="S26">
        <v>120</v>
      </c>
      <c r="T26">
        <v>47</v>
      </c>
      <c r="U26">
        <v>33</v>
      </c>
      <c r="V26">
        <v>126</v>
      </c>
      <c r="W26">
        <v>151</v>
      </c>
      <c r="X26">
        <v>110</v>
      </c>
      <c r="Y26">
        <v>143</v>
      </c>
      <c r="Z26">
        <v>-78</v>
      </c>
      <c r="AA26">
        <v>181</v>
      </c>
      <c r="AB26">
        <v>220</v>
      </c>
      <c r="AC26">
        <v>244</v>
      </c>
      <c r="AD26">
        <v>128</v>
      </c>
      <c r="AE26">
        <v>91</v>
      </c>
    </row>
    <row r="27" spans="1:31" x14ac:dyDescent="0.3">
      <c r="A27" t="s">
        <v>253</v>
      </c>
      <c r="B27" t="s">
        <v>172</v>
      </c>
      <c r="C27" t="s">
        <v>0</v>
      </c>
      <c r="D27" t="s">
        <v>173</v>
      </c>
      <c r="E27" t="s">
        <v>123</v>
      </c>
      <c r="F27">
        <v>121</v>
      </c>
      <c r="G27">
        <v>83</v>
      </c>
      <c r="H27">
        <v>120</v>
      </c>
      <c r="I27">
        <v>103</v>
      </c>
      <c r="J27">
        <v>117</v>
      </c>
      <c r="K27">
        <v>153</v>
      </c>
      <c r="L27">
        <v>101</v>
      </c>
      <c r="M27">
        <v>137</v>
      </c>
      <c r="N27">
        <v>204</v>
      </c>
      <c r="O27">
        <v>238</v>
      </c>
      <c r="P27">
        <v>104</v>
      </c>
      <c r="Q27">
        <v>68</v>
      </c>
      <c r="R27">
        <v>153</v>
      </c>
      <c r="S27">
        <v>143</v>
      </c>
      <c r="T27">
        <v>221</v>
      </c>
      <c r="U27">
        <v>194</v>
      </c>
      <c r="V27">
        <v>115</v>
      </c>
      <c r="W27">
        <v>172</v>
      </c>
      <c r="X27">
        <v>196</v>
      </c>
      <c r="Y27">
        <v>99</v>
      </c>
      <c r="Z27">
        <v>171</v>
      </c>
      <c r="AA27">
        <v>175</v>
      </c>
      <c r="AB27">
        <v>240</v>
      </c>
      <c r="AC27">
        <v>199</v>
      </c>
      <c r="AD27">
        <v>200</v>
      </c>
      <c r="AE27">
        <v>244</v>
      </c>
    </row>
    <row r="28" spans="1:31" x14ac:dyDescent="0.3">
      <c r="A28" t="s">
        <v>253</v>
      </c>
      <c r="B28" t="s">
        <v>174</v>
      </c>
      <c r="C28" t="s">
        <v>0</v>
      </c>
      <c r="D28" t="s">
        <v>175</v>
      </c>
      <c r="E28" t="s">
        <v>123</v>
      </c>
      <c r="F28">
        <v>180</v>
      </c>
      <c r="G28">
        <v>238</v>
      </c>
      <c r="H28">
        <v>219</v>
      </c>
      <c r="I28">
        <v>334</v>
      </c>
      <c r="J28">
        <v>241</v>
      </c>
      <c r="K28">
        <v>213</v>
      </c>
      <c r="L28">
        <v>190</v>
      </c>
      <c r="M28">
        <v>197</v>
      </c>
      <c r="N28">
        <v>246</v>
      </c>
      <c r="O28">
        <v>227</v>
      </c>
      <c r="P28">
        <v>135</v>
      </c>
      <c r="Q28">
        <v>265</v>
      </c>
      <c r="R28">
        <v>289</v>
      </c>
      <c r="S28">
        <v>425</v>
      </c>
      <c r="T28">
        <v>303</v>
      </c>
      <c r="U28">
        <v>273</v>
      </c>
      <c r="V28">
        <v>268</v>
      </c>
      <c r="W28">
        <v>240</v>
      </c>
      <c r="X28">
        <v>253</v>
      </c>
      <c r="Y28">
        <v>223</v>
      </c>
      <c r="Z28">
        <v>266</v>
      </c>
      <c r="AA28">
        <v>339</v>
      </c>
      <c r="AB28">
        <v>441</v>
      </c>
      <c r="AC28">
        <v>536</v>
      </c>
      <c r="AD28">
        <v>499</v>
      </c>
      <c r="AE28">
        <v>527</v>
      </c>
    </row>
    <row r="29" spans="1:31" x14ac:dyDescent="0.3">
      <c r="A29" t="s">
        <v>253</v>
      </c>
      <c r="B29" t="s">
        <v>176</v>
      </c>
      <c r="C29" t="s">
        <v>0</v>
      </c>
      <c r="D29" t="s">
        <v>177</v>
      </c>
      <c r="E29" t="s">
        <v>123</v>
      </c>
      <c r="F29">
        <v>25</v>
      </c>
      <c r="G29">
        <v>85</v>
      </c>
      <c r="H29">
        <v>69</v>
      </c>
      <c r="I29">
        <v>54</v>
      </c>
      <c r="J29">
        <v>66</v>
      </c>
      <c r="K29">
        <v>58</v>
      </c>
      <c r="L29">
        <v>54</v>
      </c>
      <c r="M29">
        <v>49</v>
      </c>
      <c r="N29">
        <v>46</v>
      </c>
      <c r="O29">
        <v>41</v>
      </c>
      <c r="P29">
        <v>63</v>
      </c>
      <c r="Q29">
        <v>85</v>
      </c>
      <c r="R29">
        <v>62</v>
      </c>
      <c r="S29">
        <v>108</v>
      </c>
      <c r="T29">
        <v>111</v>
      </c>
      <c r="U29">
        <v>77</v>
      </c>
      <c r="V29">
        <v>118</v>
      </c>
      <c r="W29">
        <v>50</v>
      </c>
      <c r="X29">
        <v>97</v>
      </c>
      <c r="Y29">
        <v>53</v>
      </c>
      <c r="Z29">
        <v>105</v>
      </c>
      <c r="AA29">
        <v>68</v>
      </c>
      <c r="AB29">
        <v>41</v>
      </c>
      <c r="AC29">
        <v>87</v>
      </c>
      <c r="AD29">
        <v>133</v>
      </c>
      <c r="AE29">
        <v>168</v>
      </c>
    </row>
    <row r="30" spans="1:31" x14ac:dyDescent="0.3">
      <c r="A30" t="s">
        <v>253</v>
      </c>
      <c r="B30" t="s">
        <v>178</v>
      </c>
      <c r="C30" t="s">
        <v>0</v>
      </c>
      <c r="D30" t="s">
        <v>179</v>
      </c>
      <c r="E30" t="s">
        <v>123</v>
      </c>
      <c r="F30">
        <v>2</v>
      </c>
      <c r="G30">
        <v>-6</v>
      </c>
      <c r="H30">
        <v>-7</v>
      </c>
      <c r="I30">
        <v>6</v>
      </c>
      <c r="J30">
        <v>2</v>
      </c>
      <c r="K30">
        <v>1</v>
      </c>
      <c r="L30">
        <v>3</v>
      </c>
      <c r="M30">
        <v>4</v>
      </c>
      <c r="N30">
        <v>-6</v>
      </c>
      <c r="O30">
        <v>2</v>
      </c>
      <c r="P30">
        <v>0</v>
      </c>
      <c r="Q30">
        <v>3</v>
      </c>
      <c r="R30">
        <v>3</v>
      </c>
      <c r="S30">
        <v>1</v>
      </c>
      <c r="T30">
        <v>3</v>
      </c>
      <c r="U30">
        <v>11</v>
      </c>
      <c r="V30">
        <v>5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16</v>
      </c>
      <c r="AD30">
        <v>3</v>
      </c>
      <c r="AE30">
        <v>3</v>
      </c>
    </row>
    <row r="31" spans="1:31" x14ac:dyDescent="0.3">
      <c r="A31" t="s">
        <v>253</v>
      </c>
      <c r="B31" t="s">
        <v>180</v>
      </c>
      <c r="C31" t="s">
        <v>0</v>
      </c>
      <c r="D31" t="s">
        <v>181</v>
      </c>
      <c r="E31" t="s">
        <v>123</v>
      </c>
      <c r="F31">
        <v>4</v>
      </c>
      <c r="G31">
        <v>11</v>
      </c>
      <c r="H31">
        <v>10</v>
      </c>
      <c r="I31">
        <v>15</v>
      </c>
      <c r="J31">
        <v>20</v>
      </c>
      <c r="K31">
        <v>4</v>
      </c>
      <c r="L31">
        <v>-2</v>
      </c>
      <c r="M31">
        <v>-1</v>
      </c>
      <c r="N31">
        <v>0</v>
      </c>
      <c r="O31">
        <v>0</v>
      </c>
      <c r="P31">
        <v>0</v>
      </c>
      <c r="Q31">
        <v>2</v>
      </c>
      <c r="R31">
        <v>-3</v>
      </c>
      <c r="S31">
        <v>16</v>
      </c>
      <c r="T31">
        <v>-43</v>
      </c>
      <c r="U31">
        <v>2</v>
      </c>
      <c r="V31">
        <v>1</v>
      </c>
      <c r="W31">
        <v>1</v>
      </c>
      <c r="X31">
        <v>0</v>
      </c>
      <c r="Y31">
        <v>1</v>
      </c>
      <c r="Z31">
        <v>-12</v>
      </c>
      <c r="AA31">
        <v>23</v>
      </c>
      <c r="AB31">
        <v>7</v>
      </c>
      <c r="AC31">
        <v>10</v>
      </c>
      <c r="AD31">
        <v>9</v>
      </c>
      <c r="AE31">
        <v>0</v>
      </c>
    </row>
    <row r="32" spans="1:31" x14ac:dyDescent="0.3">
      <c r="A32" t="s">
        <v>253</v>
      </c>
      <c r="B32" t="s">
        <v>182</v>
      </c>
      <c r="C32" t="s">
        <v>0</v>
      </c>
      <c r="D32" t="s">
        <v>183</v>
      </c>
      <c r="E32" t="s">
        <v>123</v>
      </c>
      <c r="F32">
        <v>142</v>
      </c>
      <c r="G32">
        <v>134</v>
      </c>
      <c r="H32">
        <v>126</v>
      </c>
      <c r="I32">
        <v>224</v>
      </c>
      <c r="J32">
        <v>140</v>
      </c>
      <c r="K32">
        <v>133</v>
      </c>
      <c r="L32">
        <v>126</v>
      </c>
      <c r="M32">
        <v>141</v>
      </c>
      <c r="N32">
        <v>199</v>
      </c>
      <c r="O32">
        <v>178</v>
      </c>
      <c r="P32">
        <v>67</v>
      </c>
      <c r="Q32">
        <v>174</v>
      </c>
      <c r="R32">
        <v>231</v>
      </c>
      <c r="S32">
        <v>261</v>
      </c>
      <c r="T32">
        <v>193</v>
      </c>
      <c r="U32">
        <v>177</v>
      </c>
      <c r="V32">
        <v>138</v>
      </c>
      <c r="W32">
        <v>152</v>
      </c>
      <c r="X32">
        <v>152</v>
      </c>
      <c r="Y32">
        <v>154</v>
      </c>
      <c r="Z32">
        <v>241</v>
      </c>
      <c r="AA32">
        <v>281</v>
      </c>
      <c r="AB32">
        <v>392</v>
      </c>
      <c r="AC32">
        <v>423</v>
      </c>
      <c r="AD32">
        <v>354</v>
      </c>
      <c r="AE32">
        <v>356</v>
      </c>
    </row>
    <row r="33" spans="1:31" x14ac:dyDescent="0.3">
      <c r="A33" t="s">
        <v>253</v>
      </c>
      <c r="B33" t="s">
        <v>184</v>
      </c>
      <c r="C33" t="s">
        <v>0</v>
      </c>
      <c r="D33" t="s">
        <v>185</v>
      </c>
      <c r="E33" t="s">
        <v>123</v>
      </c>
      <c r="F33">
        <v>7</v>
      </c>
      <c r="G33">
        <v>14</v>
      </c>
      <c r="H33">
        <v>21</v>
      </c>
      <c r="I33">
        <v>35</v>
      </c>
      <c r="J33">
        <v>13</v>
      </c>
      <c r="K33">
        <v>17</v>
      </c>
      <c r="L33">
        <v>9</v>
      </c>
      <c r="M33">
        <v>4</v>
      </c>
      <c r="N33">
        <v>7</v>
      </c>
      <c r="O33">
        <v>6</v>
      </c>
      <c r="P33">
        <v>5</v>
      </c>
      <c r="Q33">
        <v>1</v>
      </c>
      <c r="R33">
        <v>-4</v>
      </c>
      <c r="S33">
        <v>39</v>
      </c>
      <c r="T33">
        <v>39</v>
      </c>
      <c r="U33">
        <v>6</v>
      </c>
      <c r="V33">
        <v>6</v>
      </c>
      <c r="W33">
        <v>36</v>
      </c>
      <c r="X33">
        <v>1</v>
      </c>
      <c r="Y33">
        <v>14</v>
      </c>
      <c r="Z33">
        <v>-69</v>
      </c>
      <c r="AA33">
        <v>-34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253</v>
      </c>
      <c r="B34" t="s">
        <v>186</v>
      </c>
      <c r="C34" t="s">
        <v>0</v>
      </c>
      <c r="D34" t="s">
        <v>187</v>
      </c>
      <c r="E34" t="s">
        <v>123</v>
      </c>
      <c r="F34">
        <v>27</v>
      </c>
      <c r="G34">
        <v>33</v>
      </c>
      <c r="H34">
        <v>41</v>
      </c>
      <c r="I34">
        <v>27</v>
      </c>
      <c r="J34">
        <v>37</v>
      </c>
      <c r="K34">
        <v>31</v>
      </c>
      <c r="L34">
        <v>16</v>
      </c>
      <c r="M34">
        <v>51</v>
      </c>
      <c r="N34">
        <v>19</v>
      </c>
      <c r="O34">
        <v>39</v>
      </c>
      <c r="P34">
        <v>40</v>
      </c>
      <c r="Q34">
        <v>69</v>
      </c>
      <c r="R34">
        <v>69</v>
      </c>
      <c r="S34">
        <v>70</v>
      </c>
      <c r="T34">
        <v>79</v>
      </c>
      <c r="U34">
        <v>95</v>
      </c>
      <c r="V34">
        <v>52</v>
      </c>
      <c r="W34">
        <v>60</v>
      </c>
      <c r="X34">
        <v>38</v>
      </c>
      <c r="Y34">
        <v>49</v>
      </c>
      <c r="Z34">
        <v>58</v>
      </c>
      <c r="AA34">
        <v>76</v>
      </c>
      <c r="AB34">
        <v>100</v>
      </c>
      <c r="AC34">
        <v>100</v>
      </c>
      <c r="AD34">
        <v>89</v>
      </c>
      <c r="AE34">
        <v>123</v>
      </c>
    </row>
    <row r="35" spans="1:31" x14ac:dyDescent="0.3">
      <c r="A35" t="s">
        <v>253</v>
      </c>
      <c r="B35" t="s">
        <v>188</v>
      </c>
      <c r="C35" t="s">
        <v>0</v>
      </c>
      <c r="D35" t="s">
        <v>189</v>
      </c>
      <c r="E35" t="s">
        <v>123</v>
      </c>
      <c r="F35">
        <v>338</v>
      </c>
      <c r="G35">
        <v>373</v>
      </c>
      <c r="H35">
        <v>377</v>
      </c>
      <c r="I35">
        <v>376</v>
      </c>
      <c r="J35">
        <v>481</v>
      </c>
      <c r="K35">
        <v>485</v>
      </c>
      <c r="L35">
        <v>504</v>
      </c>
      <c r="M35">
        <v>415</v>
      </c>
      <c r="N35">
        <v>326</v>
      </c>
      <c r="O35">
        <v>109</v>
      </c>
      <c r="P35">
        <v>94</v>
      </c>
      <c r="Q35">
        <v>142</v>
      </c>
      <c r="R35">
        <v>141</v>
      </c>
      <c r="S35">
        <v>144</v>
      </c>
      <c r="T35">
        <v>157</v>
      </c>
      <c r="U35">
        <v>177</v>
      </c>
      <c r="V35">
        <v>180</v>
      </c>
      <c r="W35">
        <v>141</v>
      </c>
      <c r="X35">
        <v>225</v>
      </c>
      <c r="Y35">
        <v>434</v>
      </c>
      <c r="Z35">
        <v>403</v>
      </c>
      <c r="AA35">
        <v>232</v>
      </c>
      <c r="AB35">
        <v>266</v>
      </c>
      <c r="AC35">
        <v>320</v>
      </c>
      <c r="AD35">
        <v>322</v>
      </c>
      <c r="AE35">
        <v>614</v>
      </c>
    </row>
    <row r="36" spans="1:31" x14ac:dyDescent="0.3">
      <c r="A36" t="s">
        <v>253</v>
      </c>
      <c r="B36" t="s">
        <v>190</v>
      </c>
      <c r="C36" t="s">
        <v>0</v>
      </c>
      <c r="D36" t="s">
        <v>191</v>
      </c>
      <c r="E36" t="s">
        <v>123</v>
      </c>
      <c r="F36">
        <v>12</v>
      </c>
      <c r="G36">
        <v>8</v>
      </c>
      <c r="H36">
        <v>32</v>
      </c>
      <c r="I36">
        <v>32</v>
      </c>
      <c r="J36">
        <v>20</v>
      </c>
      <c r="K36">
        <v>13</v>
      </c>
      <c r="L36">
        <v>4</v>
      </c>
      <c r="M36">
        <v>11</v>
      </c>
      <c r="N36">
        <v>14</v>
      </c>
      <c r="O36">
        <v>14</v>
      </c>
      <c r="P36">
        <v>14</v>
      </c>
      <c r="Q36">
        <v>9</v>
      </c>
      <c r="R36">
        <v>15</v>
      </c>
      <c r="S36">
        <v>-5</v>
      </c>
      <c r="T36">
        <v>13</v>
      </c>
      <c r="U36">
        <v>13</v>
      </c>
      <c r="V36">
        <v>18</v>
      </c>
      <c r="W36">
        <v>-6</v>
      </c>
      <c r="X36">
        <v>28</v>
      </c>
      <c r="Y36">
        <v>-106</v>
      </c>
      <c r="Z36">
        <v>9</v>
      </c>
      <c r="AA36">
        <v>-2</v>
      </c>
      <c r="AB36">
        <v>29</v>
      </c>
      <c r="AC36">
        <v>25</v>
      </c>
      <c r="AD36">
        <v>22</v>
      </c>
      <c r="AE36">
        <v>2</v>
      </c>
    </row>
    <row r="37" spans="1:31" x14ac:dyDescent="0.3">
      <c r="A37" t="s">
        <v>253</v>
      </c>
      <c r="B37" t="s">
        <v>192</v>
      </c>
      <c r="C37" t="s">
        <v>0</v>
      </c>
      <c r="D37" t="s">
        <v>193</v>
      </c>
      <c r="E37" t="s">
        <v>123</v>
      </c>
      <c r="F37">
        <v>325</v>
      </c>
      <c r="G37">
        <v>361</v>
      </c>
      <c r="H37">
        <v>343</v>
      </c>
      <c r="I37">
        <v>339</v>
      </c>
      <c r="J37">
        <v>459</v>
      </c>
      <c r="K37">
        <v>465</v>
      </c>
      <c r="L37">
        <v>497</v>
      </c>
      <c r="M37">
        <v>403</v>
      </c>
      <c r="N37">
        <v>312</v>
      </c>
      <c r="O37">
        <v>145</v>
      </c>
      <c r="P37">
        <v>79</v>
      </c>
      <c r="Q37">
        <v>129</v>
      </c>
      <c r="R37">
        <v>123</v>
      </c>
      <c r="S37">
        <v>147</v>
      </c>
      <c r="T37">
        <v>141</v>
      </c>
      <c r="U37">
        <v>161</v>
      </c>
      <c r="V37">
        <v>137</v>
      </c>
      <c r="W37">
        <v>130</v>
      </c>
      <c r="X37">
        <v>185</v>
      </c>
      <c r="Y37">
        <v>139</v>
      </c>
      <c r="Z37">
        <v>205</v>
      </c>
      <c r="AA37">
        <v>218</v>
      </c>
      <c r="AB37">
        <v>218</v>
      </c>
      <c r="AC37">
        <v>194</v>
      </c>
      <c r="AD37">
        <v>125</v>
      </c>
      <c r="AE37">
        <v>211</v>
      </c>
    </row>
    <row r="38" spans="1:31" x14ac:dyDescent="0.3">
      <c r="A38" t="s">
        <v>253</v>
      </c>
      <c r="B38" t="s">
        <v>194</v>
      </c>
      <c r="C38" t="s">
        <v>0</v>
      </c>
      <c r="D38" t="s">
        <v>195</v>
      </c>
      <c r="E38" t="s">
        <v>123</v>
      </c>
      <c r="F38">
        <v>1</v>
      </c>
      <c r="G38">
        <v>4</v>
      </c>
      <c r="H38">
        <v>2</v>
      </c>
      <c r="I38">
        <v>5</v>
      </c>
      <c r="J38">
        <v>2</v>
      </c>
      <c r="K38">
        <v>7</v>
      </c>
      <c r="L38">
        <v>3</v>
      </c>
      <c r="M38">
        <v>1</v>
      </c>
      <c r="N38">
        <v>0</v>
      </c>
      <c r="O38">
        <v>-50</v>
      </c>
      <c r="P38">
        <v>1</v>
      </c>
      <c r="Q38">
        <v>4</v>
      </c>
      <c r="R38">
        <v>3</v>
      </c>
      <c r="S38">
        <v>2</v>
      </c>
      <c r="T38">
        <v>3</v>
      </c>
      <c r="U38">
        <v>3</v>
      </c>
      <c r="V38">
        <v>25</v>
      </c>
      <c r="W38">
        <v>17</v>
      </c>
      <c r="X38">
        <v>12</v>
      </c>
      <c r="Y38">
        <v>401</v>
      </c>
      <c r="Z38">
        <v>189</v>
      </c>
      <c r="AA38">
        <v>16</v>
      </c>
      <c r="AB38">
        <v>19</v>
      </c>
      <c r="AC38">
        <v>101</v>
      </c>
      <c r="AD38">
        <v>175</v>
      </c>
      <c r="AE38">
        <v>401</v>
      </c>
    </row>
    <row r="39" spans="1:31" x14ac:dyDescent="0.3">
      <c r="A39" t="s">
        <v>253</v>
      </c>
      <c r="B39" t="s">
        <v>196</v>
      </c>
      <c r="C39" t="s">
        <v>0</v>
      </c>
      <c r="D39" t="s">
        <v>197</v>
      </c>
      <c r="E39" t="s">
        <v>123</v>
      </c>
      <c r="F39">
        <v>-195</v>
      </c>
      <c r="G39">
        <v>-155</v>
      </c>
      <c r="H39">
        <v>-227</v>
      </c>
      <c r="I39">
        <v>-50</v>
      </c>
      <c r="J39">
        <v>-43</v>
      </c>
      <c r="K39">
        <v>15</v>
      </c>
      <c r="L39">
        <v>-45</v>
      </c>
      <c r="M39">
        <v>-38</v>
      </c>
      <c r="N39">
        <v>-62</v>
      </c>
      <c r="O39">
        <v>-101</v>
      </c>
      <c r="P39">
        <v>-19</v>
      </c>
      <c r="Q39">
        <v>-22</v>
      </c>
      <c r="R39">
        <v>50</v>
      </c>
      <c r="S39">
        <v>55</v>
      </c>
      <c r="T39">
        <v>97</v>
      </c>
      <c r="U39">
        <v>0</v>
      </c>
      <c r="V39">
        <v>13</v>
      </c>
      <c r="W39">
        <v>18</v>
      </c>
      <c r="X39">
        <v>14</v>
      </c>
      <c r="Y39">
        <v>31</v>
      </c>
      <c r="Z39">
        <v>23</v>
      </c>
      <c r="AA39">
        <v>123</v>
      </c>
      <c r="AB39">
        <v>2</v>
      </c>
      <c r="AC39">
        <v>-5</v>
      </c>
      <c r="AD39">
        <v>7</v>
      </c>
      <c r="AE39">
        <v>-1</v>
      </c>
    </row>
    <row r="40" spans="1:31" x14ac:dyDescent="0.3">
      <c r="A40" t="s">
        <v>253</v>
      </c>
      <c r="B40" t="s">
        <v>198</v>
      </c>
      <c r="C40" t="s">
        <v>0</v>
      </c>
      <c r="D40" t="s">
        <v>199</v>
      </c>
      <c r="E40" t="s">
        <v>123</v>
      </c>
      <c r="F40">
        <v>394</v>
      </c>
      <c r="G40">
        <v>880</v>
      </c>
      <c r="H40">
        <v>703</v>
      </c>
      <c r="I40">
        <v>1255</v>
      </c>
      <c r="J40">
        <v>1589</v>
      </c>
      <c r="K40">
        <v>2504</v>
      </c>
      <c r="L40">
        <v>3257</v>
      </c>
      <c r="M40">
        <v>3010</v>
      </c>
      <c r="N40">
        <v>2576</v>
      </c>
      <c r="O40">
        <v>2914</v>
      </c>
      <c r="P40">
        <v>3587</v>
      </c>
      <c r="Q40">
        <v>3788</v>
      </c>
      <c r="R40">
        <v>5382</v>
      </c>
      <c r="S40">
        <v>6193</v>
      </c>
      <c r="T40">
        <v>4593</v>
      </c>
      <c r="U40">
        <v>4109</v>
      </c>
      <c r="V40">
        <v>4419</v>
      </c>
      <c r="W40">
        <v>4505</v>
      </c>
      <c r="X40">
        <v>4327</v>
      </c>
      <c r="Y40">
        <v>3676</v>
      </c>
      <c r="Z40">
        <v>4410</v>
      </c>
      <c r="AA40">
        <v>4336</v>
      </c>
      <c r="AB40">
        <v>4816</v>
      </c>
      <c r="AC40">
        <v>5484</v>
      </c>
      <c r="AD40">
        <v>6162</v>
      </c>
      <c r="AE40">
        <v>5844</v>
      </c>
    </row>
    <row r="41" spans="1:31" x14ac:dyDescent="0.3">
      <c r="A41" t="s">
        <v>253</v>
      </c>
      <c r="B41" t="s">
        <v>200</v>
      </c>
      <c r="C41" t="s">
        <v>0</v>
      </c>
      <c r="D41" t="s">
        <v>201</v>
      </c>
      <c r="E41" t="s">
        <v>123</v>
      </c>
      <c r="F41">
        <v>63</v>
      </c>
      <c r="G41">
        <v>60</v>
      </c>
      <c r="H41">
        <v>80</v>
      </c>
      <c r="I41">
        <v>86</v>
      </c>
      <c r="J41">
        <v>92</v>
      </c>
      <c r="K41">
        <v>120</v>
      </c>
      <c r="L41">
        <v>111</v>
      </c>
      <c r="M41">
        <v>130</v>
      </c>
      <c r="N41">
        <v>161</v>
      </c>
      <c r="O41">
        <v>161</v>
      </c>
      <c r="P41">
        <v>223</v>
      </c>
      <c r="Q41">
        <v>243</v>
      </c>
      <c r="R41">
        <v>229</v>
      </c>
      <c r="S41">
        <v>216</v>
      </c>
      <c r="T41">
        <v>178</v>
      </c>
      <c r="U41">
        <v>257</v>
      </c>
      <c r="V41">
        <v>293</v>
      </c>
      <c r="W41">
        <v>274</v>
      </c>
      <c r="X41">
        <v>302</v>
      </c>
      <c r="Y41">
        <v>388</v>
      </c>
      <c r="Z41">
        <v>431</v>
      </c>
      <c r="AA41">
        <v>432</v>
      </c>
      <c r="AB41">
        <v>407</v>
      </c>
      <c r="AC41">
        <v>398</v>
      </c>
      <c r="AD41">
        <v>401</v>
      </c>
      <c r="AE41">
        <v>387</v>
      </c>
    </row>
    <row r="42" spans="1:31" x14ac:dyDescent="0.3">
      <c r="A42" t="s">
        <v>253</v>
      </c>
      <c r="B42" t="s">
        <v>202</v>
      </c>
      <c r="C42" t="s">
        <v>0</v>
      </c>
      <c r="D42" t="s">
        <v>203</v>
      </c>
      <c r="E42" t="s">
        <v>123</v>
      </c>
      <c r="F42">
        <v>5</v>
      </c>
      <c r="G42">
        <v>14</v>
      </c>
      <c r="H42">
        <v>28</v>
      </c>
      <c r="I42">
        <v>33</v>
      </c>
      <c r="J42">
        <v>34</v>
      </c>
      <c r="K42">
        <v>42</v>
      </c>
      <c r="L42">
        <v>26</v>
      </c>
      <c r="M42">
        <v>32</v>
      </c>
      <c r="N42">
        <v>27</v>
      </c>
      <c r="O42">
        <v>24</v>
      </c>
      <c r="P42">
        <v>43</v>
      </c>
      <c r="Q42">
        <v>39</v>
      </c>
      <c r="R42">
        <v>79</v>
      </c>
      <c r="S42">
        <v>55</v>
      </c>
      <c r="T42">
        <v>50</v>
      </c>
      <c r="U42">
        <v>119</v>
      </c>
      <c r="V42">
        <v>110</v>
      </c>
      <c r="W42">
        <v>37</v>
      </c>
      <c r="X42">
        <v>-9</v>
      </c>
      <c r="Y42">
        <v>42</v>
      </c>
      <c r="Z42">
        <v>76</v>
      </c>
      <c r="AA42">
        <v>37</v>
      </c>
      <c r="AB42">
        <v>72</v>
      </c>
      <c r="AC42">
        <v>91</v>
      </c>
      <c r="AD42">
        <v>128</v>
      </c>
      <c r="AE42">
        <v>97</v>
      </c>
    </row>
    <row r="43" spans="1:31" x14ac:dyDescent="0.3">
      <c r="A43" t="s">
        <v>253</v>
      </c>
      <c r="B43" t="s">
        <v>204</v>
      </c>
      <c r="C43" t="s">
        <v>0</v>
      </c>
      <c r="D43" t="s">
        <v>205</v>
      </c>
      <c r="E43" t="s">
        <v>123</v>
      </c>
      <c r="F43">
        <v>45</v>
      </c>
      <c r="G43">
        <v>75</v>
      </c>
      <c r="H43">
        <v>48</v>
      </c>
      <c r="I43">
        <v>77</v>
      </c>
      <c r="J43">
        <v>75</v>
      </c>
      <c r="K43">
        <v>105</v>
      </c>
      <c r="L43">
        <v>97</v>
      </c>
      <c r="M43">
        <v>107</v>
      </c>
      <c r="N43">
        <v>101</v>
      </c>
      <c r="O43">
        <v>91</v>
      </c>
      <c r="P43">
        <v>86</v>
      </c>
      <c r="Q43">
        <v>79</v>
      </c>
      <c r="R43">
        <v>130</v>
      </c>
      <c r="S43">
        <v>128</v>
      </c>
      <c r="T43">
        <v>123</v>
      </c>
      <c r="U43">
        <v>241</v>
      </c>
      <c r="V43">
        <v>182</v>
      </c>
      <c r="W43">
        <v>70</v>
      </c>
      <c r="X43">
        <v>51</v>
      </c>
      <c r="Y43">
        <v>49</v>
      </c>
      <c r="Z43">
        <v>141</v>
      </c>
      <c r="AA43">
        <v>91</v>
      </c>
      <c r="AB43">
        <v>123</v>
      </c>
      <c r="AC43">
        <v>196</v>
      </c>
      <c r="AD43">
        <v>214</v>
      </c>
      <c r="AE43">
        <v>187</v>
      </c>
    </row>
    <row r="44" spans="1:31" x14ac:dyDescent="0.3">
      <c r="A44" t="s">
        <v>253</v>
      </c>
      <c r="B44" t="s">
        <v>206</v>
      </c>
      <c r="C44" t="s">
        <v>0</v>
      </c>
      <c r="D44" t="s">
        <v>207</v>
      </c>
      <c r="E44" t="s">
        <v>123</v>
      </c>
      <c r="F44">
        <v>2521</v>
      </c>
      <c r="G44">
        <v>2839</v>
      </c>
      <c r="H44">
        <v>2961</v>
      </c>
      <c r="I44">
        <v>3267</v>
      </c>
      <c r="J44">
        <v>3281</v>
      </c>
      <c r="K44">
        <v>3426</v>
      </c>
      <c r="L44">
        <v>3391</v>
      </c>
      <c r="M44">
        <v>3590</v>
      </c>
      <c r="N44">
        <v>3432</v>
      </c>
      <c r="O44">
        <v>3283</v>
      </c>
      <c r="P44">
        <v>3165</v>
      </c>
      <c r="Q44">
        <v>3513</v>
      </c>
      <c r="R44">
        <v>4386</v>
      </c>
      <c r="S44">
        <v>4815</v>
      </c>
      <c r="T44">
        <v>4491</v>
      </c>
      <c r="U44">
        <v>4364</v>
      </c>
      <c r="V44">
        <v>4275</v>
      </c>
      <c r="W44">
        <v>4093</v>
      </c>
      <c r="X44">
        <v>4349</v>
      </c>
      <c r="Y44">
        <v>4815</v>
      </c>
      <c r="Z44">
        <v>4613</v>
      </c>
      <c r="AA44">
        <v>5525</v>
      </c>
      <c r="AB44">
        <v>5697</v>
      </c>
      <c r="AC44">
        <v>5995</v>
      </c>
      <c r="AD44">
        <v>5859</v>
      </c>
      <c r="AE44">
        <v>6455</v>
      </c>
    </row>
    <row r="45" spans="1:31" x14ac:dyDescent="0.3">
      <c r="A45" t="s">
        <v>253</v>
      </c>
      <c r="B45" t="s">
        <v>208</v>
      </c>
      <c r="C45" t="s">
        <v>0</v>
      </c>
      <c r="D45" t="s">
        <v>209</v>
      </c>
      <c r="E45" t="s">
        <v>123</v>
      </c>
      <c r="F45">
        <v>2108</v>
      </c>
      <c r="G45">
        <v>2376</v>
      </c>
      <c r="H45">
        <v>2384</v>
      </c>
      <c r="I45">
        <v>2599</v>
      </c>
      <c r="J45">
        <v>2598</v>
      </c>
      <c r="K45">
        <v>2761</v>
      </c>
      <c r="L45">
        <v>2652</v>
      </c>
      <c r="M45">
        <v>2851</v>
      </c>
      <c r="N45">
        <v>2725</v>
      </c>
      <c r="O45">
        <v>2637</v>
      </c>
      <c r="P45">
        <v>2422</v>
      </c>
      <c r="Q45">
        <v>2735</v>
      </c>
      <c r="R45">
        <v>3503</v>
      </c>
      <c r="S45">
        <v>3897</v>
      </c>
      <c r="T45">
        <v>3598</v>
      </c>
      <c r="U45">
        <v>3484</v>
      </c>
      <c r="V45">
        <v>3415</v>
      </c>
      <c r="W45">
        <v>3228</v>
      </c>
      <c r="X45">
        <v>3394</v>
      </c>
      <c r="Y45">
        <v>3855</v>
      </c>
      <c r="Z45">
        <v>3939</v>
      </c>
      <c r="AA45">
        <v>4738</v>
      </c>
      <c r="AB45">
        <v>4854</v>
      </c>
      <c r="AC45">
        <v>5189</v>
      </c>
      <c r="AD45">
        <v>4952</v>
      </c>
      <c r="AE45">
        <v>5489</v>
      </c>
    </row>
    <row r="46" spans="1:31" x14ac:dyDescent="0.3">
      <c r="A46" t="s">
        <v>253</v>
      </c>
      <c r="B46" t="s">
        <v>210</v>
      </c>
      <c r="C46" t="s">
        <v>0</v>
      </c>
      <c r="D46" t="s">
        <v>211</v>
      </c>
      <c r="E46" t="s">
        <v>123</v>
      </c>
      <c r="F46">
        <v>40</v>
      </c>
      <c r="G46">
        <v>61</v>
      </c>
      <c r="H46">
        <v>20</v>
      </c>
      <c r="I46">
        <v>44</v>
      </c>
      <c r="J46">
        <v>41</v>
      </c>
      <c r="K46">
        <v>63</v>
      </c>
      <c r="L46">
        <v>71</v>
      </c>
      <c r="M46">
        <v>75</v>
      </c>
      <c r="N46">
        <v>74</v>
      </c>
      <c r="O46">
        <v>67</v>
      </c>
      <c r="P46">
        <v>43</v>
      </c>
      <c r="Q46">
        <v>40</v>
      </c>
      <c r="R46">
        <v>51</v>
      </c>
      <c r="S46">
        <v>73</v>
      </c>
      <c r="T46">
        <v>73</v>
      </c>
      <c r="U46">
        <v>122</v>
      </c>
      <c r="V46">
        <v>72</v>
      </c>
      <c r="W46">
        <v>33</v>
      </c>
      <c r="X46">
        <v>60</v>
      </c>
      <c r="Y46">
        <v>7</v>
      </c>
      <c r="Z46">
        <v>65</v>
      </c>
      <c r="AA46">
        <v>54</v>
      </c>
      <c r="AB46">
        <v>51</v>
      </c>
      <c r="AC46">
        <v>105</v>
      </c>
      <c r="AD46">
        <v>86</v>
      </c>
      <c r="AE46">
        <v>90</v>
      </c>
    </row>
    <row r="47" spans="1:31" x14ac:dyDescent="0.3">
      <c r="A47" t="s">
        <v>253</v>
      </c>
      <c r="B47" t="s">
        <v>212</v>
      </c>
      <c r="C47" t="s">
        <v>0</v>
      </c>
      <c r="D47" t="s">
        <v>213</v>
      </c>
      <c r="E47" t="s">
        <v>123</v>
      </c>
      <c r="F47">
        <v>1087</v>
      </c>
      <c r="G47">
        <v>1161</v>
      </c>
      <c r="H47">
        <v>1312</v>
      </c>
      <c r="I47">
        <v>1424</v>
      </c>
      <c r="J47">
        <v>1461</v>
      </c>
      <c r="K47">
        <v>1413</v>
      </c>
      <c r="L47">
        <v>1433</v>
      </c>
      <c r="M47">
        <v>1616</v>
      </c>
      <c r="N47">
        <v>1702</v>
      </c>
      <c r="O47">
        <v>1811</v>
      </c>
      <c r="P47">
        <v>1850</v>
      </c>
      <c r="Q47">
        <v>1821</v>
      </c>
      <c r="R47">
        <v>1761</v>
      </c>
      <c r="S47">
        <v>2071</v>
      </c>
      <c r="T47">
        <v>2295</v>
      </c>
      <c r="U47">
        <v>2214</v>
      </c>
      <c r="V47">
        <v>2072</v>
      </c>
      <c r="W47">
        <v>2349</v>
      </c>
      <c r="X47">
        <v>2504</v>
      </c>
      <c r="Y47">
        <v>2855</v>
      </c>
      <c r="Z47">
        <v>2481</v>
      </c>
      <c r="AA47">
        <v>2578</v>
      </c>
      <c r="AB47">
        <v>2485</v>
      </c>
      <c r="AC47">
        <v>2667</v>
      </c>
      <c r="AD47">
        <v>2636</v>
      </c>
      <c r="AE47">
        <v>3112</v>
      </c>
    </row>
    <row r="48" spans="1:31" x14ac:dyDescent="0.3">
      <c r="A48" t="s">
        <v>253</v>
      </c>
      <c r="B48" t="s">
        <v>214</v>
      </c>
      <c r="C48" t="s">
        <v>0</v>
      </c>
      <c r="D48" t="s">
        <v>215</v>
      </c>
      <c r="E48" t="s">
        <v>123</v>
      </c>
      <c r="F48">
        <v>1696</v>
      </c>
      <c r="G48">
        <v>1874</v>
      </c>
      <c r="H48">
        <v>2098</v>
      </c>
      <c r="I48">
        <v>2162</v>
      </c>
      <c r="J48">
        <v>2157</v>
      </c>
      <c r="K48">
        <v>2172</v>
      </c>
      <c r="L48">
        <v>2337</v>
      </c>
      <c r="M48">
        <v>2715</v>
      </c>
      <c r="N48">
        <v>2865</v>
      </c>
      <c r="O48">
        <v>2927</v>
      </c>
      <c r="P48">
        <v>2839</v>
      </c>
      <c r="Q48">
        <v>2954</v>
      </c>
      <c r="R48">
        <v>2985</v>
      </c>
      <c r="S48">
        <v>3475</v>
      </c>
      <c r="T48">
        <v>3773</v>
      </c>
      <c r="U48">
        <v>3742</v>
      </c>
      <c r="V48">
        <v>3553</v>
      </c>
      <c r="W48">
        <v>3769</v>
      </c>
      <c r="X48">
        <v>4086</v>
      </c>
      <c r="Y48">
        <v>4491</v>
      </c>
      <c r="Z48">
        <v>4156</v>
      </c>
      <c r="AA48">
        <v>4492</v>
      </c>
      <c r="AB48">
        <v>4544</v>
      </c>
      <c r="AC48">
        <v>4733</v>
      </c>
      <c r="AD48">
        <v>5037</v>
      </c>
      <c r="AE48">
        <v>5780</v>
      </c>
    </row>
    <row r="49" spans="1:31" x14ac:dyDescent="0.3">
      <c r="A49" t="s">
        <v>253</v>
      </c>
      <c r="B49" t="s">
        <v>216</v>
      </c>
      <c r="C49" t="s">
        <v>0</v>
      </c>
      <c r="D49" t="s">
        <v>217</v>
      </c>
      <c r="E49" t="s">
        <v>123</v>
      </c>
      <c r="F49">
        <v>333</v>
      </c>
      <c r="G49">
        <v>382</v>
      </c>
      <c r="H49">
        <v>446</v>
      </c>
      <c r="I49">
        <v>440</v>
      </c>
      <c r="J49">
        <v>378</v>
      </c>
      <c r="K49">
        <v>389</v>
      </c>
      <c r="L49">
        <v>463</v>
      </c>
      <c r="M49">
        <v>570</v>
      </c>
      <c r="N49">
        <v>638</v>
      </c>
      <c r="O49">
        <v>620</v>
      </c>
      <c r="P49">
        <v>515</v>
      </c>
      <c r="Q49">
        <v>535</v>
      </c>
      <c r="R49">
        <v>572</v>
      </c>
      <c r="S49">
        <v>651</v>
      </c>
      <c r="T49">
        <v>598</v>
      </c>
      <c r="U49">
        <v>736</v>
      </c>
      <c r="V49">
        <v>726</v>
      </c>
      <c r="W49">
        <v>548</v>
      </c>
      <c r="X49">
        <v>620</v>
      </c>
      <c r="Y49">
        <v>667</v>
      </c>
      <c r="Z49">
        <v>892</v>
      </c>
      <c r="AA49">
        <v>897</v>
      </c>
      <c r="AB49">
        <v>842</v>
      </c>
      <c r="AC49">
        <v>888</v>
      </c>
      <c r="AD49">
        <v>1116</v>
      </c>
      <c r="AE49">
        <v>1287</v>
      </c>
    </row>
    <row r="50" spans="1:31" x14ac:dyDescent="0.3">
      <c r="A50" t="s">
        <v>253</v>
      </c>
      <c r="B50" t="s">
        <v>218</v>
      </c>
      <c r="C50" t="s">
        <v>0</v>
      </c>
      <c r="D50" t="s">
        <v>219</v>
      </c>
      <c r="E50" t="s">
        <v>123</v>
      </c>
      <c r="F50">
        <v>276</v>
      </c>
      <c r="G50">
        <v>331</v>
      </c>
      <c r="H50">
        <v>340</v>
      </c>
      <c r="I50">
        <v>298</v>
      </c>
      <c r="J50">
        <v>318</v>
      </c>
      <c r="K50">
        <v>370</v>
      </c>
      <c r="L50">
        <v>441</v>
      </c>
      <c r="M50">
        <v>529</v>
      </c>
      <c r="N50">
        <v>525</v>
      </c>
      <c r="O50">
        <v>496</v>
      </c>
      <c r="P50">
        <v>474</v>
      </c>
      <c r="Q50">
        <v>598</v>
      </c>
      <c r="R50">
        <v>652</v>
      </c>
      <c r="S50">
        <v>753</v>
      </c>
      <c r="T50">
        <v>880</v>
      </c>
      <c r="U50">
        <v>792</v>
      </c>
      <c r="V50">
        <v>755</v>
      </c>
      <c r="W50">
        <v>872</v>
      </c>
      <c r="X50">
        <v>962</v>
      </c>
      <c r="Y50">
        <v>969</v>
      </c>
      <c r="Z50">
        <v>783</v>
      </c>
      <c r="AA50">
        <v>1017</v>
      </c>
      <c r="AB50">
        <v>1217</v>
      </c>
      <c r="AC50">
        <v>1178</v>
      </c>
      <c r="AD50">
        <v>1285</v>
      </c>
      <c r="AE50">
        <v>1381</v>
      </c>
    </row>
    <row r="51" spans="1:31" x14ac:dyDescent="0.3">
      <c r="A51" t="s">
        <v>253</v>
      </c>
      <c r="B51" t="s">
        <v>220</v>
      </c>
      <c r="C51" t="s">
        <v>0</v>
      </c>
      <c r="D51" t="s">
        <v>221</v>
      </c>
      <c r="E51" t="s">
        <v>123</v>
      </c>
      <c r="F51">
        <v>154</v>
      </c>
      <c r="G51">
        <v>165</v>
      </c>
      <c r="H51">
        <v>182</v>
      </c>
      <c r="I51">
        <v>146</v>
      </c>
      <c r="J51">
        <v>149</v>
      </c>
      <c r="K51">
        <v>175</v>
      </c>
      <c r="L51">
        <v>226</v>
      </c>
      <c r="M51">
        <v>309</v>
      </c>
      <c r="N51">
        <v>283</v>
      </c>
      <c r="O51">
        <v>268</v>
      </c>
      <c r="P51">
        <v>265</v>
      </c>
      <c r="Q51">
        <v>364</v>
      </c>
      <c r="R51">
        <v>334</v>
      </c>
      <c r="S51">
        <v>382</v>
      </c>
      <c r="T51">
        <v>500</v>
      </c>
      <c r="U51">
        <v>441</v>
      </c>
      <c r="V51">
        <v>429</v>
      </c>
      <c r="W51">
        <v>515</v>
      </c>
      <c r="X51">
        <v>582</v>
      </c>
      <c r="Y51">
        <v>576</v>
      </c>
      <c r="Z51">
        <v>450</v>
      </c>
      <c r="AA51">
        <v>629</v>
      </c>
      <c r="AB51">
        <v>811</v>
      </c>
      <c r="AC51">
        <v>805</v>
      </c>
      <c r="AD51">
        <v>882</v>
      </c>
      <c r="AE51">
        <v>942</v>
      </c>
    </row>
    <row r="52" spans="1:31" x14ac:dyDescent="0.3">
      <c r="A52" t="s">
        <v>253</v>
      </c>
      <c r="B52" t="s">
        <v>222</v>
      </c>
      <c r="C52" t="s">
        <v>0</v>
      </c>
      <c r="D52" t="s">
        <v>223</v>
      </c>
      <c r="E52" t="s">
        <v>123</v>
      </c>
      <c r="F52">
        <v>122</v>
      </c>
      <c r="G52">
        <v>166</v>
      </c>
      <c r="H52">
        <v>158</v>
      </c>
      <c r="I52">
        <v>152</v>
      </c>
      <c r="J52">
        <v>169</v>
      </c>
      <c r="K52">
        <v>195</v>
      </c>
      <c r="L52">
        <v>215</v>
      </c>
      <c r="M52">
        <v>220</v>
      </c>
      <c r="N52">
        <v>242</v>
      </c>
      <c r="O52">
        <v>228</v>
      </c>
      <c r="P52">
        <v>209</v>
      </c>
      <c r="Q52">
        <v>234</v>
      </c>
      <c r="R52">
        <v>318</v>
      </c>
      <c r="S52">
        <v>371</v>
      </c>
      <c r="T52">
        <v>380</v>
      </c>
      <c r="U52">
        <v>351</v>
      </c>
      <c r="V52">
        <v>326</v>
      </c>
      <c r="W52">
        <v>357</v>
      </c>
      <c r="X52">
        <v>380</v>
      </c>
      <c r="Y52">
        <v>393</v>
      </c>
      <c r="Z52">
        <v>333</v>
      </c>
      <c r="AA52">
        <v>388</v>
      </c>
      <c r="AB52">
        <v>406</v>
      </c>
      <c r="AC52">
        <v>373</v>
      </c>
      <c r="AD52">
        <v>403</v>
      </c>
      <c r="AE52">
        <v>439</v>
      </c>
    </row>
    <row r="53" spans="1:31" x14ac:dyDescent="0.3">
      <c r="A53" t="s">
        <v>253</v>
      </c>
      <c r="B53" t="s">
        <v>224</v>
      </c>
      <c r="C53" t="s">
        <v>0</v>
      </c>
      <c r="D53" t="s">
        <v>225</v>
      </c>
      <c r="E53" t="s">
        <v>123</v>
      </c>
      <c r="F53">
        <v>189</v>
      </c>
      <c r="G53">
        <v>233</v>
      </c>
      <c r="H53">
        <v>254</v>
      </c>
      <c r="I53">
        <v>234</v>
      </c>
      <c r="J53">
        <v>219</v>
      </c>
      <c r="K53">
        <v>229</v>
      </c>
      <c r="L53">
        <v>222</v>
      </c>
      <c r="M53">
        <v>257</v>
      </c>
      <c r="N53">
        <v>307</v>
      </c>
      <c r="O53">
        <v>261</v>
      </c>
      <c r="P53">
        <v>237</v>
      </c>
      <c r="Q53">
        <v>273</v>
      </c>
      <c r="R53">
        <v>318</v>
      </c>
      <c r="S53">
        <v>302</v>
      </c>
      <c r="T53">
        <v>313</v>
      </c>
      <c r="U53">
        <v>302</v>
      </c>
      <c r="V53">
        <v>289</v>
      </c>
      <c r="W53">
        <v>356</v>
      </c>
      <c r="X53">
        <v>353</v>
      </c>
      <c r="Y53">
        <v>323</v>
      </c>
      <c r="Z53">
        <v>430</v>
      </c>
      <c r="AA53">
        <v>453</v>
      </c>
      <c r="AB53">
        <v>502</v>
      </c>
      <c r="AC53">
        <v>643</v>
      </c>
      <c r="AD53">
        <v>644</v>
      </c>
      <c r="AE53">
        <v>608</v>
      </c>
    </row>
    <row r="54" spans="1:31" x14ac:dyDescent="0.3">
      <c r="A54" t="s">
        <v>253</v>
      </c>
      <c r="B54" t="s">
        <v>226</v>
      </c>
      <c r="C54" t="s">
        <v>0</v>
      </c>
      <c r="D54" t="s">
        <v>227</v>
      </c>
      <c r="E54" t="s">
        <v>123</v>
      </c>
      <c r="F54">
        <v>237</v>
      </c>
      <c r="G54">
        <v>291</v>
      </c>
      <c r="H54">
        <v>334</v>
      </c>
      <c r="I54">
        <v>329</v>
      </c>
      <c r="J54">
        <v>336</v>
      </c>
      <c r="K54">
        <v>316</v>
      </c>
      <c r="L54">
        <v>309</v>
      </c>
      <c r="M54">
        <v>337</v>
      </c>
      <c r="N54">
        <v>410</v>
      </c>
      <c r="O54">
        <v>392</v>
      </c>
      <c r="P54">
        <v>351</v>
      </c>
      <c r="Q54">
        <v>374</v>
      </c>
      <c r="R54">
        <v>427</v>
      </c>
      <c r="S54">
        <v>446</v>
      </c>
      <c r="T54">
        <v>457</v>
      </c>
      <c r="U54">
        <v>476</v>
      </c>
      <c r="V54">
        <v>412</v>
      </c>
      <c r="W54">
        <v>479</v>
      </c>
      <c r="X54">
        <v>474</v>
      </c>
      <c r="Y54">
        <v>443</v>
      </c>
      <c r="Z54">
        <v>536</v>
      </c>
      <c r="AA54">
        <v>556</v>
      </c>
      <c r="AB54">
        <v>598</v>
      </c>
      <c r="AC54">
        <v>735</v>
      </c>
      <c r="AD54">
        <v>736</v>
      </c>
      <c r="AE54">
        <v>715</v>
      </c>
    </row>
    <row r="55" spans="1:31" x14ac:dyDescent="0.3">
      <c r="A55" t="s">
        <v>253</v>
      </c>
      <c r="B55" t="s">
        <v>228</v>
      </c>
      <c r="C55" t="s">
        <v>0</v>
      </c>
      <c r="D55" t="s">
        <v>229</v>
      </c>
      <c r="E55" t="s">
        <v>123</v>
      </c>
      <c r="F55">
        <v>48</v>
      </c>
      <c r="G55">
        <v>58</v>
      </c>
      <c r="H55">
        <v>80</v>
      </c>
      <c r="I55">
        <v>95</v>
      </c>
      <c r="J55">
        <v>117</v>
      </c>
      <c r="K55">
        <v>87</v>
      </c>
      <c r="L55">
        <v>87</v>
      </c>
      <c r="M55">
        <v>80</v>
      </c>
      <c r="N55">
        <v>103</v>
      </c>
      <c r="O55">
        <v>131</v>
      </c>
      <c r="P55">
        <v>114</v>
      </c>
      <c r="Q55">
        <v>101</v>
      </c>
      <c r="R55">
        <v>109</v>
      </c>
      <c r="S55">
        <v>144</v>
      </c>
      <c r="T55">
        <v>144</v>
      </c>
      <c r="U55">
        <v>174</v>
      </c>
      <c r="V55">
        <v>123</v>
      </c>
      <c r="W55">
        <v>123</v>
      </c>
      <c r="X55">
        <v>121</v>
      </c>
      <c r="Y55">
        <v>120</v>
      </c>
      <c r="Z55">
        <v>106</v>
      </c>
      <c r="AA55">
        <v>103</v>
      </c>
      <c r="AB55">
        <v>96</v>
      </c>
      <c r="AC55">
        <v>92</v>
      </c>
      <c r="AD55">
        <v>92</v>
      </c>
      <c r="AE55">
        <v>107</v>
      </c>
    </row>
    <row r="56" spans="1:31" x14ac:dyDescent="0.3">
      <c r="A56" t="s">
        <v>253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253</v>
      </c>
      <c r="B57" t="s">
        <v>232</v>
      </c>
      <c r="C57" t="s">
        <v>0</v>
      </c>
      <c r="D57" t="s">
        <v>233</v>
      </c>
      <c r="E57" t="s">
        <v>123</v>
      </c>
      <c r="F57">
        <v>4611</v>
      </c>
      <c r="G57">
        <v>5593</v>
      </c>
      <c r="H57">
        <v>5762</v>
      </c>
      <c r="I57">
        <v>6684</v>
      </c>
      <c r="J57">
        <v>7027</v>
      </c>
      <c r="K57">
        <v>8102</v>
      </c>
      <c r="L57">
        <v>8985</v>
      </c>
      <c r="M57">
        <v>9315</v>
      </c>
      <c r="N57">
        <v>8873</v>
      </c>
      <c r="O57">
        <v>9124</v>
      </c>
      <c r="P57">
        <v>9591</v>
      </c>
      <c r="Q57">
        <v>10255</v>
      </c>
      <c r="R57">
        <v>12753</v>
      </c>
      <c r="S57">
        <v>14483</v>
      </c>
      <c r="T57">
        <v>12857</v>
      </c>
      <c r="U57">
        <v>12215</v>
      </c>
      <c r="V57">
        <v>12247</v>
      </c>
      <c r="W57">
        <v>12367</v>
      </c>
      <c r="X57">
        <v>12762</v>
      </c>
      <c r="Y57">
        <v>12982</v>
      </c>
      <c r="Z57">
        <v>13179</v>
      </c>
      <c r="AA57">
        <v>14353</v>
      </c>
      <c r="AB57">
        <v>15057</v>
      </c>
      <c r="AC57">
        <v>16212</v>
      </c>
      <c r="AD57">
        <v>17058</v>
      </c>
      <c r="AE57">
        <v>18079</v>
      </c>
    </row>
    <row r="58" spans="1:31" x14ac:dyDescent="0.3">
      <c r="A58" t="s">
        <v>253</v>
      </c>
      <c r="B58" t="s">
        <v>234</v>
      </c>
      <c r="C58" t="s">
        <v>0</v>
      </c>
      <c r="D58" t="s">
        <v>235</v>
      </c>
      <c r="E58" t="s">
        <v>123</v>
      </c>
      <c r="F58">
        <v>4611</v>
      </c>
      <c r="G58">
        <v>5593</v>
      </c>
      <c r="H58">
        <v>5762</v>
      </c>
      <c r="I58">
        <v>6684</v>
      </c>
      <c r="J58">
        <v>7027</v>
      </c>
      <c r="K58">
        <v>8102</v>
      </c>
      <c r="L58">
        <v>8985</v>
      </c>
      <c r="M58">
        <v>9315</v>
      </c>
      <c r="N58">
        <v>8873</v>
      </c>
      <c r="O58">
        <v>9124</v>
      </c>
      <c r="P58">
        <v>9591</v>
      </c>
      <c r="Q58">
        <v>10255</v>
      </c>
      <c r="R58">
        <v>12753</v>
      </c>
      <c r="S58">
        <v>14483</v>
      </c>
      <c r="T58">
        <v>12857</v>
      </c>
      <c r="U58">
        <v>12215</v>
      </c>
      <c r="V58">
        <v>12247</v>
      </c>
      <c r="W58">
        <v>12367</v>
      </c>
      <c r="X58">
        <v>12762</v>
      </c>
      <c r="Y58">
        <v>12982</v>
      </c>
      <c r="Z58">
        <v>13179</v>
      </c>
      <c r="AA58">
        <v>14353</v>
      </c>
      <c r="AB58">
        <v>15057</v>
      </c>
      <c r="AC58">
        <v>16212</v>
      </c>
      <c r="AD58">
        <v>17058</v>
      </c>
      <c r="AE58">
        <v>18079</v>
      </c>
    </row>
    <row r="59" spans="1:31" x14ac:dyDescent="0.3">
      <c r="A59" t="s">
        <v>253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254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254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254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254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254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254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254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254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254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254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254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254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254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254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254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254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254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254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254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254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254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254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254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254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254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254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254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254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254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254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254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254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254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254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254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254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254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254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254</v>
      </c>
      <c r="B40" t="s">
        <v>198</v>
      </c>
      <c r="C40" t="s">
        <v>0</v>
      </c>
      <c r="D40" t="s">
        <v>199</v>
      </c>
      <c r="E40" t="s">
        <v>123</v>
      </c>
      <c r="F40">
        <v>4206</v>
      </c>
      <c r="G40">
        <v>4609</v>
      </c>
      <c r="H40">
        <v>5194</v>
      </c>
      <c r="I40">
        <v>6028</v>
      </c>
      <c r="J40">
        <v>6976</v>
      </c>
      <c r="K40">
        <v>7693</v>
      </c>
      <c r="L40">
        <v>7404</v>
      </c>
      <c r="M40">
        <v>7676</v>
      </c>
      <c r="N40">
        <v>8365</v>
      </c>
      <c r="O40">
        <v>9314</v>
      </c>
      <c r="P40">
        <v>10024</v>
      </c>
      <c r="Q40">
        <v>10974</v>
      </c>
      <c r="R40">
        <v>11463</v>
      </c>
      <c r="S40">
        <v>11030</v>
      </c>
      <c r="T40">
        <v>10160</v>
      </c>
      <c r="U40">
        <v>12346</v>
      </c>
      <c r="V40">
        <v>12615</v>
      </c>
      <c r="W40">
        <v>12861</v>
      </c>
      <c r="X40">
        <v>12769</v>
      </c>
      <c r="Y40">
        <v>12304</v>
      </c>
      <c r="Z40">
        <v>12580</v>
      </c>
      <c r="AA40">
        <v>13995</v>
      </c>
      <c r="AB40">
        <v>14918</v>
      </c>
      <c r="AC40">
        <v>16148</v>
      </c>
      <c r="AD40">
        <v>16113</v>
      </c>
      <c r="AE40">
        <v>16290</v>
      </c>
    </row>
    <row r="41" spans="1:31" x14ac:dyDescent="0.3">
      <c r="A41" t="s">
        <v>254</v>
      </c>
      <c r="B41" t="s">
        <v>200</v>
      </c>
      <c r="C41" t="s">
        <v>0</v>
      </c>
      <c r="D41" t="s">
        <v>201</v>
      </c>
      <c r="E41" t="s">
        <v>123</v>
      </c>
      <c r="F41">
        <v>2937</v>
      </c>
      <c r="G41">
        <v>3179</v>
      </c>
      <c r="H41">
        <v>3540</v>
      </c>
      <c r="I41">
        <v>4291</v>
      </c>
      <c r="J41">
        <v>5164</v>
      </c>
      <c r="K41">
        <v>5582</v>
      </c>
      <c r="L41">
        <v>5332</v>
      </c>
      <c r="M41">
        <v>5632</v>
      </c>
      <c r="N41">
        <v>6284</v>
      </c>
      <c r="O41">
        <v>7136</v>
      </c>
      <c r="P41">
        <v>7752</v>
      </c>
      <c r="Q41">
        <v>8600</v>
      </c>
      <c r="R41">
        <v>9040</v>
      </c>
      <c r="S41">
        <v>8667</v>
      </c>
      <c r="T41">
        <v>8081</v>
      </c>
      <c r="U41">
        <v>9830</v>
      </c>
      <c r="V41">
        <v>10044</v>
      </c>
      <c r="W41">
        <v>10180</v>
      </c>
      <c r="X41">
        <v>10078</v>
      </c>
      <c r="Y41">
        <v>9611</v>
      </c>
      <c r="Z41">
        <v>9634</v>
      </c>
      <c r="AA41">
        <v>10675</v>
      </c>
      <c r="AB41">
        <v>11414</v>
      </c>
      <c r="AC41">
        <v>12256</v>
      </c>
      <c r="AD41">
        <v>12319</v>
      </c>
      <c r="AE41">
        <v>12334</v>
      </c>
    </row>
    <row r="42" spans="1:31" x14ac:dyDescent="0.3">
      <c r="A42" t="s">
        <v>254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-1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254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-1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254</v>
      </c>
      <c r="B44" t="s">
        <v>206</v>
      </c>
      <c r="C44" t="s">
        <v>0</v>
      </c>
      <c r="D44" t="s">
        <v>207</v>
      </c>
      <c r="E44" t="s">
        <v>123</v>
      </c>
      <c r="F44">
        <v>0</v>
      </c>
      <c r="G44">
        <v>0</v>
      </c>
      <c r="H44">
        <v>0</v>
      </c>
      <c r="I44">
        <v>-1</v>
      </c>
      <c r="J44">
        <v>-2</v>
      </c>
      <c r="K44">
        <v>-1</v>
      </c>
      <c r="L44">
        <v>-1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2</v>
      </c>
      <c r="AD44">
        <v>1</v>
      </c>
      <c r="AE44">
        <v>0</v>
      </c>
    </row>
    <row r="45" spans="1:31" x14ac:dyDescent="0.3">
      <c r="A45" t="s">
        <v>254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-1</v>
      </c>
      <c r="J45">
        <v>-2</v>
      </c>
      <c r="K45">
        <v>-1</v>
      </c>
      <c r="L45">
        <v>-1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2</v>
      </c>
      <c r="AD45">
        <v>1</v>
      </c>
      <c r="AE45">
        <v>0</v>
      </c>
    </row>
    <row r="46" spans="1:31" x14ac:dyDescent="0.3">
      <c r="A46" t="s">
        <v>254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254</v>
      </c>
      <c r="B47" t="s">
        <v>212</v>
      </c>
      <c r="C47" t="s">
        <v>0</v>
      </c>
      <c r="D47" t="s">
        <v>213</v>
      </c>
      <c r="E47" t="s">
        <v>123</v>
      </c>
      <c r="F47">
        <v>-20</v>
      </c>
      <c r="G47">
        <v>-48</v>
      </c>
      <c r="H47">
        <v>29</v>
      </c>
      <c r="I47">
        <v>-5</v>
      </c>
      <c r="J47">
        <v>-1</v>
      </c>
      <c r="K47">
        <v>-3</v>
      </c>
      <c r="L47">
        <v>12</v>
      </c>
      <c r="M47">
        <v>2</v>
      </c>
      <c r="N47">
        <v>4</v>
      </c>
      <c r="O47">
        <v>-2</v>
      </c>
      <c r="P47">
        <v>3</v>
      </c>
      <c r="Q47">
        <v>-26</v>
      </c>
      <c r="R47">
        <v>-26</v>
      </c>
      <c r="S47">
        <v>-17</v>
      </c>
      <c r="T47">
        <v>-17</v>
      </c>
      <c r="U47">
        <v>-10</v>
      </c>
      <c r="V47">
        <v>-12</v>
      </c>
      <c r="W47">
        <v>-33</v>
      </c>
      <c r="X47">
        <v>-22</v>
      </c>
      <c r="Y47">
        <v>-17</v>
      </c>
      <c r="Z47">
        <v>-11</v>
      </c>
      <c r="AA47">
        <v>-17</v>
      </c>
      <c r="AB47">
        <v>-4</v>
      </c>
      <c r="AC47">
        <v>-9</v>
      </c>
      <c r="AD47">
        <v>2</v>
      </c>
      <c r="AE47">
        <v>14</v>
      </c>
    </row>
    <row r="48" spans="1:31" x14ac:dyDescent="0.3">
      <c r="A48" t="s">
        <v>254</v>
      </c>
      <c r="B48" t="s">
        <v>214</v>
      </c>
      <c r="C48" t="s">
        <v>0</v>
      </c>
      <c r="D48" t="s">
        <v>215</v>
      </c>
      <c r="E48" t="s">
        <v>123</v>
      </c>
      <c r="F48">
        <v>-5</v>
      </c>
      <c r="G48">
        <v>-30</v>
      </c>
      <c r="H48">
        <v>40</v>
      </c>
      <c r="I48">
        <v>0</v>
      </c>
      <c r="J48">
        <v>7</v>
      </c>
      <c r="K48">
        <v>3</v>
      </c>
      <c r="L48">
        <v>9</v>
      </c>
      <c r="M48">
        <v>6</v>
      </c>
      <c r="N48">
        <v>5</v>
      </c>
      <c r="O48">
        <v>6</v>
      </c>
      <c r="P48">
        <v>6</v>
      </c>
      <c r="Q48">
        <v>-22</v>
      </c>
      <c r="R48">
        <v>-20</v>
      </c>
      <c r="S48">
        <v>-6</v>
      </c>
      <c r="T48">
        <v>-15</v>
      </c>
      <c r="U48">
        <v>-1</v>
      </c>
      <c r="V48">
        <v>-8</v>
      </c>
      <c r="W48">
        <v>-24</v>
      </c>
      <c r="X48">
        <v>-15</v>
      </c>
      <c r="Y48">
        <v>-13</v>
      </c>
      <c r="Z48">
        <v>6</v>
      </c>
      <c r="AA48">
        <v>0</v>
      </c>
      <c r="AB48">
        <v>5</v>
      </c>
      <c r="AC48">
        <v>-3</v>
      </c>
      <c r="AD48">
        <v>11</v>
      </c>
      <c r="AE48">
        <v>23</v>
      </c>
    </row>
    <row r="49" spans="1:31" x14ac:dyDescent="0.3">
      <c r="A49" t="s">
        <v>254</v>
      </c>
      <c r="B49" t="s">
        <v>216</v>
      </c>
      <c r="C49" t="s">
        <v>0</v>
      </c>
      <c r="D49" t="s">
        <v>217</v>
      </c>
      <c r="E49" t="s">
        <v>123</v>
      </c>
      <c r="F49">
        <v>2</v>
      </c>
      <c r="G49">
        <v>3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2</v>
      </c>
      <c r="AB49">
        <v>1</v>
      </c>
      <c r="AC49">
        <v>-1</v>
      </c>
      <c r="AD49">
        <v>1</v>
      </c>
      <c r="AE49">
        <v>1</v>
      </c>
    </row>
    <row r="50" spans="1:31" x14ac:dyDescent="0.3">
      <c r="A50" t="s">
        <v>254</v>
      </c>
      <c r="B50" t="s">
        <v>218</v>
      </c>
      <c r="C50" t="s">
        <v>0</v>
      </c>
      <c r="D50" t="s">
        <v>219</v>
      </c>
      <c r="E50" t="s">
        <v>123</v>
      </c>
      <c r="F50">
        <v>13</v>
      </c>
      <c r="G50">
        <v>15</v>
      </c>
      <c r="H50">
        <v>10</v>
      </c>
      <c r="I50">
        <v>4</v>
      </c>
      <c r="J50">
        <v>8</v>
      </c>
      <c r="K50">
        <v>6</v>
      </c>
      <c r="L50">
        <v>-3</v>
      </c>
      <c r="M50">
        <v>4</v>
      </c>
      <c r="N50">
        <v>0</v>
      </c>
      <c r="O50">
        <v>7</v>
      </c>
      <c r="P50">
        <v>3</v>
      </c>
      <c r="Q50">
        <v>1</v>
      </c>
      <c r="R50">
        <v>6</v>
      </c>
      <c r="S50">
        <v>11</v>
      </c>
      <c r="T50">
        <v>2</v>
      </c>
      <c r="U50">
        <v>9</v>
      </c>
      <c r="V50">
        <v>4</v>
      </c>
      <c r="W50">
        <v>9</v>
      </c>
      <c r="X50">
        <v>7</v>
      </c>
      <c r="Y50">
        <v>4</v>
      </c>
      <c r="Z50">
        <v>12</v>
      </c>
      <c r="AA50">
        <v>15</v>
      </c>
      <c r="AB50">
        <v>8</v>
      </c>
      <c r="AC50">
        <v>6</v>
      </c>
      <c r="AD50">
        <v>8</v>
      </c>
      <c r="AE50">
        <v>8</v>
      </c>
    </row>
    <row r="51" spans="1:31" x14ac:dyDescent="0.3">
      <c r="A51" t="s">
        <v>254</v>
      </c>
      <c r="B51" t="s">
        <v>220</v>
      </c>
      <c r="C51" t="s">
        <v>0</v>
      </c>
      <c r="D51" t="s">
        <v>221</v>
      </c>
      <c r="E51" t="s">
        <v>123</v>
      </c>
      <c r="F51">
        <v>2</v>
      </c>
      <c r="G51">
        <v>-1</v>
      </c>
      <c r="H51">
        <v>-1</v>
      </c>
      <c r="I51">
        <v>-1</v>
      </c>
      <c r="J51">
        <v>0</v>
      </c>
      <c r="K51">
        <v>-1</v>
      </c>
      <c r="L51">
        <v>-8</v>
      </c>
      <c r="M51">
        <v>-5</v>
      </c>
      <c r="N51">
        <v>-4</v>
      </c>
      <c r="O51">
        <v>0</v>
      </c>
      <c r="P51">
        <v>-2</v>
      </c>
      <c r="Q51">
        <v>-4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-2</v>
      </c>
      <c r="AE51">
        <v>0</v>
      </c>
    </row>
    <row r="52" spans="1:31" x14ac:dyDescent="0.3">
      <c r="A52" t="s">
        <v>254</v>
      </c>
      <c r="B52" t="s">
        <v>222</v>
      </c>
      <c r="C52" t="s">
        <v>0</v>
      </c>
      <c r="D52" t="s">
        <v>223</v>
      </c>
      <c r="E52" t="s">
        <v>123</v>
      </c>
      <c r="F52">
        <v>11</v>
      </c>
      <c r="G52">
        <v>16</v>
      </c>
      <c r="H52">
        <v>11</v>
      </c>
      <c r="I52">
        <v>5</v>
      </c>
      <c r="J52">
        <v>8</v>
      </c>
      <c r="K52">
        <v>7</v>
      </c>
      <c r="L52">
        <v>5</v>
      </c>
      <c r="M52">
        <v>9</v>
      </c>
      <c r="N52">
        <v>4</v>
      </c>
      <c r="O52">
        <v>7</v>
      </c>
      <c r="P52">
        <v>5</v>
      </c>
      <c r="Q52">
        <v>5</v>
      </c>
      <c r="R52">
        <v>6</v>
      </c>
      <c r="S52">
        <v>11</v>
      </c>
      <c r="T52">
        <v>2</v>
      </c>
      <c r="U52">
        <v>9</v>
      </c>
      <c r="V52">
        <v>4</v>
      </c>
      <c r="W52">
        <v>8</v>
      </c>
      <c r="X52">
        <v>6</v>
      </c>
      <c r="Y52">
        <v>4</v>
      </c>
      <c r="Z52">
        <v>12</v>
      </c>
      <c r="AA52">
        <v>15</v>
      </c>
      <c r="AB52">
        <v>8</v>
      </c>
      <c r="AC52">
        <v>6</v>
      </c>
      <c r="AD52">
        <v>10</v>
      </c>
      <c r="AE52">
        <v>8</v>
      </c>
    </row>
    <row r="53" spans="1:31" x14ac:dyDescent="0.3">
      <c r="A53" t="s">
        <v>254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-1</v>
      </c>
      <c r="J53">
        <v>-1</v>
      </c>
      <c r="K53">
        <v>-1</v>
      </c>
      <c r="L53">
        <v>-1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2</v>
      </c>
      <c r="AD53">
        <v>1</v>
      </c>
      <c r="AE53">
        <v>0</v>
      </c>
    </row>
    <row r="54" spans="1:31" x14ac:dyDescent="0.3">
      <c r="A54" t="s">
        <v>254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-1</v>
      </c>
      <c r="J54">
        <v>-1</v>
      </c>
      <c r="K54">
        <v>-1</v>
      </c>
      <c r="L54">
        <v>-1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2</v>
      </c>
      <c r="AD54">
        <v>1</v>
      </c>
      <c r="AE54">
        <v>0</v>
      </c>
    </row>
    <row r="55" spans="1:31" x14ac:dyDescent="0.3">
      <c r="A55" t="s">
        <v>254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254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254</v>
      </c>
      <c r="B57" t="s">
        <v>232</v>
      </c>
      <c r="C57" t="s">
        <v>0</v>
      </c>
      <c r="D57" t="s">
        <v>233</v>
      </c>
      <c r="E57" t="s">
        <v>123</v>
      </c>
      <c r="F57">
        <v>4201</v>
      </c>
      <c r="G57">
        <v>4579</v>
      </c>
      <c r="H57">
        <v>5234</v>
      </c>
      <c r="I57">
        <v>6027</v>
      </c>
      <c r="J57">
        <v>6981</v>
      </c>
      <c r="K57">
        <v>7695</v>
      </c>
      <c r="L57">
        <v>7412</v>
      </c>
      <c r="M57">
        <v>7682</v>
      </c>
      <c r="N57">
        <v>8372</v>
      </c>
      <c r="O57">
        <v>9320</v>
      </c>
      <c r="P57">
        <v>10030</v>
      </c>
      <c r="Q57">
        <v>10952</v>
      </c>
      <c r="R57">
        <v>11443</v>
      </c>
      <c r="S57">
        <v>11024</v>
      </c>
      <c r="T57">
        <v>10145</v>
      </c>
      <c r="U57">
        <v>12345</v>
      </c>
      <c r="V57">
        <v>12607</v>
      </c>
      <c r="W57">
        <v>12837</v>
      </c>
      <c r="X57">
        <v>12754</v>
      </c>
      <c r="Y57">
        <v>12291</v>
      </c>
      <c r="Z57">
        <v>12586</v>
      </c>
      <c r="AA57">
        <v>13996</v>
      </c>
      <c r="AB57">
        <v>14924</v>
      </c>
      <c r="AC57">
        <v>16146</v>
      </c>
      <c r="AD57">
        <v>16125</v>
      </c>
      <c r="AE57">
        <v>16313</v>
      </c>
    </row>
    <row r="58" spans="1:31" x14ac:dyDescent="0.3">
      <c r="A58" t="s">
        <v>254</v>
      </c>
      <c r="B58" t="s">
        <v>234</v>
      </c>
      <c r="C58" t="s">
        <v>0</v>
      </c>
      <c r="D58" t="s">
        <v>235</v>
      </c>
      <c r="E58" t="s">
        <v>123</v>
      </c>
      <c r="F58">
        <v>4201</v>
      </c>
      <c r="G58">
        <v>4579</v>
      </c>
      <c r="H58">
        <v>5234</v>
      </c>
      <c r="I58">
        <v>6027</v>
      </c>
      <c r="J58">
        <v>6981</v>
      </c>
      <c r="K58">
        <v>7695</v>
      </c>
      <c r="L58">
        <v>7412</v>
      </c>
      <c r="M58">
        <v>7682</v>
      </c>
      <c r="N58">
        <v>8372</v>
      </c>
      <c r="O58">
        <v>9320</v>
      </c>
      <c r="P58">
        <v>10030</v>
      </c>
      <c r="Q58">
        <v>10952</v>
      </c>
      <c r="R58">
        <v>11443</v>
      </c>
      <c r="S58">
        <v>11024</v>
      </c>
      <c r="T58">
        <v>10145</v>
      </c>
      <c r="U58">
        <v>12345</v>
      </c>
      <c r="V58">
        <v>12607</v>
      </c>
      <c r="W58">
        <v>12837</v>
      </c>
      <c r="X58">
        <v>12754</v>
      </c>
      <c r="Y58">
        <v>12291</v>
      </c>
      <c r="Z58">
        <v>12586</v>
      </c>
      <c r="AA58">
        <v>13996</v>
      </c>
      <c r="AB58">
        <v>14924</v>
      </c>
      <c r="AC58">
        <v>16146</v>
      </c>
      <c r="AD58">
        <v>16125</v>
      </c>
      <c r="AE58">
        <v>16313</v>
      </c>
    </row>
    <row r="59" spans="1:31" x14ac:dyDescent="0.3">
      <c r="A59" t="s">
        <v>254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255</v>
      </c>
      <c r="B2" t="s">
        <v>121</v>
      </c>
      <c r="C2" t="s">
        <v>0</v>
      </c>
      <c r="D2" t="s">
        <v>122</v>
      </c>
      <c r="E2" t="s">
        <v>123</v>
      </c>
      <c r="F2">
        <v>61</v>
      </c>
      <c r="G2">
        <v>54</v>
      </c>
      <c r="H2">
        <v>36</v>
      </c>
      <c r="I2">
        <v>49</v>
      </c>
      <c r="J2">
        <v>44</v>
      </c>
      <c r="K2">
        <v>35</v>
      </c>
      <c r="L2">
        <v>49</v>
      </c>
      <c r="M2">
        <v>53</v>
      </c>
      <c r="N2">
        <v>53</v>
      </c>
      <c r="O2">
        <v>59</v>
      </c>
      <c r="P2">
        <v>50</v>
      </c>
      <c r="Q2">
        <v>48</v>
      </c>
      <c r="R2">
        <v>43</v>
      </c>
      <c r="S2">
        <v>44</v>
      </c>
      <c r="T2">
        <v>38</v>
      </c>
      <c r="U2">
        <v>38</v>
      </c>
      <c r="V2">
        <v>32</v>
      </c>
      <c r="W2">
        <v>25</v>
      </c>
      <c r="X2">
        <v>25</v>
      </c>
      <c r="Y2">
        <v>30</v>
      </c>
      <c r="Z2">
        <v>27</v>
      </c>
      <c r="AA2">
        <v>19</v>
      </c>
      <c r="AB2">
        <v>24</v>
      </c>
      <c r="AC2">
        <v>17</v>
      </c>
      <c r="AD2">
        <v>26</v>
      </c>
      <c r="AE2">
        <v>39</v>
      </c>
    </row>
    <row r="3" spans="1:31" x14ac:dyDescent="0.3">
      <c r="A3" t="s">
        <v>255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255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255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255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255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255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255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255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255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255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255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255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255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255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255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255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255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255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255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255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255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255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255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255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255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255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255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255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255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255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255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255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255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255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255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255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255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255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255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255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255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255</v>
      </c>
      <c r="B44" t="s">
        <v>206</v>
      </c>
      <c r="C44" t="s">
        <v>0</v>
      </c>
      <c r="D44" t="s">
        <v>207</v>
      </c>
      <c r="E44" t="s">
        <v>123</v>
      </c>
      <c r="F44">
        <v>64</v>
      </c>
      <c r="G44">
        <v>58</v>
      </c>
      <c r="H44">
        <v>40</v>
      </c>
      <c r="I44">
        <v>55</v>
      </c>
      <c r="J44">
        <v>49</v>
      </c>
      <c r="K44">
        <v>40</v>
      </c>
      <c r="L44">
        <v>57</v>
      </c>
      <c r="M44">
        <v>61</v>
      </c>
      <c r="N44">
        <v>63</v>
      </c>
      <c r="O44">
        <v>68</v>
      </c>
      <c r="P44">
        <v>58</v>
      </c>
      <c r="Q44">
        <v>59</v>
      </c>
      <c r="R44">
        <v>55</v>
      </c>
      <c r="S44">
        <v>56</v>
      </c>
      <c r="T44">
        <v>51</v>
      </c>
      <c r="U44">
        <v>51</v>
      </c>
      <c r="V44">
        <v>43</v>
      </c>
      <c r="W44">
        <v>38</v>
      </c>
      <c r="X44">
        <v>35</v>
      </c>
      <c r="Y44">
        <v>40</v>
      </c>
      <c r="Z44">
        <v>37</v>
      </c>
      <c r="AA44">
        <v>49</v>
      </c>
      <c r="AB44">
        <v>33</v>
      </c>
      <c r="AC44">
        <v>26</v>
      </c>
      <c r="AD44">
        <v>35</v>
      </c>
      <c r="AE44">
        <v>39</v>
      </c>
    </row>
    <row r="45" spans="1:31" x14ac:dyDescent="0.3">
      <c r="A45" t="s">
        <v>255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255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255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255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255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255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255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255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255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255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255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255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255</v>
      </c>
      <c r="B57" t="s">
        <v>232</v>
      </c>
      <c r="C57" t="s">
        <v>0</v>
      </c>
      <c r="D57" t="s">
        <v>233</v>
      </c>
      <c r="E57" t="s">
        <v>123</v>
      </c>
      <c r="F57">
        <v>64</v>
      </c>
      <c r="G57">
        <v>58</v>
      </c>
      <c r="H57">
        <v>40</v>
      </c>
      <c r="I57">
        <v>55</v>
      </c>
      <c r="J57">
        <v>49</v>
      </c>
      <c r="K57">
        <v>40</v>
      </c>
      <c r="L57">
        <v>57</v>
      </c>
      <c r="M57">
        <v>61</v>
      </c>
      <c r="N57">
        <v>63</v>
      </c>
      <c r="O57">
        <v>68</v>
      </c>
      <c r="P57">
        <v>58</v>
      </c>
      <c r="Q57">
        <v>59</v>
      </c>
      <c r="R57">
        <v>55</v>
      </c>
      <c r="S57">
        <v>56</v>
      </c>
      <c r="T57">
        <v>51</v>
      </c>
      <c r="U57">
        <v>51</v>
      </c>
      <c r="V57">
        <v>43</v>
      </c>
      <c r="W57">
        <v>38</v>
      </c>
      <c r="X57">
        <v>35</v>
      </c>
      <c r="Y57">
        <v>40</v>
      </c>
      <c r="Z57">
        <v>37</v>
      </c>
      <c r="AA57">
        <v>49</v>
      </c>
      <c r="AB57">
        <v>33</v>
      </c>
      <c r="AC57">
        <v>26</v>
      </c>
      <c r="AD57">
        <v>35</v>
      </c>
      <c r="AE57">
        <v>39</v>
      </c>
    </row>
    <row r="58" spans="1:31" x14ac:dyDescent="0.3">
      <c r="A58" t="s">
        <v>255</v>
      </c>
      <c r="B58" t="s">
        <v>234</v>
      </c>
      <c r="C58" t="s">
        <v>0</v>
      </c>
      <c r="D58" t="s">
        <v>235</v>
      </c>
      <c r="E58" t="s">
        <v>123</v>
      </c>
      <c r="F58">
        <v>64</v>
      </c>
      <c r="G58">
        <v>58</v>
      </c>
      <c r="H58">
        <v>40</v>
      </c>
      <c r="I58">
        <v>55</v>
      </c>
      <c r="J58">
        <v>49</v>
      </c>
      <c r="K58">
        <v>40</v>
      </c>
      <c r="L58">
        <v>57</v>
      </c>
      <c r="M58">
        <v>61</v>
      </c>
      <c r="N58">
        <v>63</v>
      </c>
      <c r="O58">
        <v>68</v>
      </c>
      <c r="P58">
        <v>58</v>
      </c>
      <c r="Q58">
        <v>59</v>
      </c>
      <c r="R58">
        <v>55</v>
      </c>
      <c r="S58">
        <v>56</v>
      </c>
      <c r="T58">
        <v>51</v>
      </c>
      <c r="U58">
        <v>51</v>
      </c>
      <c r="V58">
        <v>43</v>
      </c>
      <c r="W58">
        <v>38</v>
      </c>
      <c r="X58">
        <v>35</v>
      </c>
      <c r="Y58">
        <v>40</v>
      </c>
      <c r="Z58">
        <v>37</v>
      </c>
      <c r="AA58">
        <v>49</v>
      </c>
      <c r="AB58">
        <v>33</v>
      </c>
      <c r="AC58">
        <v>26</v>
      </c>
      <c r="AD58">
        <v>35</v>
      </c>
      <c r="AE58">
        <v>39</v>
      </c>
    </row>
    <row r="59" spans="1:31" x14ac:dyDescent="0.3">
      <c r="A59" t="s">
        <v>255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256</v>
      </c>
      <c r="B2" t="s">
        <v>121</v>
      </c>
      <c r="C2" t="s">
        <v>0</v>
      </c>
      <c r="D2" t="s">
        <v>122</v>
      </c>
      <c r="E2" t="s">
        <v>123</v>
      </c>
      <c r="F2">
        <v>3</v>
      </c>
      <c r="G2">
        <v>1</v>
      </c>
      <c r="H2">
        <v>0</v>
      </c>
      <c r="I2">
        <v>3</v>
      </c>
      <c r="J2">
        <v>3</v>
      </c>
      <c r="K2">
        <v>2</v>
      </c>
      <c r="L2">
        <v>0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3</v>
      </c>
      <c r="V2">
        <v>6</v>
      </c>
      <c r="W2">
        <v>2</v>
      </c>
      <c r="X2">
        <v>1</v>
      </c>
      <c r="Y2">
        <v>2</v>
      </c>
      <c r="Z2">
        <v>2</v>
      </c>
      <c r="AA2">
        <v>2</v>
      </c>
      <c r="AB2">
        <v>4</v>
      </c>
      <c r="AC2">
        <v>14</v>
      </c>
      <c r="AD2">
        <v>16</v>
      </c>
      <c r="AE2">
        <v>14</v>
      </c>
    </row>
    <row r="3" spans="1:31" x14ac:dyDescent="0.3">
      <c r="A3" t="s">
        <v>256</v>
      </c>
      <c r="B3" t="s">
        <v>124</v>
      </c>
      <c r="C3" t="s">
        <v>0</v>
      </c>
      <c r="D3" t="s">
        <v>125</v>
      </c>
      <c r="E3" t="s">
        <v>123</v>
      </c>
      <c r="F3">
        <v>6</v>
      </c>
      <c r="G3">
        <v>6</v>
      </c>
      <c r="H3">
        <v>5</v>
      </c>
      <c r="I3">
        <v>8</v>
      </c>
      <c r="J3">
        <v>10</v>
      </c>
      <c r="K3">
        <v>11</v>
      </c>
      <c r="L3">
        <v>4</v>
      </c>
      <c r="M3">
        <v>4</v>
      </c>
      <c r="N3">
        <v>6</v>
      </c>
      <c r="O3">
        <v>5</v>
      </c>
      <c r="P3">
        <v>4</v>
      </c>
      <c r="Q3">
        <v>3</v>
      </c>
      <c r="R3">
        <v>6</v>
      </c>
      <c r="S3">
        <v>10</v>
      </c>
      <c r="T3">
        <v>15</v>
      </c>
      <c r="U3">
        <v>11</v>
      </c>
      <c r="V3">
        <v>9</v>
      </c>
      <c r="W3">
        <v>9</v>
      </c>
      <c r="X3">
        <v>8</v>
      </c>
      <c r="Y3">
        <v>6</v>
      </c>
      <c r="Z3">
        <v>7</v>
      </c>
      <c r="AA3">
        <v>14</v>
      </c>
      <c r="AB3">
        <v>25</v>
      </c>
      <c r="AC3">
        <v>18</v>
      </c>
      <c r="AD3">
        <v>9</v>
      </c>
      <c r="AE3">
        <v>16</v>
      </c>
    </row>
    <row r="4" spans="1:31" x14ac:dyDescent="0.3">
      <c r="A4" t="s">
        <v>256</v>
      </c>
      <c r="B4" t="s">
        <v>126</v>
      </c>
      <c r="C4" t="s">
        <v>0</v>
      </c>
      <c r="D4" t="s">
        <v>127</v>
      </c>
      <c r="E4" t="s">
        <v>123</v>
      </c>
      <c r="F4">
        <v>1078</v>
      </c>
      <c r="G4">
        <v>1283</v>
      </c>
      <c r="H4">
        <v>1497</v>
      </c>
      <c r="I4">
        <v>1789</v>
      </c>
      <c r="J4">
        <v>2263</v>
      </c>
      <c r="K4">
        <v>2595</v>
      </c>
      <c r="L4">
        <v>2678</v>
      </c>
      <c r="M4">
        <v>2745</v>
      </c>
      <c r="N4">
        <v>3035</v>
      </c>
      <c r="O4">
        <v>3278</v>
      </c>
      <c r="P4">
        <v>3377</v>
      </c>
      <c r="Q4">
        <v>3588</v>
      </c>
      <c r="R4">
        <v>3854</v>
      </c>
      <c r="S4">
        <v>4386</v>
      </c>
      <c r="T4">
        <v>4146</v>
      </c>
      <c r="U4">
        <v>4241</v>
      </c>
      <c r="V4">
        <v>3987</v>
      </c>
      <c r="W4">
        <v>3368</v>
      </c>
      <c r="X4">
        <v>3262</v>
      </c>
      <c r="Y4">
        <v>3198</v>
      </c>
      <c r="Z4">
        <v>2932</v>
      </c>
      <c r="AA4">
        <v>2686</v>
      </c>
      <c r="AB4">
        <v>2465</v>
      </c>
      <c r="AC4">
        <v>2735</v>
      </c>
      <c r="AD4">
        <v>2714</v>
      </c>
      <c r="AE4">
        <v>2736</v>
      </c>
    </row>
    <row r="5" spans="1:31" x14ac:dyDescent="0.3">
      <c r="A5" t="s">
        <v>256</v>
      </c>
      <c r="B5" t="s">
        <v>128</v>
      </c>
      <c r="C5" t="s">
        <v>0</v>
      </c>
      <c r="D5" t="s">
        <v>129</v>
      </c>
      <c r="E5" t="s">
        <v>123</v>
      </c>
      <c r="F5">
        <v>48</v>
      </c>
      <c r="G5">
        <v>45</v>
      </c>
      <c r="H5">
        <v>39</v>
      </c>
      <c r="I5">
        <v>42</v>
      </c>
      <c r="J5">
        <v>46</v>
      </c>
      <c r="K5">
        <v>47</v>
      </c>
      <c r="L5">
        <v>46</v>
      </c>
      <c r="M5">
        <v>48</v>
      </c>
      <c r="N5">
        <v>43</v>
      </c>
      <c r="O5">
        <v>47</v>
      </c>
      <c r="P5">
        <v>53</v>
      </c>
      <c r="Q5">
        <v>56</v>
      </c>
      <c r="R5">
        <v>50</v>
      </c>
      <c r="S5">
        <v>57</v>
      </c>
      <c r="T5">
        <v>56</v>
      </c>
      <c r="U5">
        <v>64</v>
      </c>
      <c r="V5">
        <v>62</v>
      </c>
      <c r="W5">
        <v>61</v>
      </c>
      <c r="X5">
        <v>69</v>
      </c>
      <c r="Y5">
        <v>68</v>
      </c>
      <c r="Z5">
        <v>60</v>
      </c>
      <c r="AA5">
        <v>54</v>
      </c>
      <c r="AB5">
        <v>62</v>
      </c>
      <c r="AC5">
        <v>59</v>
      </c>
      <c r="AD5">
        <v>58</v>
      </c>
      <c r="AE5">
        <v>15</v>
      </c>
    </row>
    <row r="6" spans="1:31" x14ac:dyDescent="0.3">
      <c r="A6" t="s">
        <v>256</v>
      </c>
      <c r="B6" t="s">
        <v>130</v>
      </c>
      <c r="C6" t="s">
        <v>0</v>
      </c>
      <c r="D6" t="s">
        <v>131</v>
      </c>
      <c r="E6" t="s">
        <v>123</v>
      </c>
      <c r="F6">
        <v>7</v>
      </c>
      <c r="G6">
        <v>7</v>
      </c>
      <c r="H6">
        <v>8</v>
      </c>
      <c r="I6">
        <v>10</v>
      </c>
      <c r="J6">
        <v>13</v>
      </c>
      <c r="K6">
        <v>13</v>
      </c>
      <c r="L6">
        <v>16</v>
      </c>
      <c r="M6">
        <v>11</v>
      </c>
      <c r="N6">
        <v>11</v>
      </c>
      <c r="O6">
        <v>11</v>
      </c>
      <c r="P6">
        <v>7</v>
      </c>
      <c r="Q6">
        <v>12</v>
      </c>
      <c r="R6">
        <v>10</v>
      </c>
      <c r="S6">
        <v>12</v>
      </c>
      <c r="T6">
        <v>17</v>
      </c>
      <c r="U6">
        <v>8</v>
      </c>
      <c r="V6">
        <v>7</v>
      </c>
      <c r="W6">
        <v>5</v>
      </c>
      <c r="X6">
        <v>7</v>
      </c>
      <c r="Y6">
        <v>7</v>
      </c>
      <c r="Z6">
        <v>11</v>
      </c>
      <c r="AA6">
        <v>7</v>
      </c>
      <c r="AB6">
        <v>6</v>
      </c>
      <c r="AC6">
        <v>5</v>
      </c>
      <c r="AD6">
        <v>3</v>
      </c>
      <c r="AE6">
        <v>4</v>
      </c>
    </row>
    <row r="7" spans="1:31" x14ac:dyDescent="0.3">
      <c r="A7" t="s">
        <v>256</v>
      </c>
      <c r="B7" t="s">
        <v>132</v>
      </c>
      <c r="C7" t="s">
        <v>0</v>
      </c>
      <c r="D7" t="s">
        <v>133</v>
      </c>
      <c r="E7" t="s">
        <v>123</v>
      </c>
      <c r="F7">
        <v>65</v>
      </c>
      <c r="G7">
        <v>69</v>
      </c>
      <c r="H7">
        <v>74</v>
      </c>
      <c r="I7">
        <v>77</v>
      </c>
      <c r="J7">
        <v>83</v>
      </c>
      <c r="K7">
        <v>93</v>
      </c>
      <c r="L7">
        <v>99</v>
      </c>
      <c r="M7">
        <v>108</v>
      </c>
      <c r="N7">
        <v>111</v>
      </c>
      <c r="O7">
        <v>111</v>
      </c>
      <c r="P7">
        <v>109</v>
      </c>
      <c r="Q7">
        <v>105</v>
      </c>
      <c r="R7">
        <v>109</v>
      </c>
      <c r="S7">
        <v>107</v>
      </c>
      <c r="T7">
        <v>93</v>
      </c>
      <c r="U7">
        <v>105</v>
      </c>
      <c r="V7">
        <v>76</v>
      </c>
      <c r="W7">
        <v>94</v>
      </c>
      <c r="X7">
        <v>90</v>
      </c>
      <c r="Y7">
        <v>83</v>
      </c>
      <c r="Z7">
        <v>95</v>
      </c>
      <c r="AA7">
        <v>91</v>
      </c>
      <c r="AB7">
        <v>104</v>
      </c>
      <c r="AC7">
        <v>113</v>
      </c>
      <c r="AD7">
        <v>113</v>
      </c>
      <c r="AE7">
        <v>115</v>
      </c>
    </row>
    <row r="8" spans="1:31" x14ac:dyDescent="0.3">
      <c r="A8" t="s">
        <v>256</v>
      </c>
      <c r="B8" t="s">
        <v>134</v>
      </c>
      <c r="C8" t="s">
        <v>0</v>
      </c>
      <c r="D8" t="s">
        <v>135</v>
      </c>
      <c r="E8" t="s">
        <v>123</v>
      </c>
      <c r="F8">
        <v>30</v>
      </c>
      <c r="G8">
        <v>31</v>
      </c>
      <c r="H8">
        <v>32</v>
      </c>
      <c r="I8">
        <v>38</v>
      </c>
      <c r="J8">
        <v>21</v>
      </c>
      <c r="K8">
        <v>27</v>
      </c>
      <c r="L8">
        <v>27</v>
      </c>
      <c r="M8">
        <v>19</v>
      </c>
      <c r="N8">
        <v>15</v>
      </c>
      <c r="O8">
        <v>12</v>
      </c>
      <c r="P8">
        <v>10</v>
      </c>
      <c r="Q8">
        <v>12</v>
      </c>
      <c r="R8">
        <v>23</v>
      </c>
      <c r="S8">
        <v>42</v>
      </c>
      <c r="T8">
        <v>41</v>
      </c>
      <c r="U8">
        <v>39</v>
      </c>
      <c r="V8">
        <v>40</v>
      </c>
      <c r="W8">
        <v>42</v>
      </c>
      <c r="X8">
        <v>37</v>
      </c>
      <c r="Y8">
        <v>31</v>
      </c>
      <c r="Z8">
        <v>32</v>
      </c>
      <c r="AA8">
        <v>34</v>
      </c>
      <c r="AB8">
        <v>35</v>
      </c>
      <c r="AC8">
        <v>38</v>
      </c>
      <c r="AD8">
        <v>39</v>
      </c>
      <c r="AE8">
        <v>40</v>
      </c>
    </row>
    <row r="9" spans="1:31" x14ac:dyDescent="0.3">
      <c r="A9" t="s">
        <v>256</v>
      </c>
      <c r="B9" t="s">
        <v>136</v>
      </c>
      <c r="C9" t="s">
        <v>0</v>
      </c>
      <c r="D9" t="s">
        <v>137</v>
      </c>
      <c r="E9" t="s">
        <v>123</v>
      </c>
      <c r="F9">
        <v>71</v>
      </c>
      <c r="G9">
        <v>72</v>
      </c>
      <c r="H9">
        <v>78</v>
      </c>
      <c r="I9">
        <v>79</v>
      </c>
      <c r="J9">
        <v>96</v>
      </c>
      <c r="K9">
        <v>95</v>
      </c>
      <c r="L9">
        <v>95</v>
      </c>
      <c r="M9">
        <v>102</v>
      </c>
      <c r="N9">
        <v>95</v>
      </c>
      <c r="O9">
        <v>110</v>
      </c>
      <c r="P9">
        <v>109</v>
      </c>
      <c r="Q9">
        <v>125</v>
      </c>
      <c r="R9">
        <v>136</v>
      </c>
      <c r="S9">
        <v>139</v>
      </c>
      <c r="T9">
        <v>111</v>
      </c>
      <c r="U9">
        <v>124</v>
      </c>
      <c r="V9">
        <v>128</v>
      </c>
      <c r="W9">
        <v>105</v>
      </c>
      <c r="X9">
        <v>143</v>
      </c>
      <c r="Y9">
        <v>88</v>
      </c>
      <c r="Z9">
        <v>119</v>
      </c>
      <c r="AA9">
        <v>111</v>
      </c>
      <c r="AB9">
        <v>121</v>
      </c>
      <c r="AC9">
        <v>120</v>
      </c>
      <c r="AD9">
        <v>119</v>
      </c>
      <c r="AE9">
        <v>120</v>
      </c>
    </row>
    <row r="10" spans="1:31" x14ac:dyDescent="0.3">
      <c r="A10" t="s">
        <v>256</v>
      </c>
      <c r="B10" t="s">
        <v>138</v>
      </c>
      <c r="C10" t="s">
        <v>0</v>
      </c>
      <c r="D10" t="s">
        <v>139</v>
      </c>
      <c r="E10" t="s">
        <v>123</v>
      </c>
      <c r="F10">
        <v>147</v>
      </c>
      <c r="G10">
        <v>149</v>
      </c>
      <c r="H10">
        <v>155</v>
      </c>
      <c r="I10">
        <v>165</v>
      </c>
      <c r="J10">
        <v>184</v>
      </c>
      <c r="K10">
        <v>207</v>
      </c>
      <c r="L10">
        <v>226</v>
      </c>
      <c r="M10">
        <v>260</v>
      </c>
      <c r="N10">
        <v>229</v>
      </c>
      <c r="O10">
        <v>225</v>
      </c>
      <c r="P10">
        <v>225</v>
      </c>
      <c r="Q10">
        <v>248</v>
      </c>
      <c r="R10">
        <v>302</v>
      </c>
      <c r="S10">
        <v>304</v>
      </c>
      <c r="T10">
        <v>270</v>
      </c>
      <c r="U10">
        <v>279</v>
      </c>
      <c r="V10">
        <v>283</v>
      </c>
      <c r="W10">
        <v>316</v>
      </c>
      <c r="X10">
        <v>354</v>
      </c>
      <c r="Y10">
        <v>327</v>
      </c>
      <c r="Z10">
        <v>346</v>
      </c>
      <c r="AA10">
        <v>354</v>
      </c>
      <c r="AB10">
        <v>385</v>
      </c>
      <c r="AC10">
        <v>351</v>
      </c>
      <c r="AD10">
        <v>285</v>
      </c>
      <c r="AE10">
        <v>344</v>
      </c>
    </row>
    <row r="11" spans="1:31" x14ac:dyDescent="0.3">
      <c r="A11" t="s">
        <v>256</v>
      </c>
      <c r="B11" t="s">
        <v>140</v>
      </c>
      <c r="C11" t="s">
        <v>0</v>
      </c>
      <c r="D11" t="s">
        <v>141</v>
      </c>
      <c r="E11" t="s">
        <v>123</v>
      </c>
      <c r="F11">
        <v>76</v>
      </c>
      <c r="G11">
        <v>77</v>
      </c>
      <c r="H11">
        <v>77</v>
      </c>
      <c r="I11">
        <v>86</v>
      </c>
      <c r="J11">
        <v>88</v>
      </c>
      <c r="K11">
        <v>112</v>
      </c>
      <c r="L11">
        <v>131</v>
      </c>
      <c r="M11">
        <v>158</v>
      </c>
      <c r="N11">
        <v>134</v>
      </c>
      <c r="O11">
        <v>115</v>
      </c>
      <c r="P11">
        <v>116</v>
      </c>
      <c r="Q11">
        <v>123</v>
      </c>
      <c r="R11">
        <v>166</v>
      </c>
      <c r="S11">
        <v>165</v>
      </c>
      <c r="T11">
        <v>159</v>
      </c>
      <c r="U11">
        <v>155</v>
      </c>
      <c r="V11">
        <v>155</v>
      </c>
      <c r="W11">
        <v>211</v>
      </c>
      <c r="X11">
        <v>211</v>
      </c>
      <c r="Y11">
        <v>239</v>
      </c>
      <c r="Z11">
        <v>227</v>
      </c>
      <c r="AA11">
        <v>243</v>
      </c>
      <c r="AB11">
        <v>264</v>
      </c>
      <c r="AC11">
        <v>231</v>
      </c>
      <c r="AD11">
        <v>166</v>
      </c>
      <c r="AE11">
        <v>224</v>
      </c>
    </row>
    <row r="12" spans="1:31" x14ac:dyDescent="0.3">
      <c r="A12" t="s">
        <v>256</v>
      </c>
      <c r="B12" t="s">
        <v>142</v>
      </c>
      <c r="C12" t="s">
        <v>0</v>
      </c>
      <c r="D12" t="s">
        <v>143</v>
      </c>
      <c r="E12" t="s">
        <v>123</v>
      </c>
      <c r="F12">
        <v>29</v>
      </c>
      <c r="G12">
        <v>29</v>
      </c>
      <c r="H12">
        <v>27</v>
      </c>
      <c r="I12">
        <v>29</v>
      </c>
      <c r="J12">
        <v>44</v>
      </c>
      <c r="K12">
        <v>46</v>
      </c>
      <c r="L12">
        <v>46</v>
      </c>
      <c r="M12">
        <v>56</v>
      </c>
      <c r="N12">
        <v>53</v>
      </c>
      <c r="O12">
        <v>54</v>
      </c>
      <c r="P12">
        <v>46</v>
      </c>
      <c r="Q12">
        <v>55</v>
      </c>
      <c r="R12">
        <v>60</v>
      </c>
      <c r="S12">
        <v>61</v>
      </c>
      <c r="T12">
        <v>60</v>
      </c>
      <c r="U12">
        <v>62</v>
      </c>
      <c r="V12">
        <v>65</v>
      </c>
      <c r="W12">
        <v>73</v>
      </c>
      <c r="X12">
        <v>68</v>
      </c>
      <c r="Y12">
        <v>70</v>
      </c>
      <c r="Z12">
        <v>80</v>
      </c>
      <c r="AA12">
        <v>73</v>
      </c>
      <c r="AB12">
        <v>90</v>
      </c>
      <c r="AC12">
        <v>82</v>
      </c>
      <c r="AD12">
        <v>88</v>
      </c>
      <c r="AE12">
        <v>92</v>
      </c>
    </row>
    <row r="13" spans="1:31" x14ac:dyDescent="0.3">
      <c r="A13" t="s">
        <v>256</v>
      </c>
      <c r="B13" t="s">
        <v>144</v>
      </c>
      <c r="C13" t="s">
        <v>0</v>
      </c>
      <c r="D13" t="s">
        <v>145</v>
      </c>
      <c r="E13" t="s">
        <v>123</v>
      </c>
      <c r="F13">
        <v>49</v>
      </c>
      <c r="G13">
        <v>49</v>
      </c>
      <c r="H13">
        <v>52</v>
      </c>
      <c r="I13">
        <v>55</v>
      </c>
      <c r="J13">
        <v>63</v>
      </c>
      <c r="K13">
        <v>61</v>
      </c>
      <c r="L13">
        <v>67</v>
      </c>
      <c r="M13">
        <v>60</v>
      </c>
      <c r="N13">
        <v>66</v>
      </c>
      <c r="O13">
        <v>74</v>
      </c>
      <c r="P13">
        <v>82</v>
      </c>
      <c r="Q13">
        <v>83</v>
      </c>
      <c r="R13">
        <v>89</v>
      </c>
      <c r="S13">
        <v>88</v>
      </c>
      <c r="T13">
        <v>97</v>
      </c>
      <c r="U13">
        <v>100</v>
      </c>
      <c r="V13">
        <v>92</v>
      </c>
      <c r="W13">
        <v>85</v>
      </c>
      <c r="X13">
        <v>78</v>
      </c>
      <c r="Y13">
        <v>67</v>
      </c>
      <c r="Z13">
        <v>67</v>
      </c>
      <c r="AA13">
        <v>65</v>
      </c>
      <c r="AB13">
        <v>73</v>
      </c>
      <c r="AC13">
        <v>77</v>
      </c>
      <c r="AD13">
        <v>72</v>
      </c>
      <c r="AE13">
        <v>84</v>
      </c>
    </row>
    <row r="14" spans="1:31" x14ac:dyDescent="0.3">
      <c r="A14" t="s">
        <v>256</v>
      </c>
      <c r="B14" t="s">
        <v>146</v>
      </c>
      <c r="C14" t="s">
        <v>0</v>
      </c>
      <c r="D14" t="s">
        <v>147</v>
      </c>
      <c r="E14" t="s">
        <v>123</v>
      </c>
      <c r="F14">
        <v>411</v>
      </c>
      <c r="G14">
        <v>586</v>
      </c>
      <c r="H14">
        <v>768</v>
      </c>
      <c r="I14">
        <v>996</v>
      </c>
      <c r="J14">
        <v>1379</v>
      </c>
      <c r="K14">
        <v>1659</v>
      </c>
      <c r="L14">
        <v>1657</v>
      </c>
      <c r="M14">
        <v>1662</v>
      </c>
      <c r="N14">
        <v>2003</v>
      </c>
      <c r="O14">
        <v>2245</v>
      </c>
      <c r="P14">
        <v>2351</v>
      </c>
      <c r="Q14">
        <v>2466</v>
      </c>
      <c r="R14">
        <v>2606</v>
      </c>
      <c r="S14">
        <v>3050</v>
      </c>
      <c r="T14">
        <v>2886</v>
      </c>
      <c r="U14">
        <v>2890</v>
      </c>
      <c r="V14">
        <v>2619</v>
      </c>
      <c r="W14">
        <v>1821</v>
      </c>
      <c r="X14">
        <v>1744</v>
      </c>
      <c r="Y14">
        <v>1685</v>
      </c>
      <c r="Z14">
        <v>1344</v>
      </c>
      <c r="AA14">
        <v>1096</v>
      </c>
      <c r="AB14">
        <v>1081</v>
      </c>
      <c r="AC14">
        <v>994</v>
      </c>
      <c r="AD14">
        <v>1028</v>
      </c>
      <c r="AE14">
        <v>977</v>
      </c>
    </row>
    <row r="15" spans="1:31" x14ac:dyDescent="0.3">
      <c r="A15" t="s">
        <v>256</v>
      </c>
      <c r="B15" t="s">
        <v>148</v>
      </c>
      <c r="C15" t="s">
        <v>0</v>
      </c>
      <c r="D15" t="s">
        <v>149</v>
      </c>
      <c r="E15" t="s">
        <v>123</v>
      </c>
      <c r="F15">
        <v>478</v>
      </c>
      <c r="G15">
        <v>652</v>
      </c>
      <c r="H15">
        <v>833</v>
      </c>
      <c r="I15">
        <v>1072</v>
      </c>
      <c r="J15">
        <v>1457</v>
      </c>
      <c r="K15">
        <v>1740</v>
      </c>
      <c r="L15">
        <v>1739</v>
      </c>
      <c r="M15">
        <v>1752</v>
      </c>
      <c r="N15">
        <v>2107</v>
      </c>
      <c r="O15">
        <v>2360</v>
      </c>
      <c r="P15">
        <v>2465</v>
      </c>
      <c r="Q15">
        <v>2578</v>
      </c>
      <c r="R15">
        <v>2741</v>
      </c>
      <c r="S15">
        <v>3252</v>
      </c>
      <c r="T15">
        <v>3096</v>
      </c>
      <c r="U15">
        <v>3152</v>
      </c>
      <c r="V15">
        <v>2872</v>
      </c>
      <c r="W15">
        <v>2110</v>
      </c>
      <c r="X15">
        <v>1966</v>
      </c>
      <c r="Y15">
        <v>1991</v>
      </c>
      <c r="Z15">
        <v>1636</v>
      </c>
      <c r="AA15">
        <v>1355</v>
      </c>
      <c r="AB15">
        <v>1038</v>
      </c>
      <c r="AC15">
        <v>1216</v>
      </c>
      <c r="AD15">
        <v>1259</v>
      </c>
      <c r="AE15">
        <v>1204</v>
      </c>
    </row>
    <row r="16" spans="1:31" x14ac:dyDescent="0.3">
      <c r="A16" t="s">
        <v>256</v>
      </c>
      <c r="B16" t="s">
        <v>150</v>
      </c>
      <c r="C16" t="s">
        <v>0</v>
      </c>
      <c r="D16" t="s">
        <v>151</v>
      </c>
      <c r="E16" t="s">
        <v>123</v>
      </c>
      <c r="F16">
        <v>67</v>
      </c>
      <c r="G16">
        <v>66</v>
      </c>
      <c r="H16">
        <v>65</v>
      </c>
      <c r="I16">
        <v>76</v>
      </c>
      <c r="J16">
        <v>78</v>
      </c>
      <c r="K16">
        <v>81</v>
      </c>
      <c r="L16">
        <v>82</v>
      </c>
      <c r="M16">
        <v>90</v>
      </c>
      <c r="N16">
        <v>104</v>
      </c>
      <c r="O16">
        <v>115</v>
      </c>
      <c r="P16">
        <v>114</v>
      </c>
      <c r="Q16">
        <v>112</v>
      </c>
      <c r="R16">
        <v>135</v>
      </c>
      <c r="S16">
        <v>202</v>
      </c>
      <c r="T16">
        <v>210</v>
      </c>
      <c r="U16">
        <v>262</v>
      </c>
      <c r="V16">
        <v>253</v>
      </c>
      <c r="W16">
        <v>289</v>
      </c>
      <c r="X16">
        <v>222</v>
      </c>
      <c r="Y16">
        <v>306</v>
      </c>
      <c r="Z16">
        <v>292</v>
      </c>
      <c r="AA16">
        <v>259</v>
      </c>
      <c r="AB16">
        <v>-43</v>
      </c>
      <c r="AC16">
        <v>222</v>
      </c>
      <c r="AD16">
        <v>231</v>
      </c>
      <c r="AE16">
        <v>227</v>
      </c>
    </row>
    <row r="17" spans="1:31" x14ac:dyDescent="0.3">
      <c r="A17" t="s">
        <v>256</v>
      </c>
      <c r="B17" t="s">
        <v>152</v>
      </c>
      <c r="C17" t="s">
        <v>0</v>
      </c>
      <c r="D17" t="s">
        <v>153</v>
      </c>
      <c r="E17" t="s">
        <v>123</v>
      </c>
      <c r="F17">
        <v>122</v>
      </c>
      <c r="G17">
        <v>136</v>
      </c>
      <c r="H17">
        <v>148</v>
      </c>
      <c r="I17">
        <v>161</v>
      </c>
      <c r="J17">
        <v>185</v>
      </c>
      <c r="K17">
        <v>175</v>
      </c>
      <c r="L17">
        <v>207</v>
      </c>
      <c r="M17">
        <v>209</v>
      </c>
      <c r="N17">
        <v>185</v>
      </c>
      <c r="O17">
        <v>179</v>
      </c>
      <c r="P17">
        <v>194</v>
      </c>
      <c r="Q17">
        <v>209</v>
      </c>
      <c r="R17">
        <v>235</v>
      </c>
      <c r="S17">
        <v>389</v>
      </c>
      <c r="T17">
        <v>330</v>
      </c>
      <c r="U17">
        <v>352</v>
      </c>
      <c r="V17">
        <v>391</v>
      </c>
      <c r="W17">
        <v>471</v>
      </c>
      <c r="X17">
        <v>496</v>
      </c>
      <c r="Y17">
        <v>491</v>
      </c>
      <c r="Z17">
        <v>521</v>
      </c>
      <c r="AA17">
        <v>564</v>
      </c>
      <c r="AB17">
        <v>575</v>
      </c>
      <c r="AC17">
        <v>671</v>
      </c>
      <c r="AD17">
        <v>672</v>
      </c>
      <c r="AE17">
        <v>703</v>
      </c>
    </row>
    <row r="18" spans="1:31" x14ac:dyDescent="0.3">
      <c r="A18" t="s">
        <v>256</v>
      </c>
      <c r="B18" t="s">
        <v>154</v>
      </c>
      <c r="C18" t="s">
        <v>0</v>
      </c>
      <c r="D18" t="s">
        <v>155</v>
      </c>
      <c r="E18" t="s">
        <v>123</v>
      </c>
      <c r="F18">
        <v>21</v>
      </c>
      <c r="G18">
        <v>23</v>
      </c>
      <c r="H18">
        <v>23</v>
      </c>
      <c r="I18">
        <v>24</v>
      </c>
      <c r="J18">
        <v>26</v>
      </c>
      <c r="K18">
        <v>30</v>
      </c>
      <c r="L18">
        <v>28</v>
      </c>
      <c r="M18">
        <v>28</v>
      </c>
      <c r="N18">
        <v>27</v>
      </c>
      <c r="O18">
        <v>30</v>
      </c>
      <c r="P18">
        <v>32</v>
      </c>
      <c r="Q18">
        <v>44</v>
      </c>
      <c r="R18">
        <v>31</v>
      </c>
      <c r="S18">
        <v>38</v>
      </c>
      <c r="T18">
        <v>55</v>
      </c>
      <c r="U18">
        <v>48</v>
      </c>
      <c r="V18">
        <v>67</v>
      </c>
      <c r="W18">
        <v>78</v>
      </c>
      <c r="X18">
        <v>70</v>
      </c>
      <c r="Y18">
        <v>40</v>
      </c>
      <c r="Z18">
        <v>60</v>
      </c>
      <c r="AA18">
        <v>61</v>
      </c>
      <c r="AB18">
        <v>76</v>
      </c>
      <c r="AC18">
        <v>85</v>
      </c>
      <c r="AD18">
        <v>89</v>
      </c>
      <c r="AE18">
        <v>94</v>
      </c>
    </row>
    <row r="19" spans="1:31" x14ac:dyDescent="0.3">
      <c r="A19" t="s">
        <v>256</v>
      </c>
      <c r="B19" t="s">
        <v>156</v>
      </c>
      <c r="C19" t="s">
        <v>0</v>
      </c>
      <c r="D19" t="s">
        <v>157</v>
      </c>
      <c r="E19" t="s">
        <v>123</v>
      </c>
      <c r="F19">
        <v>82</v>
      </c>
      <c r="G19">
        <v>93</v>
      </c>
      <c r="H19">
        <v>106</v>
      </c>
      <c r="I19">
        <v>116</v>
      </c>
      <c r="J19">
        <v>141</v>
      </c>
      <c r="K19">
        <v>156</v>
      </c>
      <c r="L19">
        <v>177</v>
      </c>
      <c r="M19">
        <v>194</v>
      </c>
      <c r="N19">
        <v>188</v>
      </c>
      <c r="O19">
        <v>175</v>
      </c>
      <c r="P19">
        <v>154</v>
      </c>
      <c r="Q19">
        <v>186</v>
      </c>
      <c r="R19">
        <v>204</v>
      </c>
      <c r="S19">
        <v>36</v>
      </c>
      <c r="T19">
        <v>31</v>
      </c>
      <c r="U19">
        <v>32</v>
      </c>
      <c r="V19">
        <v>32</v>
      </c>
      <c r="W19">
        <v>33</v>
      </c>
      <c r="X19">
        <v>27</v>
      </c>
      <c r="Y19">
        <v>23</v>
      </c>
      <c r="Z19">
        <v>24</v>
      </c>
      <c r="AA19">
        <v>28</v>
      </c>
      <c r="AB19">
        <v>21</v>
      </c>
      <c r="AC19">
        <v>38</v>
      </c>
      <c r="AD19">
        <v>36</v>
      </c>
      <c r="AE19">
        <v>41</v>
      </c>
    </row>
    <row r="20" spans="1:31" x14ac:dyDescent="0.3">
      <c r="A20" t="s">
        <v>256</v>
      </c>
      <c r="B20" t="s">
        <v>158</v>
      </c>
      <c r="C20" t="s">
        <v>0</v>
      </c>
      <c r="D20" t="s">
        <v>159</v>
      </c>
      <c r="E20" t="s">
        <v>123</v>
      </c>
      <c r="F20">
        <v>13</v>
      </c>
      <c r="G20">
        <v>22</v>
      </c>
      <c r="H20">
        <v>33</v>
      </c>
      <c r="I20">
        <v>35</v>
      </c>
      <c r="J20">
        <v>28</v>
      </c>
      <c r="K20">
        <v>21</v>
      </c>
      <c r="L20">
        <v>30</v>
      </c>
      <c r="M20">
        <v>14</v>
      </c>
      <c r="N20">
        <v>9</v>
      </c>
      <c r="O20">
        <v>7</v>
      </c>
      <c r="P20">
        <v>12</v>
      </c>
      <c r="Q20">
        <v>25</v>
      </c>
      <c r="R20">
        <v>13</v>
      </c>
      <c r="S20">
        <v>14</v>
      </c>
      <c r="T20">
        <v>18</v>
      </c>
      <c r="U20">
        <v>25</v>
      </c>
      <c r="V20">
        <v>25</v>
      </c>
      <c r="W20">
        <v>34</v>
      </c>
      <c r="X20">
        <v>28</v>
      </c>
      <c r="Y20">
        <v>23</v>
      </c>
      <c r="Z20">
        <v>24</v>
      </c>
      <c r="AA20">
        <v>43</v>
      </c>
      <c r="AB20">
        <v>73</v>
      </c>
      <c r="AC20">
        <v>61</v>
      </c>
      <c r="AD20">
        <v>72</v>
      </c>
      <c r="AE20">
        <v>65</v>
      </c>
    </row>
    <row r="21" spans="1:31" x14ac:dyDescent="0.3">
      <c r="A21" t="s">
        <v>256</v>
      </c>
      <c r="B21" t="s">
        <v>160</v>
      </c>
      <c r="C21" t="s">
        <v>0</v>
      </c>
      <c r="D21" t="s">
        <v>161</v>
      </c>
      <c r="E21" t="s">
        <v>123</v>
      </c>
      <c r="F21">
        <v>14</v>
      </c>
      <c r="G21">
        <v>23</v>
      </c>
      <c r="H21">
        <v>34</v>
      </c>
      <c r="I21">
        <v>36</v>
      </c>
      <c r="J21">
        <v>31</v>
      </c>
      <c r="K21">
        <v>23</v>
      </c>
      <c r="L21">
        <v>33</v>
      </c>
      <c r="M21">
        <v>19</v>
      </c>
      <c r="N21">
        <v>15</v>
      </c>
      <c r="O21">
        <v>15</v>
      </c>
      <c r="P21">
        <v>20</v>
      </c>
      <c r="Q21">
        <v>39</v>
      </c>
      <c r="R21">
        <v>30</v>
      </c>
      <c r="S21">
        <v>26</v>
      </c>
      <c r="T21">
        <v>30</v>
      </c>
      <c r="U21">
        <v>43</v>
      </c>
      <c r="V21">
        <v>41</v>
      </c>
      <c r="W21">
        <v>58</v>
      </c>
      <c r="X21">
        <v>51</v>
      </c>
      <c r="Y21">
        <v>42</v>
      </c>
      <c r="Z21">
        <v>54</v>
      </c>
      <c r="AA21">
        <v>72</v>
      </c>
      <c r="AB21">
        <v>91</v>
      </c>
      <c r="AC21">
        <v>77</v>
      </c>
      <c r="AD21">
        <v>86</v>
      </c>
      <c r="AE21">
        <v>71</v>
      </c>
    </row>
    <row r="22" spans="1:31" x14ac:dyDescent="0.3">
      <c r="A22" t="s">
        <v>256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1</v>
      </c>
      <c r="H22">
        <v>1</v>
      </c>
      <c r="I22">
        <v>1</v>
      </c>
      <c r="J22">
        <v>3</v>
      </c>
      <c r="K22">
        <v>2</v>
      </c>
      <c r="L22">
        <v>3</v>
      </c>
      <c r="M22">
        <v>5</v>
      </c>
      <c r="N22">
        <v>6</v>
      </c>
      <c r="O22">
        <v>8</v>
      </c>
      <c r="P22">
        <v>8</v>
      </c>
      <c r="Q22">
        <v>14</v>
      </c>
      <c r="R22">
        <v>17</v>
      </c>
      <c r="S22">
        <v>12</v>
      </c>
      <c r="T22">
        <v>12</v>
      </c>
      <c r="U22">
        <v>18</v>
      </c>
      <c r="V22">
        <v>16</v>
      </c>
      <c r="W22">
        <v>24</v>
      </c>
      <c r="X22">
        <v>23</v>
      </c>
      <c r="Y22">
        <v>19</v>
      </c>
      <c r="Z22">
        <v>30</v>
      </c>
      <c r="AA22">
        <v>29</v>
      </c>
      <c r="AB22">
        <v>18</v>
      </c>
      <c r="AC22">
        <v>16</v>
      </c>
      <c r="AD22">
        <v>14</v>
      </c>
      <c r="AE22">
        <v>6</v>
      </c>
    </row>
    <row r="23" spans="1:31" x14ac:dyDescent="0.3">
      <c r="A23" t="s">
        <v>256</v>
      </c>
      <c r="B23" t="s">
        <v>164</v>
      </c>
      <c r="C23" t="s">
        <v>0</v>
      </c>
      <c r="D23" t="s">
        <v>165</v>
      </c>
      <c r="E23" t="s">
        <v>123</v>
      </c>
      <c r="F23">
        <v>11</v>
      </c>
      <c r="G23">
        <v>10</v>
      </c>
      <c r="H23">
        <v>10</v>
      </c>
      <c r="I23">
        <v>11</v>
      </c>
      <c r="J23">
        <v>20</v>
      </c>
      <c r="K23">
        <v>31</v>
      </c>
      <c r="L23">
        <v>25</v>
      </c>
      <c r="M23">
        <v>31</v>
      </c>
      <c r="N23">
        <v>35</v>
      </c>
      <c r="O23">
        <v>20</v>
      </c>
      <c r="P23">
        <v>19</v>
      </c>
      <c r="Q23">
        <v>20</v>
      </c>
      <c r="R23">
        <v>24</v>
      </c>
      <c r="S23">
        <v>30</v>
      </c>
      <c r="T23">
        <v>41</v>
      </c>
      <c r="U23">
        <v>54</v>
      </c>
      <c r="V23">
        <v>47</v>
      </c>
      <c r="W23">
        <v>49</v>
      </c>
      <c r="X23">
        <v>62</v>
      </c>
      <c r="Y23">
        <v>18</v>
      </c>
      <c r="Z23">
        <v>31</v>
      </c>
      <c r="AA23">
        <v>21</v>
      </c>
      <c r="AB23">
        <v>30</v>
      </c>
      <c r="AC23">
        <v>27</v>
      </c>
      <c r="AD23">
        <v>26</v>
      </c>
      <c r="AE23">
        <v>32</v>
      </c>
    </row>
    <row r="24" spans="1:31" x14ac:dyDescent="0.3">
      <c r="A24" t="s">
        <v>256</v>
      </c>
      <c r="B24" t="s">
        <v>166</v>
      </c>
      <c r="C24" t="s">
        <v>0</v>
      </c>
      <c r="D24" t="s">
        <v>167</v>
      </c>
      <c r="E24" t="s">
        <v>123</v>
      </c>
      <c r="F24">
        <v>44</v>
      </c>
      <c r="G24">
        <v>55</v>
      </c>
      <c r="H24">
        <v>66</v>
      </c>
      <c r="I24">
        <v>83</v>
      </c>
      <c r="J24">
        <v>93</v>
      </c>
      <c r="K24">
        <v>118</v>
      </c>
      <c r="L24">
        <v>122</v>
      </c>
      <c r="M24">
        <v>6</v>
      </c>
      <c r="N24">
        <v>6</v>
      </c>
      <c r="O24">
        <v>3</v>
      </c>
      <c r="P24">
        <v>5</v>
      </c>
      <c r="Q24">
        <v>1</v>
      </c>
      <c r="R24">
        <v>59</v>
      </c>
      <c r="S24">
        <v>38</v>
      </c>
      <c r="T24">
        <v>49</v>
      </c>
      <c r="U24">
        <v>56</v>
      </c>
      <c r="V24">
        <v>63</v>
      </c>
      <c r="W24">
        <v>98</v>
      </c>
      <c r="X24">
        <v>74</v>
      </c>
      <c r="Y24">
        <v>68</v>
      </c>
      <c r="Z24">
        <v>73</v>
      </c>
      <c r="AA24">
        <v>68</v>
      </c>
      <c r="AB24">
        <v>50</v>
      </c>
      <c r="AC24">
        <v>76</v>
      </c>
      <c r="AD24">
        <v>71</v>
      </c>
      <c r="AE24">
        <v>65</v>
      </c>
    </row>
    <row r="25" spans="1:31" x14ac:dyDescent="0.3">
      <c r="A25" t="s">
        <v>256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>
        <v>0</v>
      </c>
      <c r="W25">
        <v>1</v>
      </c>
      <c r="X25">
        <v>2</v>
      </c>
      <c r="Y25">
        <v>4</v>
      </c>
      <c r="Z25">
        <v>6</v>
      </c>
      <c r="AA25">
        <v>5</v>
      </c>
      <c r="AB25">
        <v>1</v>
      </c>
      <c r="AC25">
        <v>1</v>
      </c>
      <c r="AD25">
        <v>4</v>
      </c>
      <c r="AE25">
        <v>2</v>
      </c>
    </row>
    <row r="26" spans="1:31" x14ac:dyDescent="0.3">
      <c r="A26" t="s">
        <v>256</v>
      </c>
      <c r="B26" t="s">
        <v>170</v>
      </c>
      <c r="C26" t="s">
        <v>0</v>
      </c>
      <c r="D26" t="s">
        <v>171</v>
      </c>
      <c r="E26" t="s">
        <v>123</v>
      </c>
      <c r="F26">
        <v>44</v>
      </c>
      <c r="G26">
        <v>55</v>
      </c>
      <c r="H26">
        <v>66</v>
      </c>
      <c r="I26">
        <v>82</v>
      </c>
      <c r="J26">
        <v>92</v>
      </c>
      <c r="K26">
        <v>116</v>
      </c>
      <c r="L26">
        <v>119</v>
      </c>
      <c r="M26">
        <v>6</v>
      </c>
      <c r="N26">
        <v>6</v>
      </c>
      <c r="O26">
        <v>3</v>
      </c>
      <c r="P26">
        <v>5</v>
      </c>
      <c r="Q26">
        <v>1</v>
      </c>
      <c r="R26">
        <v>59</v>
      </c>
      <c r="S26">
        <v>34</v>
      </c>
      <c r="T26">
        <v>49</v>
      </c>
      <c r="U26">
        <v>52</v>
      </c>
      <c r="V26">
        <v>58</v>
      </c>
      <c r="W26">
        <v>95</v>
      </c>
      <c r="X26">
        <v>71</v>
      </c>
      <c r="Y26">
        <v>62</v>
      </c>
      <c r="Z26">
        <v>67</v>
      </c>
      <c r="AA26">
        <v>60</v>
      </c>
      <c r="AB26">
        <v>49</v>
      </c>
      <c r="AC26">
        <v>75</v>
      </c>
      <c r="AD26">
        <v>67</v>
      </c>
      <c r="AE26">
        <v>62</v>
      </c>
    </row>
    <row r="27" spans="1:31" x14ac:dyDescent="0.3">
      <c r="A27" t="s">
        <v>256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5</v>
      </c>
      <c r="W27">
        <v>2</v>
      </c>
      <c r="X27">
        <v>1</v>
      </c>
      <c r="Y27">
        <v>2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1</v>
      </c>
    </row>
    <row r="28" spans="1:31" x14ac:dyDescent="0.3">
      <c r="A28" t="s">
        <v>256</v>
      </c>
      <c r="B28" t="s">
        <v>174</v>
      </c>
      <c r="C28" t="s">
        <v>0</v>
      </c>
      <c r="D28" t="s">
        <v>175</v>
      </c>
      <c r="E28" t="s">
        <v>123</v>
      </c>
      <c r="F28">
        <v>9</v>
      </c>
      <c r="G28">
        <v>10</v>
      </c>
      <c r="H28">
        <v>11</v>
      </c>
      <c r="I28">
        <v>9</v>
      </c>
      <c r="J28">
        <v>16</v>
      </c>
      <c r="K28">
        <v>17</v>
      </c>
      <c r="L28">
        <v>29</v>
      </c>
      <c r="M28">
        <v>19</v>
      </c>
      <c r="N28">
        <v>23</v>
      </c>
      <c r="O28">
        <v>22</v>
      </c>
      <c r="P28">
        <v>24</v>
      </c>
      <c r="Q28">
        <v>28</v>
      </c>
      <c r="R28">
        <v>22</v>
      </c>
      <c r="S28">
        <v>19</v>
      </c>
      <c r="T28">
        <v>16</v>
      </c>
      <c r="U28">
        <v>10</v>
      </c>
      <c r="V28">
        <v>15</v>
      </c>
      <c r="W28">
        <v>12</v>
      </c>
      <c r="X28">
        <v>13</v>
      </c>
      <c r="Y28">
        <v>15</v>
      </c>
      <c r="Z28">
        <v>14</v>
      </c>
      <c r="AA28">
        <v>14</v>
      </c>
      <c r="AB28">
        <v>12</v>
      </c>
      <c r="AC28">
        <v>10</v>
      </c>
      <c r="AD28">
        <v>12</v>
      </c>
      <c r="AE28">
        <v>15</v>
      </c>
    </row>
    <row r="29" spans="1:31" x14ac:dyDescent="0.3">
      <c r="A29" t="s">
        <v>256</v>
      </c>
      <c r="B29" t="s">
        <v>176</v>
      </c>
      <c r="C29" t="s">
        <v>0</v>
      </c>
      <c r="D29" t="s">
        <v>177</v>
      </c>
      <c r="E29" t="s">
        <v>123</v>
      </c>
      <c r="F29">
        <v>4</v>
      </c>
      <c r="G29">
        <v>4</v>
      </c>
      <c r="H29">
        <v>4</v>
      </c>
      <c r="I29">
        <v>3</v>
      </c>
      <c r="J29">
        <v>7</v>
      </c>
      <c r="K29">
        <v>6</v>
      </c>
      <c r="L29">
        <v>10</v>
      </c>
      <c r="M29">
        <v>2</v>
      </c>
      <c r="N29">
        <v>4</v>
      </c>
      <c r="O29">
        <v>4</v>
      </c>
      <c r="P29">
        <v>2</v>
      </c>
      <c r="Q29">
        <v>2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0</v>
      </c>
      <c r="AC29">
        <v>2</v>
      </c>
      <c r="AD29">
        <v>3</v>
      </c>
      <c r="AE29">
        <v>1</v>
      </c>
    </row>
    <row r="30" spans="1:31" x14ac:dyDescent="0.3">
      <c r="A30" t="s">
        <v>256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1</v>
      </c>
    </row>
    <row r="31" spans="1:31" x14ac:dyDescent="0.3">
      <c r="A31" t="s">
        <v>256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256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  <c r="M32">
        <v>1</v>
      </c>
      <c r="N32">
        <v>1</v>
      </c>
      <c r="O32">
        <v>2</v>
      </c>
      <c r="P32">
        <v>3</v>
      </c>
      <c r="Q32">
        <v>2</v>
      </c>
      <c r="R32">
        <v>0</v>
      </c>
      <c r="S32">
        <v>1</v>
      </c>
      <c r="T32">
        <v>1</v>
      </c>
      <c r="U32">
        <v>1</v>
      </c>
      <c r="V32">
        <v>2</v>
      </c>
      <c r="W32">
        <v>1</v>
      </c>
      <c r="X32">
        <v>2</v>
      </c>
      <c r="Y32">
        <v>2</v>
      </c>
      <c r="Z32">
        <v>1</v>
      </c>
      <c r="AA32">
        <v>0</v>
      </c>
      <c r="AB32">
        <v>3</v>
      </c>
      <c r="AC32">
        <v>2</v>
      </c>
      <c r="AD32">
        <v>3</v>
      </c>
      <c r="AE32">
        <v>6</v>
      </c>
    </row>
    <row r="33" spans="1:31" x14ac:dyDescent="0.3">
      <c r="A33" t="s">
        <v>256</v>
      </c>
      <c r="B33" t="s">
        <v>184</v>
      </c>
      <c r="C33" t="s">
        <v>0</v>
      </c>
      <c r="D33" t="s">
        <v>185</v>
      </c>
      <c r="E33" t="s">
        <v>123</v>
      </c>
      <c r="F33">
        <v>5</v>
      </c>
      <c r="G33">
        <v>5</v>
      </c>
      <c r="H33">
        <v>6</v>
      </c>
      <c r="I33">
        <v>5</v>
      </c>
      <c r="J33">
        <v>5</v>
      </c>
      <c r="K33">
        <v>10</v>
      </c>
      <c r="L33">
        <v>17</v>
      </c>
      <c r="M33">
        <v>15</v>
      </c>
      <c r="N33">
        <v>17</v>
      </c>
      <c r="O33">
        <v>15</v>
      </c>
      <c r="P33">
        <v>18</v>
      </c>
      <c r="Q33">
        <v>24</v>
      </c>
      <c r="R33">
        <v>20</v>
      </c>
      <c r="S33">
        <v>17</v>
      </c>
      <c r="T33">
        <v>15</v>
      </c>
      <c r="U33">
        <v>8</v>
      </c>
      <c r="V33">
        <v>11</v>
      </c>
      <c r="W33">
        <v>10</v>
      </c>
      <c r="X33">
        <v>10</v>
      </c>
      <c r="Y33">
        <v>11</v>
      </c>
      <c r="Z33">
        <v>11</v>
      </c>
      <c r="AA33">
        <v>12</v>
      </c>
      <c r="AB33">
        <v>9</v>
      </c>
      <c r="AC33">
        <v>6</v>
      </c>
      <c r="AD33">
        <v>5</v>
      </c>
      <c r="AE33">
        <v>7</v>
      </c>
    </row>
    <row r="34" spans="1:31" x14ac:dyDescent="0.3">
      <c r="A34" t="s">
        <v>256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2</v>
      </c>
    </row>
    <row r="35" spans="1:31" x14ac:dyDescent="0.3">
      <c r="A35" t="s">
        <v>256</v>
      </c>
      <c r="B35" t="s">
        <v>188</v>
      </c>
      <c r="C35" t="s">
        <v>0</v>
      </c>
      <c r="D35" t="s">
        <v>189</v>
      </c>
      <c r="E35" t="s">
        <v>123</v>
      </c>
      <c r="F35">
        <v>43</v>
      </c>
      <c r="G35">
        <v>50</v>
      </c>
      <c r="H35">
        <v>61</v>
      </c>
      <c r="I35">
        <v>82</v>
      </c>
      <c r="J35">
        <v>136</v>
      </c>
      <c r="K35">
        <v>139</v>
      </c>
      <c r="L35">
        <v>127</v>
      </c>
      <c r="M35">
        <v>251</v>
      </c>
      <c r="N35">
        <v>244</v>
      </c>
      <c r="O35">
        <v>198</v>
      </c>
      <c r="P35">
        <v>237</v>
      </c>
      <c r="Q35">
        <v>157</v>
      </c>
      <c r="R35">
        <v>340</v>
      </c>
      <c r="S35">
        <v>268</v>
      </c>
      <c r="T35">
        <v>224</v>
      </c>
      <c r="U35">
        <v>259</v>
      </c>
      <c r="V35">
        <v>268</v>
      </c>
      <c r="W35">
        <v>331</v>
      </c>
      <c r="X35">
        <v>430</v>
      </c>
      <c r="Y35">
        <v>372</v>
      </c>
      <c r="Z35">
        <v>286</v>
      </c>
      <c r="AA35">
        <v>283</v>
      </c>
      <c r="AB35">
        <v>383</v>
      </c>
      <c r="AC35">
        <v>290</v>
      </c>
      <c r="AD35">
        <v>265</v>
      </c>
      <c r="AE35">
        <v>324</v>
      </c>
    </row>
    <row r="36" spans="1:31" x14ac:dyDescent="0.3">
      <c r="A36" t="s">
        <v>256</v>
      </c>
      <c r="B36" t="s">
        <v>190</v>
      </c>
      <c r="C36" t="s">
        <v>0</v>
      </c>
      <c r="D36" t="s">
        <v>191</v>
      </c>
      <c r="E36" t="s">
        <v>123</v>
      </c>
      <c r="F36">
        <v>4</v>
      </c>
      <c r="G36">
        <v>4</v>
      </c>
      <c r="H36">
        <v>5</v>
      </c>
      <c r="I36">
        <v>5</v>
      </c>
      <c r="J36">
        <v>5</v>
      </c>
      <c r="K36">
        <v>3</v>
      </c>
      <c r="L36">
        <v>5</v>
      </c>
      <c r="M36">
        <v>6</v>
      </c>
      <c r="N36">
        <v>7</v>
      </c>
      <c r="O36">
        <v>5</v>
      </c>
      <c r="P36">
        <v>4</v>
      </c>
      <c r="Q36">
        <v>5</v>
      </c>
      <c r="R36">
        <v>7</v>
      </c>
      <c r="S36">
        <v>13</v>
      </c>
      <c r="T36">
        <v>10</v>
      </c>
      <c r="U36">
        <v>54</v>
      </c>
      <c r="V36">
        <v>59</v>
      </c>
      <c r="W36">
        <v>57</v>
      </c>
      <c r="X36">
        <v>68</v>
      </c>
      <c r="Y36">
        <v>81</v>
      </c>
      <c r="Z36">
        <v>75</v>
      </c>
      <c r="AA36">
        <v>51</v>
      </c>
      <c r="AB36">
        <v>107</v>
      </c>
      <c r="AC36">
        <v>127</v>
      </c>
      <c r="AD36">
        <v>146</v>
      </c>
      <c r="AE36">
        <v>133</v>
      </c>
    </row>
    <row r="37" spans="1:31" x14ac:dyDescent="0.3">
      <c r="A37" t="s">
        <v>256</v>
      </c>
      <c r="B37" t="s">
        <v>192</v>
      </c>
      <c r="C37" t="s">
        <v>0</v>
      </c>
      <c r="D37" t="s">
        <v>193</v>
      </c>
      <c r="E37" t="s">
        <v>123</v>
      </c>
      <c r="F37">
        <v>33</v>
      </c>
      <c r="G37">
        <v>41</v>
      </c>
      <c r="H37">
        <v>51</v>
      </c>
      <c r="I37">
        <v>67</v>
      </c>
      <c r="J37">
        <v>93</v>
      </c>
      <c r="K37">
        <v>88</v>
      </c>
      <c r="L37">
        <v>69</v>
      </c>
      <c r="M37">
        <v>100</v>
      </c>
      <c r="N37">
        <v>64</v>
      </c>
      <c r="O37">
        <v>79</v>
      </c>
      <c r="P37">
        <v>76</v>
      </c>
      <c r="Q37">
        <v>65</v>
      </c>
      <c r="R37">
        <v>56</v>
      </c>
      <c r="S37">
        <v>58</v>
      </c>
      <c r="T37">
        <v>44</v>
      </c>
      <c r="U37">
        <v>44</v>
      </c>
      <c r="V37">
        <v>42</v>
      </c>
      <c r="W37">
        <v>28</v>
      </c>
      <c r="X37">
        <v>42</v>
      </c>
      <c r="Y37">
        <v>41</v>
      </c>
      <c r="Z37">
        <v>36</v>
      </c>
      <c r="AA37">
        <v>34</v>
      </c>
      <c r="AB37">
        <v>32</v>
      </c>
      <c r="AC37">
        <v>28</v>
      </c>
      <c r="AD37">
        <v>34</v>
      </c>
      <c r="AE37">
        <v>28</v>
      </c>
    </row>
    <row r="38" spans="1:31" x14ac:dyDescent="0.3">
      <c r="A38" t="s">
        <v>256</v>
      </c>
      <c r="B38" t="s">
        <v>194</v>
      </c>
      <c r="C38" t="s">
        <v>0</v>
      </c>
      <c r="D38" t="s">
        <v>195</v>
      </c>
      <c r="E38" t="s">
        <v>123</v>
      </c>
      <c r="F38">
        <v>6</v>
      </c>
      <c r="G38">
        <v>5</v>
      </c>
      <c r="H38">
        <v>5</v>
      </c>
      <c r="I38">
        <v>10</v>
      </c>
      <c r="J38">
        <v>38</v>
      </c>
      <c r="K38">
        <v>48</v>
      </c>
      <c r="L38">
        <v>53</v>
      </c>
      <c r="M38">
        <v>145</v>
      </c>
      <c r="N38">
        <v>173</v>
      </c>
      <c r="O38">
        <v>114</v>
      </c>
      <c r="P38">
        <v>157</v>
      </c>
      <c r="Q38">
        <v>87</v>
      </c>
      <c r="R38">
        <v>277</v>
      </c>
      <c r="S38">
        <v>197</v>
      </c>
      <c r="T38">
        <v>170</v>
      </c>
      <c r="U38">
        <v>161</v>
      </c>
      <c r="V38">
        <v>167</v>
      </c>
      <c r="W38">
        <v>246</v>
      </c>
      <c r="X38">
        <v>320</v>
      </c>
      <c r="Y38">
        <v>250</v>
      </c>
      <c r="Z38">
        <v>175</v>
      </c>
      <c r="AA38">
        <v>198</v>
      </c>
      <c r="AB38">
        <v>244</v>
      </c>
      <c r="AC38">
        <v>135</v>
      </c>
      <c r="AD38">
        <v>85</v>
      </c>
      <c r="AE38">
        <v>163</v>
      </c>
    </row>
    <row r="39" spans="1:31" x14ac:dyDescent="0.3">
      <c r="A39" t="s">
        <v>256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8</v>
      </c>
      <c r="H39">
        <v>16</v>
      </c>
      <c r="I39">
        <v>4</v>
      </c>
      <c r="J39">
        <v>4</v>
      </c>
      <c r="K39">
        <v>9</v>
      </c>
      <c r="L39">
        <v>51</v>
      </c>
      <c r="M39">
        <v>1</v>
      </c>
      <c r="N39">
        <v>0</v>
      </c>
      <c r="O39">
        <v>0</v>
      </c>
      <c r="P39">
        <v>0</v>
      </c>
      <c r="Q39">
        <v>1</v>
      </c>
      <c r="R39">
        <v>34</v>
      </c>
      <c r="S39">
        <v>76</v>
      </c>
      <c r="T39">
        <v>68</v>
      </c>
      <c r="U39">
        <v>73</v>
      </c>
      <c r="V39">
        <v>75</v>
      </c>
      <c r="W39">
        <v>90</v>
      </c>
      <c r="X39">
        <v>67</v>
      </c>
      <c r="Y39">
        <v>78</v>
      </c>
      <c r="Z39">
        <v>88</v>
      </c>
      <c r="AA39">
        <v>79</v>
      </c>
      <c r="AB39">
        <v>109</v>
      </c>
      <c r="AC39">
        <v>104</v>
      </c>
      <c r="AD39">
        <v>97</v>
      </c>
      <c r="AE39">
        <v>93</v>
      </c>
    </row>
    <row r="40" spans="1:31" x14ac:dyDescent="0.3">
      <c r="A40" t="s">
        <v>256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3</v>
      </c>
      <c r="H40">
        <v>3</v>
      </c>
      <c r="I40">
        <v>1</v>
      </c>
      <c r="J40">
        <v>2</v>
      </c>
      <c r="K40">
        <v>2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3</v>
      </c>
      <c r="W40">
        <v>3</v>
      </c>
      <c r="X40">
        <v>2</v>
      </c>
      <c r="Y40">
        <v>3</v>
      </c>
      <c r="Z40">
        <v>5</v>
      </c>
      <c r="AA40">
        <v>4</v>
      </c>
      <c r="AB40">
        <v>4</v>
      </c>
      <c r="AC40">
        <v>4</v>
      </c>
      <c r="AD40">
        <v>4</v>
      </c>
      <c r="AE40">
        <v>4</v>
      </c>
    </row>
    <row r="41" spans="1:31" x14ac:dyDescent="0.3">
      <c r="A41" t="s">
        <v>256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256</v>
      </c>
      <c r="B42" t="s">
        <v>202</v>
      </c>
      <c r="C42" t="s">
        <v>0</v>
      </c>
      <c r="D42" t="s">
        <v>203</v>
      </c>
      <c r="E42" t="s">
        <v>123</v>
      </c>
      <c r="F42">
        <v>377</v>
      </c>
      <c r="G42">
        <v>410</v>
      </c>
      <c r="H42">
        <v>447</v>
      </c>
      <c r="I42">
        <v>466</v>
      </c>
      <c r="J42">
        <v>525</v>
      </c>
      <c r="K42">
        <v>549</v>
      </c>
      <c r="L42">
        <v>584</v>
      </c>
      <c r="M42">
        <v>704</v>
      </c>
      <c r="N42">
        <v>631</v>
      </c>
      <c r="O42">
        <v>670</v>
      </c>
      <c r="P42">
        <v>680</v>
      </c>
      <c r="Q42">
        <v>746</v>
      </c>
      <c r="R42">
        <v>695</v>
      </c>
      <c r="S42">
        <v>696</v>
      </c>
      <c r="T42">
        <v>762</v>
      </c>
      <c r="U42">
        <v>792</v>
      </c>
      <c r="V42">
        <v>749</v>
      </c>
      <c r="W42">
        <v>805</v>
      </c>
      <c r="X42">
        <v>800</v>
      </c>
      <c r="Y42">
        <v>737</v>
      </c>
      <c r="Z42">
        <v>745</v>
      </c>
      <c r="AA42">
        <v>704</v>
      </c>
      <c r="AB42">
        <v>670</v>
      </c>
      <c r="AC42">
        <v>788</v>
      </c>
      <c r="AD42">
        <v>820</v>
      </c>
      <c r="AE42">
        <v>808</v>
      </c>
    </row>
    <row r="43" spans="1:31" x14ac:dyDescent="0.3">
      <c r="A43" t="s">
        <v>256</v>
      </c>
      <c r="B43" t="s">
        <v>204</v>
      </c>
      <c r="C43" t="s">
        <v>0</v>
      </c>
      <c r="D43" t="s">
        <v>205</v>
      </c>
      <c r="E43" t="s">
        <v>123</v>
      </c>
      <c r="F43">
        <v>378</v>
      </c>
      <c r="G43">
        <v>412</v>
      </c>
      <c r="H43">
        <v>450</v>
      </c>
      <c r="I43">
        <v>469</v>
      </c>
      <c r="J43">
        <v>528</v>
      </c>
      <c r="K43">
        <v>550</v>
      </c>
      <c r="L43">
        <v>585</v>
      </c>
      <c r="M43">
        <v>710</v>
      </c>
      <c r="N43">
        <v>636</v>
      </c>
      <c r="O43">
        <v>678</v>
      </c>
      <c r="P43">
        <v>690</v>
      </c>
      <c r="Q43">
        <v>756</v>
      </c>
      <c r="R43">
        <v>703</v>
      </c>
      <c r="S43">
        <v>696</v>
      </c>
      <c r="T43">
        <v>762</v>
      </c>
      <c r="U43">
        <v>795</v>
      </c>
      <c r="V43">
        <v>753</v>
      </c>
      <c r="W43">
        <v>810</v>
      </c>
      <c r="X43">
        <v>803</v>
      </c>
      <c r="Y43">
        <v>745</v>
      </c>
      <c r="Z43">
        <v>752</v>
      </c>
      <c r="AA43">
        <v>719</v>
      </c>
      <c r="AB43">
        <v>677</v>
      </c>
      <c r="AC43">
        <v>797</v>
      </c>
      <c r="AD43">
        <v>823</v>
      </c>
      <c r="AE43">
        <v>829</v>
      </c>
    </row>
    <row r="44" spans="1:31" x14ac:dyDescent="0.3">
      <c r="A44" t="s">
        <v>256</v>
      </c>
      <c r="B44" t="s">
        <v>206</v>
      </c>
      <c r="C44" t="s">
        <v>0</v>
      </c>
      <c r="D44" t="s">
        <v>207</v>
      </c>
      <c r="E44" t="s">
        <v>123</v>
      </c>
      <c r="F44">
        <v>1594</v>
      </c>
      <c r="G44">
        <v>1866</v>
      </c>
      <c r="H44">
        <v>2156</v>
      </c>
      <c r="I44">
        <v>2503</v>
      </c>
      <c r="J44">
        <v>3113</v>
      </c>
      <c r="K44">
        <v>3506</v>
      </c>
      <c r="L44">
        <v>3667</v>
      </c>
      <c r="M44">
        <v>3797</v>
      </c>
      <c r="N44">
        <v>4013</v>
      </c>
      <c r="O44">
        <v>4234</v>
      </c>
      <c r="P44">
        <v>4388</v>
      </c>
      <c r="Q44">
        <v>4605</v>
      </c>
      <c r="R44">
        <v>5082</v>
      </c>
      <c r="S44">
        <v>5558</v>
      </c>
      <c r="T44">
        <v>5366</v>
      </c>
      <c r="U44">
        <v>5564</v>
      </c>
      <c r="V44">
        <v>5283</v>
      </c>
      <c r="W44">
        <v>4850</v>
      </c>
      <c r="X44">
        <v>4791</v>
      </c>
      <c r="Y44">
        <v>4568</v>
      </c>
      <c r="Z44">
        <v>4266</v>
      </c>
      <c r="AA44">
        <v>3977</v>
      </c>
      <c r="AB44">
        <v>3878</v>
      </c>
      <c r="AC44">
        <v>4183</v>
      </c>
      <c r="AD44">
        <v>4152</v>
      </c>
      <c r="AE44">
        <v>4230</v>
      </c>
    </row>
    <row r="45" spans="1:31" x14ac:dyDescent="0.3">
      <c r="A45" t="s">
        <v>256</v>
      </c>
      <c r="B45" t="s">
        <v>208</v>
      </c>
      <c r="C45" t="s">
        <v>0</v>
      </c>
      <c r="D45" t="s">
        <v>209</v>
      </c>
      <c r="E45" t="s">
        <v>123</v>
      </c>
      <c r="F45">
        <v>1591</v>
      </c>
      <c r="G45">
        <v>1865</v>
      </c>
      <c r="H45">
        <v>2156</v>
      </c>
      <c r="I45">
        <v>2500</v>
      </c>
      <c r="J45">
        <v>3110</v>
      </c>
      <c r="K45">
        <v>3504</v>
      </c>
      <c r="L45">
        <v>3667</v>
      </c>
      <c r="M45">
        <v>3796</v>
      </c>
      <c r="N45">
        <v>4013</v>
      </c>
      <c r="O45">
        <v>4233</v>
      </c>
      <c r="P45">
        <v>4388</v>
      </c>
      <c r="Q45">
        <v>4605</v>
      </c>
      <c r="R45">
        <v>5082</v>
      </c>
      <c r="S45">
        <v>5558</v>
      </c>
      <c r="T45">
        <v>5365</v>
      </c>
      <c r="U45">
        <v>5561</v>
      </c>
      <c r="V45">
        <v>5277</v>
      </c>
      <c r="W45">
        <v>4848</v>
      </c>
      <c r="X45">
        <v>4790</v>
      </c>
      <c r="Y45">
        <v>4566</v>
      </c>
      <c r="Z45">
        <v>4264</v>
      </c>
      <c r="AA45">
        <v>3975</v>
      </c>
      <c r="AB45">
        <v>3874</v>
      </c>
      <c r="AC45">
        <v>4169</v>
      </c>
      <c r="AD45">
        <v>4136</v>
      </c>
      <c r="AE45">
        <v>4216</v>
      </c>
    </row>
    <row r="46" spans="1:31" x14ac:dyDescent="0.3">
      <c r="A46" t="s">
        <v>256</v>
      </c>
      <c r="B46" t="s">
        <v>210</v>
      </c>
      <c r="C46" t="s">
        <v>0</v>
      </c>
      <c r="D46" t="s">
        <v>211</v>
      </c>
      <c r="E46" t="s">
        <v>123</v>
      </c>
      <c r="F46">
        <v>1</v>
      </c>
      <c r="G46">
        <v>2</v>
      </c>
      <c r="H46">
        <v>3</v>
      </c>
      <c r="I46">
        <v>3</v>
      </c>
      <c r="J46">
        <v>3</v>
      </c>
      <c r="K46">
        <v>1</v>
      </c>
      <c r="L46">
        <v>1</v>
      </c>
      <c r="M46">
        <v>6</v>
      </c>
      <c r="N46">
        <v>5</v>
      </c>
      <c r="O46">
        <v>8</v>
      </c>
      <c r="P46">
        <v>10</v>
      </c>
      <c r="Q46">
        <v>10</v>
      </c>
      <c r="R46">
        <v>8</v>
      </c>
      <c r="S46">
        <v>0</v>
      </c>
      <c r="T46">
        <v>0</v>
      </c>
      <c r="U46">
        <v>3</v>
      </c>
      <c r="V46">
        <v>4</v>
      </c>
      <c r="W46">
        <v>5</v>
      </c>
      <c r="X46">
        <v>3</v>
      </c>
      <c r="Y46">
        <v>8</v>
      </c>
      <c r="Z46">
        <v>7</v>
      </c>
      <c r="AA46">
        <v>15</v>
      </c>
      <c r="AB46">
        <v>7</v>
      </c>
      <c r="AC46">
        <v>9</v>
      </c>
      <c r="AD46">
        <v>3</v>
      </c>
      <c r="AE46">
        <v>21</v>
      </c>
    </row>
    <row r="47" spans="1:31" x14ac:dyDescent="0.3">
      <c r="A47" t="s">
        <v>256</v>
      </c>
      <c r="B47" t="s">
        <v>212</v>
      </c>
      <c r="C47" t="s">
        <v>0</v>
      </c>
      <c r="D47" t="s">
        <v>213</v>
      </c>
      <c r="E47" t="s">
        <v>123</v>
      </c>
      <c r="F47">
        <v>28</v>
      </c>
      <c r="G47">
        <v>30</v>
      </c>
      <c r="H47">
        <v>32</v>
      </c>
      <c r="I47">
        <v>39</v>
      </c>
      <c r="J47">
        <v>48</v>
      </c>
      <c r="K47">
        <v>46</v>
      </c>
      <c r="L47">
        <v>41</v>
      </c>
      <c r="M47">
        <v>52</v>
      </c>
      <c r="N47">
        <v>49</v>
      </c>
      <c r="O47">
        <v>51</v>
      </c>
      <c r="P47">
        <v>50</v>
      </c>
      <c r="Q47">
        <v>65</v>
      </c>
      <c r="R47">
        <v>44</v>
      </c>
      <c r="S47">
        <v>42</v>
      </c>
      <c r="T47">
        <v>60</v>
      </c>
      <c r="U47">
        <v>54</v>
      </c>
      <c r="V47">
        <v>47</v>
      </c>
      <c r="W47">
        <v>74</v>
      </c>
      <c r="X47">
        <v>61</v>
      </c>
      <c r="Y47">
        <v>55</v>
      </c>
      <c r="Z47">
        <v>54</v>
      </c>
      <c r="AA47">
        <v>88</v>
      </c>
      <c r="AB47">
        <v>105</v>
      </c>
      <c r="AC47">
        <v>109</v>
      </c>
      <c r="AD47">
        <v>104</v>
      </c>
      <c r="AE47">
        <v>104</v>
      </c>
    </row>
    <row r="48" spans="1:31" x14ac:dyDescent="0.3">
      <c r="A48" t="s">
        <v>256</v>
      </c>
      <c r="B48" t="s">
        <v>214</v>
      </c>
      <c r="C48" t="s">
        <v>0</v>
      </c>
      <c r="D48" t="s">
        <v>215</v>
      </c>
      <c r="E48" t="s">
        <v>123</v>
      </c>
      <c r="F48">
        <v>426</v>
      </c>
      <c r="G48">
        <v>577</v>
      </c>
      <c r="H48">
        <v>733</v>
      </c>
      <c r="I48">
        <v>629</v>
      </c>
      <c r="J48">
        <v>746</v>
      </c>
      <c r="K48">
        <v>682</v>
      </c>
      <c r="L48">
        <v>772</v>
      </c>
      <c r="M48">
        <v>877</v>
      </c>
      <c r="N48">
        <v>920</v>
      </c>
      <c r="O48">
        <v>967</v>
      </c>
      <c r="P48">
        <v>980</v>
      </c>
      <c r="Q48">
        <v>1047</v>
      </c>
      <c r="R48">
        <v>1106</v>
      </c>
      <c r="S48">
        <v>1074</v>
      </c>
      <c r="T48">
        <v>1210</v>
      </c>
      <c r="U48">
        <v>1362</v>
      </c>
      <c r="V48">
        <v>1362</v>
      </c>
      <c r="W48">
        <v>1431</v>
      </c>
      <c r="X48">
        <v>1393</v>
      </c>
      <c r="Y48">
        <v>1450</v>
      </c>
      <c r="Z48">
        <v>1310</v>
      </c>
      <c r="AA48">
        <v>1468</v>
      </c>
      <c r="AB48">
        <v>1582</v>
      </c>
      <c r="AC48">
        <v>1653</v>
      </c>
      <c r="AD48">
        <v>1662</v>
      </c>
      <c r="AE48">
        <v>1704</v>
      </c>
    </row>
    <row r="49" spans="1:31" x14ac:dyDescent="0.3">
      <c r="A49" t="s">
        <v>256</v>
      </c>
      <c r="B49" t="s">
        <v>216</v>
      </c>
      <c r="C49" t="s">
        <v>0</v>
      </c>
      <c r="D49" t="s">
        <v>217</v>
      </c>
      <c r="E49" t="s">
        <v>123</v>
      </c>
      <c r="F49">
        <v>396</v>
      </c>
      <c r="G49">
        <v>544</v>
      </c>
      <c r="H49">
        <v>698</v>
      </c>
      <c r="I49">
        <v>584</v>
      </c>
      <c r="J49">
        <v>692</v>
      </c>
      <c r="K49">
        <v>630</v>
      </c>
      <c r="L49">
        <v>725</v>
      </c>
      <c r="M49">
        <v>818</v>
      </c>
      <c r="N49">
        <v>865</v>
      </c>
      <c r="O49">
        <v>910</v>
      </c>
      <c r="P49">
        <v>924</v>
      </c>
      <c r="Q49">
        <v>975</v>
      </c>
      <c r="R49">
        <v>1053</v>
      </c>
      <c r="S49">
        <v>1024</v>
      </c>
      <c r="T49">
        <v>1141</v>
      </c>
      <c r="U49">
        <v>1295</v>
      </c>
      <c r="V49">
        <v>1303</v>
      </c>
      <c r="W49">
        <v>1342</v>
      </c>
      <c r="X49">
        <v>1318</v>
      </c>
      <c r="Y49">
        <v>1381</v>
      </c>
      <c r="Z49">
        <v>1246</v>
      </c>
      <c r="AA49">
        <v>1367</v>
      </c>
      <c r="AB49">
        <v>1463</v>
      </c>
      <c r="AC49">
        <v>1522</v>
      </c>
      <c r="AD49">
        <v>1535</v>
      </c>
      <c r="AE49">
        <v>1575</v>
      </c>
    </row>
    <row r="50" spans="1:31" x14ac:dyDescent="0.3">
      <c r="A50" t="s">
        <v>256</v>
      </c>
      <c r="B50" t="s">
        <v>218</v>
      </c>
      <c r="C50" t="s">
        <v>0</v>
      </c>
      <c r="D50" t="s">
        <v>219</v>
      </c>
      <c r="E50" t="s">
        <v>123</v>
      </c>
      <c r="F50">
        <v>2</v>
      </c>
      <c r="G50">
        <v>3</v>
      </c>
      <c r="H50">
        <v>3</v>
      </c>
      <c r="I50">
        <v>6</v>
      </c>
      <c r="J50">
        <v>6</v>
      </c>
      <c r="K50">
        <v>6</v>
      </c>
      <c r="L50">
        <v>6</v>
      </c>
      <c r="M50">
        <v>7</v>
      </c>
      <c r="N50">
        <v>6</v>
      </c>
      <c r="O50">
        <v>6</v>
      </c>
      <c r="P50">
        <v>6</v>
      </c>
      <c r="Q50">
        <v>7</v>
      </c>
      <c r="R50">
        <v>9</v>
      </c>
      <c r="S50">
        <v>8</v>
      </c>
      <c r="T50">
        <v>9</v>
      </c>
      <c r="U50">
        <v>13</v>
      </c>
      <c r="V50">
        <v>12</v>
      </c>
      <c r="W50">
        <v>15</v>
      </c>
      <c r="X50">
        <v>14</v>
      </c>
      <c r="Y50">
        <v>14</v>
      </c>
      <c r="Z50">
        <v>10</v>
      </c>
      <c r="AA50">
        <v>13</v>
      </c>
      <c r="AB50">
        <v>14</v>
      </c>
      <c r="AC50">
        <v>22</v>
      </c>
      <c r="AD50">
        <v>23</v>
      </c>
      <c r="AE50">
        <v>25</v>
      </c>
    </row>
    <row r="51" spans="1:31" x14ac:dyDescent="0.3">
      <c r="A51" t="s">
        <v>256</v>
      </c>
      <c r="B51" t="s">
        <v>220</v>
      </c>
      <c r="C51" t="s">
        <v>0</v>
      </c>
      <c r="D51" t="s">
        <v>221</v>
      </c>
      <c r="E51" t="s">
        <v>123</v>
      </c>
      <c r="F51">
        <v>2</v>
      </c>
      <c r="G51">
        <v>2</v>
      </c>
      <c r="H51">
        <v>2</v>
      </c>
      <c r="I51">
        <v>5</v>
      </c>
      <c r="J51">
        <v>5</v>
      </c>
      <c r="K51">
        <v>5</v>
      </c>
      <c r="L51">
        <v>5</v>
      </c>
      <c r="M51">
        <v>5</v>
      </c>
      <c r="N51">
        <v>4</v>
      </c>
      <c r="O51">
        <v>4</v>
      </c>
      <c r="P51">
        <v>4</v>
      </c>
      <c r="Q51">
        <v>5</v>
      </c>
      <c r="R51">
        <v>7</v>
      </c>
      <c r="S51">
        <v>6</v>
      </c>
      <c r="T51">
        <v>7</v>
      </c>
      <c r="U51">
        <v>8</v>
      </c>
      <c r="V51">
        <v>7</v>
      </c>
      <c r="W51">
        <v>9</v>
      </c>
      <c r="X51">
        <v>7</v>
      </c>
      <c r="Y51">
        <v>7</v>
      </c>
      <c r="Z51">
        <v>2</v>
      </c>
      <c r="AA51">
        <v>4</v>
      </c>
      <c r="AB51">
        <v>6</v>
      </c>
      <c r="AC51">
        <v>14</v>
      </c>
      <c r="AD51">
        <v>12</v>
      </c>
      <c r="AE51">
        <v>13</v>
      </c>
    </row>
    <row r="52" spans="1:31" x14ac:dyDescent="0.3">
      <c r="A52" t="s">
        <v>256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5</v>
      </c>
      <c r="V52">
        <v>5</v>
      </c>
      <c r="W52">
        <v>6</v>
      </c>
      <c r="X52">
        <v>7</v>
      </c>
      <c r="Y52">
        <v>7</v>
      </c>
      <c r="Z52">
        <v>8</v>
      </c>
      <c r="AA52">
        <v>9</v>
      </c>
      <c r="AB52">
        <v>8</v>
      </c>
      <c r="AC52">
        <v>8</v>
      </c>
      <c r="AD52">
        <v>11</v>
      </c>
      <c r="AE52">
        <v>12</v>
      </c>
    </row>
    <row r="53" spans="1:31" x14ac:dyDescent="0.3">
      <c r="A53" t="s">
        <v>256</v>
      </c>
      <c r="B53" t="s">
        <v>224</v>
      </c>
      <c r="C53" t="s">
        <v>0</v>
      </c>
      <c r="D53" t="s">
        <v>225</v>
      </c>
      <c r="E53" t="s">
        <v>123</v>
      </c>
      <c r="F53">
        <v>2</v>
      </c>
      <c r="G53">
        <v>2</v>
      </c>
      <c r="H53">
        <v>2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2</v>
      </c>
      <c r="P53">
        <v>3</v>
      </c>
      <c r="Q53">
        <v>4</v>
      </c>
      <c r="R53">
        <v>5</v>
      </c>
      <c r="S53">
        <v>5</v>
      </c>
      <c r="T53">
        <v>9</v>
      </c>
      <c r="U53">
        <v>12</v>
      </c>
      <c r="V53">
        <v>12</v>
      </c>
      <c r="W53">
        <v>15</v>
      </c>
      <c r="X53">
        <v>14</v>
      </c>
      <c r="Y53">
        <v>18</v>
      </c>
      <c r="Z53">
        <v>18</v>
      </c>
      <c r="AA53">
        <v>10</v>
      </c>
      <c r="AB53">
        <v>23</v>
      </c>
      <c r="AC53">
        <v>24</v>
      </c>
      <c r="AD53">
        <v>24</v>
      </c>
      <c r="AE53">
        <v>23</v>
      </c>
    </row>
    <row r="54" spans="1:31" x14ac:dyDescent="0.3">
      <c r="A54" t="s">
        <v>256</v>
      </c>
      <c r="B54" t="s">
        <v>226</v>
      </c>
      <c r="C54" t="s">
        <v>0</v>
      </c>
      <c r="D54" t="s">
        <v>227</v>
      </c>
      <c r="E54" t="s">
        <v>123</v>
      </c>
      <c r="F54">
        <v>8</v>
      </c>
      <c r="G54">
        <v>8</v>
      </c>
      <c r="H54">
        <v>6</v>
      </c>
      <c r="I54">
        <v>9</v>
      </c>
      <c r="J54">
        <v>9</v>
      </c>
      <c r="K54">
        <v>11</v>
      </c>
      <c r="L54">
        <v>13</v>
      </c>
      <c r="M54">
        <v>10</v>
      </c>
      <c r="N54">
        <v>13</v>
      </c>
      <c r="O54">
        <v>14</v>
      </c>
      <c r="P54">
        <v>12</v>
      </c>
      <c r="Q54">
        <v>12</v>
      </c>
      <c r="R54">
        <v>10</v>
      </c>
      <c r="S54">
        <v>9</v>
      </c>
      <c r="T54">
        <v>14</v>
      </c>
      <c r="U54">
        <v>18</v>
      </c>
      <c r="V54">
        <v>18</v>
      </c>
      <c r="W54">
        <v>22</v>
      </c>
      <c r="X54">
        <v>20</v>
      </c>
      <c r="Y54">
        <v>24</v>
      </c>
      <c r="Z54">
        <v>27</v>
      </c>
      <c r="AA54">
        <v>19</v>
      </c>
      <c r="AB54">
        <v>32</v>
      </c>
      <c r="AC54">
        <v>34</v>
      </c>
      <c r="AD54">
        <v>33</v>
      </c>
      <c r="AE54">
        <v>33</v>
      </c>
    </row>
    <row r="55" spans="1:31" x14ac:dyDescent="0.3">
      <c r="A55" t="s">
        <v>256</v>
      </c>
      <c r="B55" t="s">
        <v>228</v>
      </c>
      <c r="C55" t="s">
        <v>0</v>
      </c>
      <c r="D55" t="s">
        <v>229</v>
      </c>
      <c r="E55" t="s">
        <v>123</v>
      </c>
      <c r="F55">
        <v>6</v>
      </c>
      <c r="G55">
        <v>6</v>
      </c>
      <c r="H55">
        <v>4</v>
      </c>
      <c r="I55">
        <v>5</v>
      </c>
      <c r="J55">
        <v>5</v>
      </c>
      <c r="K55">
        <v>8</v>
      </c>
      <c r="L55">
        <v>9</v>
      </c>
      <c r="M55">
        <v>8</v>
      </c>
      <c r="N55">
        <v>10</v>
      </c>
      <c r="O55">
        <v>12</v>
      </c>
      <c r="P55">
        <v>9</v>
      </c>
      <c r="Q55">
        <v>8</v>
      </c>
      <c r="R55">
        <v>5</v>
      </c>
      <c r="S55">
        <v>4</v>
      </c>
      <c r="T55">
        <v>5</v>
      </c>
      <c r="U55">
        <v>6</v>
      </c>
      <c r="V55">
        <v>6</v>
      </c>
      <c r="W55">
        <v>7</v>
      </c>
      <c r="X55">
        <v>6</v>
      </c>
      <c r="Y55">
        <v>6</v>
      </c>
      <c r="Z55">
        <v>9</v>
      </c>
      <c r="AA55">
        <v>9</v>
      </c>
      <c r="AB55">
        <v>9</v>
      </c>
      <c r="AC55">
        <v>10</v>
      </c>
      <c r="AD55">
        <v>9</v>
      </c>
      <c r="AE55">
        <v>10</v>
      </c>
    </row>
    <row r="56" spans="1:31" x14ac:dyDescent="0.3">
      <c r="A56" t="s">
        <v>256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256</v>
      </c>
      <c r="B57" t="s">
        <v>232</v>
      </c>
      <c r="C57" t="s">
        <v>0</v>
      </c>
      <c r="D57" t="s">
        <v>233</v>
      </c>
      <c r="E57" t="s">
        <v>123</v>
      </c>
      <c r="F57">
        <v>2022</v>
      </c>
      <c r="G57">
        <v>2446</v>
      </c>
      <c r="H57">
        <v>2892</v>
      </c>
      <c r="I57">
        <v>3133</v>
      </c>
      <c r="J57">
        <v>3861</v>
      </c>
      <c r="K57">
        <v>4190</v>
      </c>
      <c r="L57">
        <v>4441</v>
      </c>
      <c r="M57">
        <v>4674</v>
      </c>
      <c r="N57">
        <v>4933</v>
      </c>
      <c r="O57">
        <v>5201</v>
      </c>
      <c r="P57">
        <v>5368</v>
      </c>
      <c r="Q57">
        <v>5652</v>
      </c>
      <c r="R57">
        <v>6188</v>
      </c>
      <c r="S57">
        <v>6632</v>
      </c>
      <c r="T57">
        <v>6576</v>
      </c>
      <c r="U57">
        <v>6930</v>
      </c>
      <c r="V57">
        <v>6648</v>
      </c>
      <c r="W57">
        <v>6284</v>
      </c>
      <c r="X57">
        <v>6186</v>
      </c>
      <c r="Y57">
        <v>6021</v>
      </c>
      <c r="Z57">
        <v>5581</v>
      </c>
      <c r="AA57">
        <v>5449</v>
      </c>
      <c r="AB57">
        <v>5464</v>
      </c>
      <c r="AC57">
        <v>5840</v>
      </c>
      <c r="AD57">
        <v>5818</v>
      </c>
      <c r="AE57">
        <v>5938</v>
      </c>
    </row>
    <row r="58" spans="1:31" x14ac:dyDescent="0.3">
      <c r="A58" t="s">
        <v>256</v>
      </c>
      <c r="B58" t="s">
        <v>234</v>
      </c>
      <c r="C58" t="s">
        <v>0</v>
      </c>
      <c r="D58" t="s">
        <v>235</v>
      </c>
      <c r="E58" t="s">
        <v>123</v>
      </c>
      <c r="F58">
        <v>2022</v>
      </c>
      <c r="G58">
        <v>2446</v>
      </c>
      <c r="H58">
        <v>2892</v>
      </c>
      <c r="I58">
        <v>3133</v>
      </c>
      <c r="J58">
        <v>3861</v>
      </c>
      <c r="K58">
        <v>4190</v>
      </c>
      <c r="L58">
        <v>4441</v>
      </c>
      <c r="M58">
        <v>4674</v>
      </c>
      <c r="N58">
        <v>4933</v>
      </c>
      <c r="O58">
        <v>5201</v>
      </c>
      <c r="P58">
        <v>5368</v>
      </c>
      <c r="Q58">
        <v>5652</v>
      </c>
      <c r="R58">
        <v>6188</v>
      </c>
      <c r="S58">
        <v>6632</v>
      </c>
      <c r="T58">
        <v>6576</v>
      </c>
      <c r="U58">
        <v>6930</v>
      </c>
      <c r="V58">
        <v>6648</v>
      </c>
      <c r="W58">
        <v>6284</v>
      </c>
      <c r="X58">
        <v>6186</v>
      </c>
      <c r="Y58">
        <v>6021</v>
      </c>
      <c r="Z58">
        <v>5581</v>
      </c>
      <c r="AA58">
        <v>5449</v>
      </c>
      <c r="AB58">
        <v>5464</v>
      </c>
      <c r="AC58">
        <v>5840</v>
      </c>
      <c r="AD58">
        <v>5818</v>
      </c>
      <c r="AE58">
        <v>5938</v>
      </c>
    </row>
    <row r="59" spans="1:31" x14ac:dyDescent="0.3">
      <c r="A59" t="s">
        <v>256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257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257</v>
      </c>
      <c r="B3" t="s">
        <v>124</v>
      </c>
      <c r="C3" t="s">
        <v>0</v>
      </c>
      <c r="D3" t="s">
        <v>125</v>
      </c>
      <c r="E3" t="s">
        <v>123</v>
      </c>
      <c r="F3">
        <v>28</v>
      </c>
      <c r="G3">
        <v>21</v>
      </c>
      <c r="H3">
        <v>20</v>
      </c>
      <c r="I3">
        <v>23</v>
      </c>
      <c r="J3">
        <v>29</v>
      </c>
      <c r="K3">
        <v>34</v>
      </c>
      <c r="L3">
        <v>46</v>
      </c>
      <c r="M3">
        <v>45</v>
      </c>
      <c r="N3">
        <v>43</v>
      </c>
      <c r="O3">
        <v>34</v>
      </c>
      <c r="P3">
        <v>40</v>
      </c>
      <c r="Q3">
        <v>41</v>
      </c>
      <c r="R3">
        <v>57</v>
      </c>
      <c r="S3">
        <v>61</v>
      </c>
      <c r="T3">
        <v>54</v>
      </c>
      <c r="U3">
        <v>66</v>
      </c>
      <c r="V3">
        <v>89</v>
      </c>
      <c r="W3">
        <v>94</v>
      </c>
      <c r="X3">
        <v>58</v>
      </c>
      <c r="Y3">
        <v>44</v>
      </c>
      <c r="Z3">
        <v>39</v>
      </c>
      <c r="AA3">
        <v>45</v>
      </c>
      <c r="AB3">
        <v>66</v>
      </c>
      <c r="AC3">
        <v>75</v>
      </c>
      <c r="AD3">
        <v>68</v>
      </c>
      <c r="AE3">
        <v>75</v>
      </c>
    </row>
    <row r="4" spans="1:31" x14ac:dyDescent="0.3">
      <c r="A4" t="s">
        <v>257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257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257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257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257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257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257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257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257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257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257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257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257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257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257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257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257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257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257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257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257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257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257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257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257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257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257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257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257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257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257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257</v>
      </c>
      <c r="B35" t="s">
        <v>188</v>
      </c>
      <c r="C35" t="s">
        <v>0</v>
      </c>
      <c r="D35" t="s">
        <v>189</v>
      </c>
      <c r="E35" t="s">
        <v>123</v>
      </c>
      <c r="F35">
        <v>166</v>
      </c>
      <c r="G35">
        <v>193</v>
      </c>
      <c r="H35">
        <v>198</v>
      </c>
      <c r="I35">
        <v>197</v>
      </c>
      <c r="J35">
        <v>195</v>
      </c>
      <c r="K35">
        <v>194</v>
      </c>
      <c r="L35">
        <v>224</v>
      </c>
      <c r="M35">
        <v>201</v>
      </c>
      <c r="N35">
        <v>196</v>
      </c>
      <c r="O35">
        <v>195</v>
      </c>
      <c r="P35">
        <v>214</v>
      </c>
      <c r="Q35">
        <v>235</v>
      </c>
      <c r="R35">
        <v>243</v>
      </c>
      <c r="S35">
        <v>224</v>
      </c>
      <c r="T35">
        <v>227</v>
      </c>
      <c r="U35">
        <v>277</v>
      </c>
      <c r="V35">
        <v>286</v>
      </c>
      <c r="W35">
        <v>321</v>
      </c>
      <c r="X35">
        <v>313</v>
      </c>
      <c r="Y35">
        <v>301</v>
      </c>
      <c r="Z35">
        <v>297</v>
      </c>
      <c r="AA35">
        <v>370</v>
      </c>
      <c r="AB35">
        <v>379</v>
      </c>
      <c r="AC35">
        <v>387</v>
      </c>
      <c r="AD35">
        <v>390</v>
      </c>
      <c r="AE35">
        <v>412</v>
      </c>
    </row>
    <row r="36" spans="1:31" x14ac:dyDescent="0.3">
      <c r="A36" t="s">
        <v>257</v>
      </c>
      <c r="B36" t="s">
        <v>190</v>
      </c>
      <c r="C36" t="s">
        <v>0</v>
      </c>
      <c r="D36" t="s">
        <v>191</v>
      </c>
      <c r="E36" t="s">
        <v>123</v>
      </c>
      <c r="F36">
        <v>166</v>
      </c>
      <c r="G36">
        <v>193</v>
      </c>
      <c r="H36">
        <v>198</v>
      </c>
      <c r="I36">
        <v>197</v>
      </c>
      <c r="J36">
        <v>195</v>
      </c>
      <c r="K36">
        <v>194</v>
      </c>
      <c r="L36">
        <v>224</v>
      </c>
      <c r="M36">
        <v>201</v>
      </c>
      <c r="N36">
        <v>196</v>
      </c>
      <c r="O36">
        <v>195</v>
      </c>
      <c r="P36">
        <v>214</v>
      </c>
      <c r="Q36">
        <v>235</v>
      </c>
      <c r="R36">
        <v>243</v>
      </c>
      <c r="S36">
        <v>224</v>
      </c>
      <c r="T36">
        <v>227</v>
      </c>
      <c r="U36">
        <v>277</v>
      </c>
      <c r="V36">
        <v>286</v>
      </c>
      <c r="W36">
        <v>321</v>
      </c>
      <c r="X36">
        <v>313</v>
      </c>
      <c r="Y36">
        <v>301</v>
      </c>
      <c r="Z36">
        <v>297</v>
      </c>
      <c r="AA36">
        <v>370</v>
      </c>
      <c r="AB36">
        <v>379</v>
      </c>
      <c r="AC36">
        <v>387</v>
      </c>
      <c r="AD36">
        <v>390</v>
      </c>
      <c r="AE36">
        <v>412</v>
      </c>
    </row>
    <row r="37" spans="1:31" x14ac:dyDescent="0.3">
      <c r="A37" t="s">
        <v>257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257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257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257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257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257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257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257</v>
      </c>
      <c r="B44" t="s">
        <v>206</v>
      </c>
      <c r="C44" t="s">
        <v>0</v>
      </c>
      <c r="D44" t="s">
        <v>207</v>
      </c>
      <c r="E44" t="s">
        <v>123</v>
      </c>
      <c r="F44">
        <v>214</v>
      </c>
      <c r="G44">
        <v>237</v>
      </c>
      <c r="H44">
        <v>242</v>
      </c>
      <c r="I44">
        <v>244</v>
      </c>
      <c r="J44">
        <v>248</v>
      </c>
      <c r="K44">
        <v>254</v>
      </c>
      <c r="L44">
        <v>296</v>
      </c>
      <c r="M44">
        <v>273</v>
      </c>
      <c r="N44">
        <v>266</v>
      </c>
      <c r="O44">
        <v>257</v>
      </c>
      <c r="P44">
        <v>285</v>
      </c>
      <c r="Q44">
        <v>311</v>
      </c>
      <c r="R44">
        <v>336</v>
      </c>
      <c r="S44">
        <v>321</v>
      </c>
      <c r="T44">
        <v>329</v>
      </c>
      <c r="U44">
        <v>401</v>
      </c>
      <c r="V44">
        <v>443</v>
      </c>
      <c r="W44">
        <v>484</v>
      </c>
      <c r="X44">
        <v>437</v>
      </c>
      <c r="Y44">
        <v>411</v>
      </c>
      <c r="Z44">
        <v>385</v>
      </c>
      <c r="AA44">
        <v>484</v>
      </c>
      <c r="AB44">
        <v>519</v>
      </c>
      <c r="AC44">
        <v>554</v>
      </c>
      <c r="AD44">
        <v>547</v>
      </c>
      <c r="AE44">
        <v>582</v>
      </c>
    </row>
    <row r="45" spans="1:31" x14ac:dyDescent="0.3">
      <c r="A45" t="s">
        <v>257</v>
      </c>
      <c r="B45" t="s">
        <v>208</v>
      </c>
      <c r="C45" t="s">
        <v>0</v>
      </c>
      <c r="D45" t="s">
        <v>209</v>
      </c>
      <c r="E45" t="s">
        <v>123</v>
      </c>
      <c r="F45">
        <v>214</v>
      </c>
      <c r="G45">
        <v>237</v>
      </c>
      <c r="H45">
        <v>242</v>
      </c>
      <c r="I45">
        <v>244</v>
      </c>
      <c r="J45">
        <v>248</v>
      </c>
      <c r="K45">
        <v>254</v>
      </c>
      <c r="L45">
        <v>296</v>
      </c>
      <c r="M45">
        <v>273</v>
      </c>
      <c r="N45">
        <v>266</v>
      </c>
      <c r="O45">
        <v>257</v>
      </c>
      <c r="P45">
        <v>285</v>
      </c>
      <c r="Q45">
        <v>311</v>
      </c>
      <c r="R45">
        <v>336</v>
      </c>
      <c r="S45">
        <v>321</v>
      </c>
      <c r="T45">
        <v>329</v>
      </c>
      <c r="U45">
        <v>401</v>
      </c>
      <c r="V45">
        <v>443</v>
      </c>
      <c r="W45">
        <v>484</v>
      </c>
      <c r="X45">
        <v>437</v>
      </c>
      <c r="Y45">
        <v>411</v>
      </c>
      <c r="Z45">
        <v>385</v>
      </c>
      <c r="AA45">
        <v>484</v>
      </c>
      <c r="AB45">
        <v>519</v>
      </c>
      <c r="AC45">
        <v>554</v>
      </c>
      <c r="AD45">
        <v>547</v>
      </c>
      <c r="AE45">
        <v>582</v>
      </c>
    </row>
    <row r="46" spans="1:31" x14ac:dyDescent="0.3">
      <c r="A46" t="s">
        <v>257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257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257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257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257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257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257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257</v>
      </c>
      <c r="B53" t="s">
        <v>224</v>
      </c>
      <c r="C53" t="s">
        <v>0</v>
      </c>
      <c r="D53" t="s">
        <v>225</v>
      </c>
      <c r="E53" t="s">
        <v>123</v>
      </c>
      <c r="F53">
        <v>20</v>
      </c>
      <c r="G53">
        <v>23</v>
      </c>
      <c r="H53">
        <v>24</v>
      </c>
      <c r="I53">
        <v>24</v>
      </c>
      <c r="J53">
        <v>25</v>
      </c>
      <c r="K53">
        <v>27</v>
      </c>
      <c r="L53">
        <v>27</v>
      </c>
      <c r="M53">
        <v>28</v>
      </c>
      <c r="N53">
        <v>28</v>
      </c>
      <c r="O53">
        <v>29</v>
      </c>
      <c r="P53">
        <v>31</v>
      </c>
      <c r="Q53">
        <v>35</v>
      </c>
      <c r="R53">
        <v>36</v>
      </c>
      <c r="S53">
        <v>36</v>
      </c>
      <c r="T53">
        <v>48</v>
      </c>
      <c r="U53">
        <v>58</v>
      </c>
      <c r="V53">
        <v>68</v>
      </c>
      <c r="W53">
        <v>69</v>
      </c>
      <c r="X53">
        <v>67</v>
      </c>
      <c r="Y53">
        <v>67</v>
      </c>
      <c r="Z53">
        <v>49</v>
      </c>
      <c r="AA53">
        <v>69</v>
      </c>
      <c r="AB53">
        <v>74</v>
      </c>
      <c r="AC53">
        <v>92</v>
      </c>
      <c r="AD53">
        <v>89</v>
      </c>
      <c r="AE53">
        <v>95</v>
      </c>
    </row>
    <row r="54" spans="1:31" x14ac:dyDescent="0.3">
      <c r="A54" t="s">
        <v>257</v>
      </c>
      <c r="B54" t="s">
        <v>226</v>
      </c>
      <c r="C54" t="s">
        <v>0</v>
      </c>
      <c r="D54" t="s">
        <v>227</v>
      </c>
      <c r="E54" t="s">
        <v>123</v>
      </c>
      <c r="F54">
        <v>20</v>
      </c>
      <c r="G54">
        <v>23</v>
      </c>
      <c r="H54">
        <v>24</v>
      </c>
      <c r="I54">
        <v>24</v>
      </c>
      <c r="J54">
        <v>25</v>
      </c>
      <c r="K54">
        <v>27</v>
      </c>
      <c r="L54">
        <v>27</v>
      </c>
      <c r="M54">
        <v>28</v>
      </c>
      <c r="N54">
        <v>28</v>
      </c>
      <c r="O54">
        <v>29</v>
      </c>
      <c r="P54">
        <v>31</v>
      </c>
      <c r="Q54">
        <v>35</v>
      </c>
      <c r="R54">
        <v>36</v>
      </c>
      <c r="S54">
        <v>36</v>
      </c>
      <c r="T54">
        <v>48</v>
      </c>
      <c r="U54">
        <v>58</v>
      </c>
      <c r="V54">
        <v>68</v>
      </c>
      <c r="W54">
        <v>69</v>
      </c>
      <c r="X54">
        <v>67</v>
      </c>
      <c r="Y54">
        <v>67</v>
      </c>
      <c r="Z54">
        <v>49</v>
      </c>
      <c r="AA54">
        <v>69</v>
      </c>
      <c r="AB54">
        <v>74</v>
      </c>
      <c r="AC54">
        <v>92</v>
      </c>
      <c r="AD54">
        <v>89</v>
      </c>
      <c r="AE54">
        <v>95</v>
      </c>
    </row>
    <row r="55" spans="1:31" x14ac:dyDescent="0.3">
      <c r="A55" t="s">
        <v>257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257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257</v>
      </c>
      <c r="B57" t="s">
        <v>232</v>
      </c>
      <c r="C57" t="s">
        <v>0</v>
      </c>
      <c r="D57" t="s">
        <v>233</v>
      </c>
      <c r="E57" t="s">
        <v>123</v>
      </c>
      <c r="F57">
        <v>214</v>
      </c>
      <c r="G57">
        <v>237</v>
      </c>
      <c r="H57">
        <v>242</v>
      </c>
      <c r="I57">
        <v>244</v>
      </c>
      <c r="J57">
        <v>248</v>
      </c>
      <c r="K57">
        <v>254</v>
      </c>
      <c r="L57">
        <v>296</v>
      </c>
      <c r="M57">
        <v>273</v>
      </c>
      <c r="N57">
        <v>266</v>
      </c>
      <c r="O57">
        <v>257</v>
      </c>
      <c r="P57">
        <v>285</v>
      </c>
      <c r="Q57">
        <v>311</v>
      </c>
      <c r="R57">
        <v>336</v>
      </c>
      <c r="S57">
        <v>321</v>
      </c>
      <c r="T57">
        <v>329</v>
      </c>
      <c r="U57">
        <v>401</v>
      </c>
      <c r="V57">
        <v>443</v>
      </c>
      <c r="W57">
        <v>484</v>
      </c>
      <c r="X57">
        <v>437</v>
      </c>
      <c r="Y57">
        <v>411</v>
      </c>
      <c r="Z57">
        <v>385</v>
      </c>
      <c r="AA57">
        <v>484</v>
      </c>
      <c r="AB57">
        <v>519</v>
      </c>
      <c r="AC57">
        <v>554</v>
      </c>
      <c r="AD57">
        <v>547</v>
      </c>
      <c r="AE57">
        <v>582</v>
      </c>
    </row>
    <row r="58" spans="1:31" x14ac:dyDescent="0.3">
      <c r="A58" t="s">
        <v>257</v>
      </c>
      <c r="B58" t="s">
        <v>234</v>
      </c>
      <c r="C58" t="s">
        <v>0</v>
      </c>
      <c r="D58" t="s">
        <v>235</v>
      </c>
      <c r="E58" t="s">
        <v>123</v>
      </c>
      <c r="F58">
        <v>214</v>
      </c>
      <c r="G58">
        <v>237</v>
      </c>
      <c r="H58">
        <v>242</v>
      </c>
      <c r="I58">
        <v>244</v>
      </c>
      <c r="J58">
        <v>248</v>
      </c>
      <c r="K58">
        <v>254</v>
      </c>
      <c r="L58">
        <v>296</v>
      </c>
      <c r="M58">
        <v>273</v>
      </c>
      <c r="N58">
        <v>266</v>
      </c>
      <c r="O58">
        <v>257</v>
      </c>
      <c r="P58">
        <v>285</v>
      </c>
      <c r="Q58">
        <v>311</v>
      </c>
      <c r="R58">
        <v>336</v>
      </c>
      <c r="S58">
        <v>321</v>
      </c>
      <c r="T58">
        <v>329</v>
      </c>
      <c r="U58">
        <v>401</v>
      </c>
      <c r="V58">
        <v>443</v>
      </c>
      <c r="W58">
        <v>484</v>
      </c>
      <c r="X58">
        <v>437</v>
      </c>
      <c r="Y58">
        <v>411</v>
      </c>
      <c r="Z58">
        <v>385</v>
      </c>
      <c r="AA58">
        <v>484</v>
      </c>
      <c r="AB58">
        <v>519</v>
      </c>
      <c r="AC58">
        <v>554</v>
      </c>
      <c r="AD58">
        <v>547</v>
      </c>
      <c r="AE58">
        <v>582</v>
      </c>
    </row>
    <row r="59" spans="1:31" x14ac:dyDescent="0.3">
      <c r="A59" t="s">
        <v>257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258</v>
      </c>
      <c r="B2" t="s">
        <v>121</v>
      </c>
      <c r="C2" t="s">
        <v>0</v>
      </c>
      <c r="D2" t="s">
        <v>122</v>
      </c>
      <c r="E2" t="s">
        <v>123</v>
      </c>
      <c r="F2">
        <v>1079</v>
      </c>
      <c r="G2">
        <v>967</v>
      </c>
      <c r="H2">
        <v>1182</v>
      </c>
      <c r="I2">
        <v>1295</v>
      </c>
      <c r="J2">
        <v>1348</v>
      </c>
      <c r="K2">
        <v>1288</v>
      </c>
      <c r="L2">
        <v>1374</v>
      </c>
      <c r="M2">
        <v>1440</v>
      </c>
      <c r="N2">
        <v>1433</v>
      </c>
      <c r="O2">
        <v>1370</v>
      </c>
      <c r="P2">
        <v>1417</v>
      </c>
      <c r="Q2">
        <v>1454</v>
      </c>
      <c r="R2">
        <v>1642</v>
      </c>
      <c r="S2">
        <v>1651</v>
      </c>
      <c r="T2">
        <v>1614</v>
      </c>
      <c r="U2">
        <v>1552</v>
      </c>
      <c r="V2">
        <v>1589</v>
      </c>
      <c r="W2">
        <v>1568</v>
      </c>
      <c r="X2">
        <v>1692</v>
      </c>
      <c r="Y2">
        <v>1684</v>
      </c>
      <c r="Z2">
        <v>1346</v>
      </c>
      <c r="AA2">
        <v>1366</v>
      </c>
      <c r="AB2">
        <v>1468</v>
      </c>
      <c r="AC2">
        <v>1525</v>
      </c>
      <c r="AD2">
        <v>1646</v>
      </c>
      <c r="AE2">
        <v>1629</v>
      </c>
    </row>
    <row r="3" spans="1:31" x14ac:dyDescent="0.3">
      <c r="A3" t="s">
        <v>258</v>
      </c>
      <c r="B3" t="s">
        <v>124</v>
      </c>
      <c r="C3" t="s">
        <v>0</v>
      </c>
      <c r="D3" t="s">
        <v>125</v>
      </c>
      <c r="E3" t="s">
        <v>123</v>
      </c>
      <c r="F3">
        <v>92</v>
      </c>
      <c r="G3">
        <v>84</v>
      </c>
      <c r="H3">
        <v>62</v>
      </c>
      <c r="I3">
        <v>91</v>
      </c>
      <c r="J3">
        <v>116</v>
      </c>
      <c r="K3">
        <v>128</v>
      </c>
      <c r="L3">
        <v>147</v>
      </c>
      <c r="M3">
        <v>130</v>
      </c>
      <c r="N3">
        <v>183</v>
      </c>
      <c r="O3">
        <v>120</v>
      </c>
      <c r="P3">
        <v>143</v>
      </c>
      <c r="Q3">
        <v>172</v>
      </c>
      <c r="R3">
        <v>374</v>
      </c>
      <c r="S3">
        <v>711</v>
      </c>
      <c r="T3">
        <v>372</v>
      </c>
      <c r="U3">
        <v>333</v>
      </c>
      <c r="V3">
        <v>490</v>
      </c>
      <c r="W3">
        <v>460</v>
      </c>
      <c r="X3">
        <v>345</v>
      </c>
      <c r="Y3">
        <v>313</v>
      </c>
      <c r="Z3">
        <v>390</v>
      </c>
      <c r="AA3">
        <v>280</v>
      </c>
      <c r="AB3">
        <v>347</v>
      </c>
      <c r="AC3">
        <v>379</v>
      </c>
      <c r="AD3">
        <v>351</v>
      </c>
      <c r="AE3">
        <v>496</v>
      </c>
    </row>
    <row r="4" spans="1:31" x14ac:dyDescent="0.3">
      <c r="A4" t="s">
        <v>258</v>
      </c>
      <c r="B4" t="s">
        <v>126</v>
      </c>
      <c r="C4" t="s">
        <v>0</v>
      </c>
      <c r="D4" t="s">
        <v>127</v>
      </c>
      <c r="E4" t="s">
        <v>123</v>
      </c>
      <c r="F4">
        <v>4677</v>
      </c>
      <c r="G4">
        <v>5004</v>
      </c>
      <c r="H4">
        <v>5300</v>
      </c>
      <c r="I4">
        <v>5937</v>
      </c>
      <c r="J4">
        <v>5999</v>
      </c>
      <c r="K4">
        <v>6379</v>
      </c>
      <c r="L4">
        <v>7276</v>
      </c>
      <c r="M4">
        <v>6599</v>
      </c>
      <c r="N4">
        <v>6775</v>
      </c>
      <c r="O4">
        <v>6734</v>
      </c>
      <c r="P4">
        <v>6994</v>
      </c>
      <c r="Q4">
        <v>7377</v>
      </c>
      <c r="R4">
        <v>8451</v>
      </c>
      <c r="S4">
        <v>8549</v>
      </c>
      <c r="T4">
        <v>7673</v>
      </c>
      <c r="U4">
        <v>7190</v>
      </c>
      <c r="V4">
        <v>7034</v>
      </c>
      <c r="W4">
        <v>6678</v>
      </c>
      <c r="X4">
        <v>6214</v>
      </c>
      <c r="Y4">
        <v>6229</v>
      </c>
      <c r="Z4">
        <v>6482</v>
      </c>
      <c r="AA4">
        <v>6606</v>
      </c>
      <c r="AB4">
        <v>7384</v>
      </c>
      <c r="AC4">
        <v>6997</v>
      </c>
      <c r="AD4">
        <v>6804</v>
      </c>
      <c r="AE4">
        <v>6688</v>
      </c>
    </row>
    <row r="5" spans="1:31" x14ac:dyDescent="0.3">
      <c r="A5" t="s">
        <v>258</v>
      </c>
      <c r="B5" t="s">
        <v>128</v>
      </c>
      <c r="C5" t="s">
        <v>0</v>
      </c>
      <c r="D5" t="s">
        <v>129</v>
      </c>
      <c r="E5" t="s">
        <v>123</v>
      </c>
      <c r="F5">
        <v>388</v>
      </c>
      <c r="G5">
        <v>384</v>
      </c>
      <c r="H5">
        <v>354</v>
      </c>
      <c r="I5">
        <v>392</v>
      </c>
      <c r="J5">
        <v>378</v>
      </c>
      <c r="K5">
        <v>390</v>
      </c>
      <c r="L5">
        <v>441</v>
      </c>
      <c r="M5">
        <v>486</v>
      </c>
      <c r="N5">
        <v>459</v>
      </c>
      <c r="O5">
        <v>369</v>
      </c>
      <c r="P5">
        <v>448</v>
      </c>
      <c r="Q5">
        <v>426</v>
      </c>
      <c r="R5">
        <v>481</v>
      </c>
      <c r="S5">
        <v>486</v>
      </c>
      <c r="T5">
        <v>423</v>
      </c>
      <c r="U5">
        <v>371</v>
      </c>
      <c r="V5">
        <v>396</v>
      </c>
      <c r="W5">
        <v>448</v>
      </c>
      <c r="X5">
        <v>467</v>
      </c>
      <c r="Y5">
        <v>538</v>
      </c>
      <c r="Z5">
        <v>474</v>
      </c>
      <c r="AA5">
        <v>568</v>
      </c>
      <c r="AB5">
        <v>631</v>
      </c>
      <c r="AC5">
        <v>477</v>
      </c>
      <c r="AD5">
        <v>453</v>
      </c>
      <c r="AE5">
        <v>475</v>
      </c>
    </row>
    <row r="6" spans="1:31" x14ac:dyDescent="0.3">
      <c r="A6" t="s">
        <v>258</v>
      </c>
      <c r="B6" t="s">
        <v>130</v>
      </c>
      <c r="C6" t="s">
        <v>0</v>
      </c>
      <c r="D6" t="s">
        <v>131</v>
      </c>
      <c r="E6" t="s">
        <v>123</v>
      </c>
      <c r="F6">
        <v>69</v>
      </c>
      <c r="G6">
        <v>45</v>
      </c>
      <c r="H6">
        <v>65</v>
      </c>
      <c r="I6">
        <v>67</v>
      </c>
      <c r="J6">
        <v>52</v>
      </c>
      <c r="K6">
        <v>55</v>
      </c>
      <c r="L6">
        <v>68</v>
      </c>
      <c r="M6">
        <v>57</v>
      </c>
      <c r="N6">
        <v>48</v>
      </c>
      <c r="O6">
        <v>42</v>
      </c>
      <c r="P6">
        <v>45</v>
      </c>
      <c r="Q6">
        <v>53</v>
      </c>
      <c r="R6">
        <v>52</v>
      </c>
      <c r="S6">
        <v>41</v>
      </c>
      <c r="T6">
        <v>24</v>
      </c>
      <c r="U6">
        <v>21</v>
      </c>
      <c r="V6">
        <v>27</v>
      </c>
      <c r="W6">
        <v>34</v>
      </c>
      <c r="X6">
        <v>18</v>
      </c>
      <c r="Y6">
        <v>26</v>
      </c>
      <c r="Z6">
        <v>37</v>
      </c>
      <c r="AA6">
        <v>46</v>
      </c>
      <c r="AB6">
        <v>40</v>
      </c>
      <c r="AC6">
        <v>51</v>
      </c>
      <c r="AD6">
        <v>44</v>
      </c>
      <c r="AE6">
        <v>45</v>
      </c>
    </row>
    <row r="7" spans="1:31" x14ac:dyDescent="0.3">
      <c r="A7" t="s">
        <v>258</v>
      </c>
      <c r="B7" t="s">
        <v>132</v>
      </c>
      <c r="C7" t="s">
        <v>0</v>
      </c>
      <c r="D7" t="s">
        <v>133</v>
      </c>
      <c r="E7" t="s">
        <v>123</v>
      </c>
      <c r="F7">
        <v>1170</v>
      </c>
      <c r="G7">
        <v>1697</v>
      </c>
      <c r="H7">
        <v>1308</v>
      </c>
      <c r="I7">
        <v>1507</v>
      </c>
      <c r="J7">
        <v>1208</v>
      </c>
      <c r="K7">
        <v>1239</v>
      </c>
      <c r="L7">
        <v>1886</v>
      </c>
      <c r="M7">
        <v>1087</v>
      </c>
      <c r="N7">
        <v>1277</v>
      </c>
      <c r="O7">
        <v>1031</v>
      </c>
      <c r="P7">
        <v>1121</v>
      </c>
      <c r="Q7">
        <v>1147</v>
      </c>
      <c r="R7">
        <v>1136</v>
      </c>
      <c r="S7">
        <v>1198</v>
      </c>
      <c r="T7">
        <v>570</v>
      </c>
      <c r="U7">
        <v>598</v>
      </c>
      <c r="V7">
        <v>653</v>
      </c>
      <c r="W7">
        <v>698</v>
      </c>
      <c r="X7">
        <v>725</v>
      </c>
      <c r="Y7">
        <v>561</v>
      </c>
      <c r="Z7">
        <v>689</v>
      </c>
      <c r="AA7">
        <v>1224</v>
      </c>
      <c r="AB7">
        <v>1410</v>
      </c>
      <c r="AC7">
        <v>932</v>
      </c>
      <c r="AD7">
        <v>943</v>
      </c>
      <c r="AE7">
        <v>868</v>
      </c>
    </row>
    <row r="8" spans="1:31" x14ac:dyDescent="0.3">
      <c r="A8" t="s">
        <v>258</v>
      </c>
      <c r="B8" t="s">
        <v>134</v>
      </c>
      <c r="C8" t="s">
        <v>0</v>
      </c>
      <c r="D8" t="s">
        <v>135</v>
      </c>
      <c r="E8" t="s">
        <v>123</v>
      </c>
      <c r="F8">
        <v>81</v>
      </c>
      <c r="G8">
        <v>78</v>
      </c>
      <c r="H8">
        <v>181</v>
      </c>
      <c r="I8">
        <v>84</v>
      </c>
      <c r="J8">
        <v>122</v>
      </c>
      <c r="K8">
        <v>88</v>
      </c>
      <c r="L8">
        <v>156</v>
      </c>
      <c r="M8">
        <v>63</v>
      </c>
      <c r="N8">
        <v>127</v>
      </c>
      <c r="O8">
        <v>98</v>
      </c>
      <c r="P8">
        <v>246</v>
      </c>
      <c r="Q8">
        <v>268</v>
      </c>
      <c r="R8">
        <v>835</v>
      </c>
      <c r="S8">
        <v>171</v>
      </c>
      <c r="T8">
        <v>232</v>
      </c>
      <c r="U8">
        <v>211</v>
      </c>
      <c r="V8">
        <v>116</v>
      </c>
      <c r="W8">
        <v>177</v>
      </c>
      <c r="X8">
        <v>181</v>
      </c>
      <c r="Y8">
        <v>193</v>
      </c>
      <c r="Z8">
        <v>363</v>
      </c>
      <c r="AA8">
        <v>98</v>
      </c>
      <c r="AB8">
        <v>495</v>
      </c>
      <c r="AC8">
        <v>269</v>
      </c>
      <c r="AD8">
        <v>186</v>
      </c>
      <c r="AE8">
        <v>155</v>
      </c>
    </row>
    <row r="9" spans="1:31" x14ac:dyDescent="0.3">
      <c r="A9" t="s">
        <v>258</v>
      </c>
      <c r="B9" t="s">
        <v>136</v>
      </c>
      <c r="C9" t="s">
        <v>0</v>
      </c>
      <c r="D9" t="s">
        <v>137</v>
      </c>
      <c r="E9" t="s">
        <v>123</v>
      </c>
      <c r="F9">
        <v>442</v>
      </c>
      <c r="G9">
        <v>255</v>
      </c>
      <c r="H9">
        <v>373</v>
      </c>
      <c r="I9">
        <v>353</v>
      </c>
      <c r="J9">
        <v>362</v>
      </c>
      <c r="K9">
        <v>277</v>
      </c>
      <c r="L9">
        <v>325</v>
      </c>
      <c r="M9">
        <v>447</v>
      </c>
      <c r="N9">
        <v>319</v>
      </c>
      <c r="O9">
        <v>364</v>
      </c>
      <c r="P9">
        <v>288</v>
      </c>
      <c r="Q9">
        <v>351</v>
      </c>
      <c r="R9">
        <v>484</v>
      </c>
      <c r="S9">
        <v>443</v>
      </c>
      <c r="T9">
        <v>499</v>
      </c>
      <c r="U9">
        <v>284</v>
      </c>
      <c r="V9">
        <v>320</v>
      </c>
      <c r="W9">
        <v>341</v>
      </c>
      <c r="X9">
        <v>422</v>
      </c>
      <c r="Y9">
        <v>300</v>
      </c>
      <c r="Z9">
        <v>427</v>
      </c>
      <c r="AA9">
        <v>475</v>
      </c>
      <c r="AB9">
        <v>691</v>
      </c>
      <c r="AC9">
        <v>539</v>
      </c>
      <c r="AD9">
        <v>476</v>
      </c>
      <c r="AE9">
        <v>452</v>
      </c>
    </row>
    <row r="10" spans="1:31" x14ac:dyDescent="0.3">
      <c r="A10" t="s">
        <v>258</v>
      </c>
      <c r="B10" t="s">
        <v>138</v>
      </c>
      <c r="C10" t="s">
        <v>0</v>
      </c>
      <c r="D10" t="s">
        <v>139</v>
      </c>
      <c r="E10" t="s">
        <v>123</v>
      </c>
      <c r="F10">
        <v>552</v>
      </c>
      <c r="G10">
        <v>355</v>
      </c>
      <c r="H10">
        <v>477</v>
      </c>
      <c r="I10">
        <v>480</v>
      </c>
      <c r="J10">
        <v>483</v>
      </c>
      <c r="K10">
        <v>427</v>
      </c>
      <c r="L10">
        <v>475</v>
      </c>
      <c r="M10">
        <v>674</v>
      </c>
      <c r="N10">
        <v>489</v>
      </c>
      <c r="O10">
        <v>513</v>
      </c>
      <c r="P10">
        <v>426</v>
      </c>
      <c r="Q10">
        <v>506</v>
      </c>
      <c r="R10">
        <v>682</v>
      </c>
      <c r="S10">
        <v>641</v>
      </c>
      <c r="T10">
        <v>709</v>
      </c>
      <c r="U10">
        <v>483</v>
      </c>
      <c r="V10">
        <v>511</v>
      </c>
      <c r="W10">
        <v>614</v>
      </c>
      <c r="X10">
        <v>755</v>
      </c>
      <c r="Y10">
        <v>602</v>
      </c>
      <c r="Z10">
        <v>708</v>
      </c>
      <c r="AA10">
        <v>765</v>
      </c>
      <c r="AB10">
        <v>1004</v>
      </c>
      <c r="AC10">
        <v>833</v>
      </c>
      <c r="AD10">
        <v>714</v>
      </c>
      <c r="AE10">
        <v>734</v>
      </c>
    </row>
    <row r="11" spans="1:31" x14ac:dyDescent="0.3">
      <c r="A11" t="s">
        <v>258</v>
      </c>
      <c r="B11" t="s">
        <v>140</v>
      </c>
      <c r="C11" t="s">
        <v>0</v>
      </c>
      <c r="D11" t="s">
        <v>141</v>
      </c>
      <c r="E11" t="s">
        <v>123</v>
      </c>
      <c r="F11">
        <v>110</v>
      </c>
      <c r="G11">
        <v>100</v>
      </c>
      <c r="H11">
        <v>104</v>
      </c>
      <c r="I11">
        <v>127</v>
      </c>
      <c r="J11">
        <v>121</v>
      </c>
      <c r="K11">
        <v>150</v>
      </c>
      <c r="L11">
        <v>150</v>
      </c>
      <c r="M11">
        <v>227</v>
      </c>
      <c r="N11">
        <v>170</v>
      </c>
      <c r="O11">
        <v>149</v>
      </c>
      <c r="P11">
        <v>138</v>
      </c>
      <c r="Q11">
        <v>155</v>
      </c>
      <c r="R11">
        <v>198</v>
      </c>
      <c r="S11">
        <v>198</v>
      </c>
      <c r="T11">
        <v>210</v>
      </c>
      <c r="U11">
        <v>199</v>
      </c>
      <c r="V11">
        <v>191</v>
      </c>
      <c r="W11">
        <v>273</v>
      </c>
      <c r="X11">
        <v>333</v>
      </c>
      <c r="Y11">
        <v>302</v>
      </c>
      <c r="Z11">
        <v>281</v>
      </c>
      <c r="AA11">
        <v>290</v>
      </c>
      <c r="AB11">
        <v>313</v>
      </c>
      <c r="AC11">
        <v>294</v>
      </c>
      <c r="AD11">
        <v>238</v>
      </c>
      <c r="AE11">
        <v>282</v>
      </c>
    </row>
    <row r="12" spans="1:31" x14ac:dyDescent="0.3">
      <c r="A12" t="s">
        <v>258</v>
      </c>
      <c r="B12" t="s">
        <v>142</v>
      </c>
      <c r="C12" t="s">
        <v>0</v>
      </c>
      <c r="D12" t="s">
        <v>143</v>
      </c>
      <c r="E12" t="s">
        <v>123</v>
      </c>
      <c r="F12">
        <v>234</v>
      </c>
      <c r="G12">
        <v>198</v>
      </c>
      <c r="H12">
        <v>246</v>
      </c>
      <c r="I12">
        <v>343</v>
      </c>
      <c r="J12">
        <v>353</v>
      </c>
      <c r="K12">
        <v>327</v>
      </c>
      <c r="L12">
        <v>306</v>
      </c>
      <c r="M12">
        <v>295</v>
      </c>
      <c r="N12">
        <v>313</v>
      </c>
      <c r="O12">
        <v>305</v>
      </c>
      <c r="P12">
        <v>329</v>
      </c>
      <c r="Q12">
        <v>365</v>
      </c>
      <c r="R12">
        <v>321</v>
      </c>
      <c r="S12">
        <v>340</v>
      </c>
      <c r="T12">
        <v>306</v>
      </c>
      <c r="U12">
        <v>240</v>
      </c>
      <c r="V12">
        <v>289</v>
      </c>
      <c r="W12">
        <v>257</v>
      </c>
      <c r="X12">
        <v>246</v>
      </c>
      <c r="Y12">
        <v>257</v>
      </c>
      <c r="Z12">
        <v>337</v>
      </c>
      <c r="AA12">
        <v>356</v>
      </c>
      <c r="AB12">
        <v>360</v>
      </c>
      <c r="AC12">
        <v>429</v>
      </c>
      <c r="AD12">
        <v>436</v>
      </c>
      <c r="AE12">
        <v>481</v>
      </c>
    </row>
    <row r="13" spans="1:31" x14ac:dyDescent="0.3">
      <c r="A13" t="s">
        <v>258</v>
      </c>
      <c r="B13" t="s">
        <v>144</v>
      </c>
      <c r="C13" t="s">
        <v>0</v>
      </c>
      <c r="D13" t="s">
        <v>145</v>
      </c>
      <c r="E13" t="s">
        <v>123</v>
      </c>
      <c r="F13">
        <v>576</v>
      </c>
      <c r="G13">
        <v>562</v>
      </c>
      <c r="H13">
        <v>693</v>
      </c>
      <c r="I13">
        <v>637</v>
      </c>
      <c r="J13">
        <v>472</v>
      </c>
      <c r="K13">
        <v>586</v>
      </c>
      <c r="L13">
        <v>585</v>
      </c>
      <c r="M13">
        <v>876</v>
      </c>
      <c r="N13">
        <v>620</v>
      </c>
      <c r="O13">
        <v>822</v>
      </c>
      <c r="P13">
        <v>531</v>
      </c>
      <c r="Q13">
        <v>514</v>
      </c>
      <c r="R13">
        <v>662</v>
      </c>
      <c r="S13">
        <v>795</v>
      </c>
      <c r="T13">
        <v>804</v>
      </c>
      <c r="U13">
        <v>629</v>
      </c>
      <c r="V13">
        <v>598</v>
      </c>
      <c r="W13">
        <v>896</v>
      </c>
      <c r="X13">
        <v>421</v>
      </c>
      <c r="Y13">
        <v>537</v>
      </c>
      <c r="Z13">
        <v>574</v>
      </c>
      <c r="AA13">
        <v>514</v>
      </c>
      <c r="AB13">
        <v>594</v>
      </c>
      <c r="AC13">
        <v>695</v>
      </c>
      <c r="AD13">
        <v>764</v>
      </c>
      <c r="AE13">
        <v>641</v>
      </c>
    </row>
    <row r="14" spans="1:31" x14ac:dyDescent="0.3">
      <c r="A14" t="s">
        <v>258</v>
      </c>
      <c r="B14" t="s">
        <v>146</v>
      </c>
      <c r="C14" t="s">
        <v>0</v>
      </c>
      <c r="D14" t="s">
        <v>147</v>
      </c>
      <c r="E14" t="s">
        <v>123</v>
      </c>
      <c r="F14">
        <v>769</v>
      </c>
      <c r="G14">
        <v>858</v>
      </c>
      <c r="H14">
        <v>1051</v>
      </c>
      <c r="I14">
        <v>1423</v>
      </c>
      <c r="J14">
        <v>1970</v>
      </c>
      <c r="K14">
        <v>2277</v>
      </c>
      <c r="L14">
        <v>2315</v>
      </c>
      <c r="M14">
        <v>2085</v>
      </c>
      <c r="N14">
        <v>2406</v>
      </c>
      <c r="O14">
        <v>2645</v>
      </c>
      <c r="P14">
        <v>2863</v>
      </c>
      <c r="Q14">
        <v>3006</v>
      </c>
      <c r="R14">
        <v>3067</v>
      </c>
      <c r="S14">
        <v>3522</v>
      </c>
      <c r="T14">
        <v>3273</v>
      </c>
      <c r="U14">
        <v>3425</v>
      </c>
      <c r="V14">
        <v>3153</v>
      </c>
      <c r="W14">
        <v>2112</v>
      </c>
      <c r="X14">
        <v>2062</v>
      </c>
      <c r="Y14">
        <v>2082</v>
      </c>
      <c r="Z14">
        <v>1757</v>
      </c>
      <c r="AA14">
        <v>1441</v>
      </c>
      <c r="AB14">
        <v>1485</v>
      </c>
      <c r="AC14">
        <v>1378</v>
      </c>
      <c r="AD14">
        <v>1413</v>
      </c>
      <c r="AE14">
        <v>1403</v>
      </c>
    </row>
    <row r="15" spans="1:31" x14ac:dyDescent="0.3">
      <c r="A15" t="s">
        <v>258</v>
      </c>
      <c r="B15" t="s">
        <v>148</v>
      </c>
      <c r="C15" t="s">
        <v>0</v>
      </c>
      <c r="D15" t="s">
        <v>149</v>
      </c>
      <c r="E15" t="s">
        <v>123</v>
      </c>
      <c r="F15">
        <v>934</v>
      </c>
      <c r="G15">
        <v>1020</v>
      </c>
      <c r="H15">
        <v>1221</v>
      </c>
      <c r="I15">
        <v>1613</v>
      </c>
      <c r="J15">
        <v>2139</v>
      </c>
      <c r="K15">
        <v>2443</v>
      </c>
      <c r="L15">
        <v>2491</v>
      </c>
      <c r="M15">
        <v>2240</v>
      </c>
      <c r="N15">
        <v>2597</v>
      </c>
      <c r="O15">
        <v>2828</v>
      </c>
      <c r="P15">
        <v>3053</v>
      </c>
      <c r="Q15">
        <v>3202</v>
      </c>
      <c r="R15">
        <v>3322</v>
      </c>
      <c r="S15">
        <v>3859</v>
      </c>
      <c r="T15">
        <v>3603</v>
      </c>
      <c r="U15">
        <v>3798</v>
      </c>
      <c r="V15">
        <v>3497</v>
      </c>
      <c r="W15">
        <v>2489</v>
      </c>
      <c r="X15">
        <v>2360</v>
      </c>
      <c r="Y15">
        <v>2460</v>
      </c>
      <c r="Z15">
        <v>2170</v>
      </c>
      <c r="AA15">
        <v>1825</v>
      </c>
      <c r="AB15">
        <v>1538</v>
      </c>
      <c r="AC15">
        <v>1724</v>
      </c>
      <c r="AD15">
        <v>1796</v>
      </c>
      <c r="AE15">
        <v>1742</v>
      </c>
    </row>
    <row r="16" spans="1:31" x14ac:dyDescent="0.3">
      <c r="A16" t="s">
        <v>258</v>
      </c>
      <c r="B16" t="s">
        <v>150</v>
      </c>
      <c r="C16" t="s">
        <v>0</v>
      </c>
      <c r="D16" t="s">
        <v>151</v>
      </c>
      <c r="E16" t="s">
        <v>123</v>
      </c>
      <c r="F16">
        <v>165</v>
      </c>
      <c r="G16">
        <v>162</v>
      </c>
      <c r="H16">
        <v>170</v>
      </c>
      <c r="I16">
        <v>190</v>
      </c>
      <c r="J16">
        <v>169</v>
      </c>
      <c r="K16">
        <v>166</v>
      </c>
      <c r="L16">
        <v>176</v>
      </c>
      <c r="M16">
        <v>155</v>
      </c>
      <c r="N16">
        <v>191</v>
      </c>
      <c r="O16">
        <v>183</v>
      </c>
      <c r="P16">
        <v>190</v>
      </c>
      <c r="Q16">
        <v>196</v>
      </c>
      <c r="R16">
        <v>255</v>
      </c>
      <c r="S16">
        <v>337</v>
      </c>
      <c r="T16">
        <v>330</v>
      </c>
      <c r="U16">
        <v>373</v>
      </c>
      <c r="V16">
        <v>344</v>
      </c>
      <c r="W16">
        <v>377</v>
      </c>
      <c r="X16">
        <v>298</v>
      </c>
      <c r="Y16">
        <v>378</v>
      </c>
      <c r="Z16">
        <v>413</v>
      </c>
      <c r="AA16">
        <v>384</v>
      </c>
      <c r="AB16">
        <v>53</v>
      </c>
      <c r="AC16">
        <v>346</v>
      </c>
      <c r="AD16">
        <v>383</v>
      </c>
      <c r="AE16">
        <v>339</v>
      </c>
    </row>
    <row r="17" spans="1:31" x14ac:dyDescent="0.3">
      <c r="A17" t="s">
        <v>258</v>
      </c>
      <c r="B17" t="s">
        <v>152</v>
      </c>
      <c r="C17" t="s">
        <v>0</v>
      </c>
      <c r="D17" t="s">
        <v>153</v>
      </c>
      <c r="E17" t="s">
        <v>123</v>
      </c>
      <c r="F17">
        <v>365</v>
      </c>
      <c r="G17">
        <v>371</v>
      </c>
      <c r="H17">
        <v>402</v>
      </c>
      <c r="I17">
        <v>401</v>
      </c>
      <c r="J17">
        <v>384</v>
      </c>
      <c r="K17">
        <v>397</v>
      </c>
      <c r="L17">
        <v>427</v>
      </c>
      <c r="M17">
        <v>390</v>
      </c>
      <c r="N17">
        <v>453</v>
      </c>
      <c r="O17">
        <v>351</v>
      </c>
      <c r="P17">
        <v>402</v>
      </c>
      <c r="Q17">
        <v>456</v>
      </c>
      <c r="R17">
        <v>511</v>
      </c>
      <c r="S17">
        <v>725</v>
      </c>
      <c r="T17">
        <v>749</v>
      </c>
      <c r="U17">
        <v>604</v>
      </c>
      <c r="V17">
        <v>679</v>
      </c>
      <c r="W17">
        <v>774</v>
      </c>
      <c r="X17">
        <v>763</v>
      </c>
      <c r="Y17">
        <v>854</v>
      </c>
      <c r="Z17">
        <v>887</v>
      </c>
      <c r="AA17">
        <v>882</v>
      </c>
      <c r="AB17">
        <v>926</v>
      </c>
      <c r="AC17">
        <v>1112</v>
      </c>
      <c r="AD17">
        <v>1100</v>
      </c>
      <c r="AE17">
        <v>1108</v>
      </c>
    </row>
    <row r="18" spans="1:31" x14ac:dyDescent="0.3">
      <c r="A18" t="s">
        <v>258</v>
      </c>
      <c r="B18" t="s">
        <v>154</v>
      </c>
      <c r="C18" t="s">
        <v>0</v>
      </c>
      <c r="D18" t="s">
        <v>155</v>
      </c>
      <c r="E18" t="s">
        <v>123</v>
      </c>
      <c r="F18">
        <v>97</v>
      </c>
      <c r="G18">
        <v>87</v>
      </c>
      <c r="H18">
        <v>81</v>
      </c>
      <c r="I18">
        <v>120</v>
      </c>
      <c r="J18">
        <v>94</v>
      </c>
      <c r="K18">
        <v>86</v>
      </c>
      <c r="L18">
        <v>110</v>
      </c>
      <c r="M18">
        <v>90</v>
      </c>
      <c r="N18">
        <v>86</v>
      </c>
      <c r="O18">
        <v>96</v>
      </c>
      <c r="P18">
        <v>110</v>
      </c>
      <c r="Q18">
        <v>139</v>
      </c>
      <c r="R18">
        <v>109</v>
      </c>
      <c r="S18">
        <v>125</v>
      </c>
      <c r="T18">
        <v>139</v>
      </c>
      <c r="U18">
        <v>112</v>
      </c>
      <c r="V18">
        <v>142</v>
      </c>
      <c r="W18">
        <v>169</v>
      </c>
      <c r="X18">
        <v>181</v>
      </c>
      <c r="Y18">
        <v>96</v>
      </c>
      <c r="Z18">
        <v>115</v>
      </c>
      <c r="AA18">
        <v>142</v>
      </c>
      <c r="AB18">
        <v>241</v>
      </c>
      <c r="AC18">
        <v>286</v>
      </c>
      <c r="AD18">
        <v>182</v>
      </c>
      <c r="AE18">
        <v>210</v>
      </c>
    </row>
    <row r="19" spans="1:31" x14ac:dyDescent="0.3">
      <c r="A19" t="s">
        <v>258</v>
      </c>
      <c r="B19" t="s">
        <v>156</v>
      </c>
      <c r="C19" t="s">
        <v>0</v>
      </c>
      <c r="D19" t="s">
        <v>157</v>
      </c>
      <c r="E19" t="s">
        <v>123</v>
      </c>
      <c r="F19">
        <v>211</v>
      </c>
      <c r="G19">
        <v>207</v>
      </c>
      <c r="H19">
        <v>272</v>
      </c>
      <c r="I19">
        <v>293</v>
      </c>
      <c r="J19">
        <v>314</v>
      </c>
      <c r="K19">
        <v>341</v>
      </c>
      <c r="L19">
        <v>331</v>
      </c>
      <c r="M19">
        <v>341</v>
      </c>
      <c r="N19">
        <v>306</v>
      </c>
      <c r="O19">
        <v>279</v>
      </c>
      <c r="P19">
        <v>283</v>
      </c>
      <c r="Q19">
        <v>301</v>
      </c>
      <c r="R19">
        <v>340</v>
      </c>
      <c r="S19">
        <v>168</v>
      </c>
      <c r="T19">
        <v>114</v>
      </c>
      <c r="U19">
        <v>123</v>
      </c>
      <c r="V19">
        <v>126</v>
      </c>
      <c r="W19">
        <v>122</v>
      </c>
      <c r="X19">
        <v>97</v>
      </c>
      <c r="Y19">
        <v>105</v>
      </c>
      <c r="Z19">
        <v>128</v>
      </c>
      <c r="AA19">
        <v>186</v>
      </c>
      <c r="AB19">
        <v>145</v>
      </c>
      <c r="AC19">
        <v>189</v>
      </c>
      <c r="AD19">
        <v>186</v>
      </c>
      <c r="AE19">
        <v>229</v>
      </c>
    </row>
    <row r="20" spans="1:31" x14ac:dyDescent="0.3">
      <c r="A20" t="s">
        <v>258</v>
      </c>
      <c r="B20" t="s">
        <v>158</v>
      </c>
      <c r="C20" t="s">
        <v>0</v>
      </c>
      <c r="D20" t="s">
        <v>159</v>
      </c>
      <c r="E20" t="s">
        <v>123</v>
      </c>
      <c r="F20">
        <v>670</v>
      </c>
      <c r="G20">
        <v>644</v>
      </c>
      <c r="H20">
        <v>793</v>
      </c>
      <c r="I20">
        <v>657</v>
      </c>
      <c r="J20">
        <v>577</v>
      </c>
      <c r="K20">
        <v>703</v>
      </c>
      <c r="L20">
        <v>810</v>
      </c>
      <c r="M20">
        <v>808</v>
      </c>
      <c r="N20">
        <v>721</v>
      </c>
      <c r="O20">
        <v>1047</v>
      </c>
      <c r="P20">
        <v>978</v>
      </c>
      <c r="Q20">
        <v>977</v>
      </c>
      <c r="R20">
        <v>1067</v>
      </c>
      <c r="S20">
        <v>1438</v>
      </c>
      <c r="T20">
        <v>1704</v>
      </c>
      <c r="U20">
        <v>1454</v>
      </c>
      <c r="V20">
        <v>1515</v>
      </c>
      <c r="W20">
        <v>1624</v>
      </c>
      <c r="X20">
        <v>1908</v>
      </c>
      <c r="Y20">
        <v>2327</v>
      </c>
      <c r="Z20">
        <v>2429</v>
      </c>
      <c r="AA20">
        <v>3034</v>
      </c>
      <c r="AB20">
        <v>2943</v>
      </c>
      <c r="AC20">
        <v>2361</v>
      </c>
      <c r="AD20">
        <v>2166</v>
      </c>
      <c r="AE20">
        <v>2472</v>
      </c>
    </row>
    <row r="21" spans="1:31" x14ac:dyDescent="0.3">
      <c r="A21" t="s">
        <v>258</v>
      </c>
      <c r="B21" t="s">
        <v>160</v>
      </c>
      <c r="C21" t="s">
        <v>0</v>
      </c>
      <c r="D21" t="s">
        <v>161</v>
      </c>
      <c r="E21" t="s">
        <v>123</v>
      </c>
      <c r="F21">
        <v>938</v>
      </c>
      <c r="G21">
        <v>924</v>
      </c>
      <c r="H21">
        <v>1095</v>
      </c>
      <c r="I21">
        <v>966</v>
      </c>
      <c r="J21">
        <v>910</v>
      </c>
      <c r="K21">
        <v>1044</v>
      </c>
      <c r="L21">
        <v>1110</v>
      </c>
      <c r="M21">
        <v>1189</v>
      </c>
      <c r="N21">
        <v>1129</v>
      </c>
      <c r="O21">
        <v>1419</v>
      </c>
      <c r="P21">
        <v>1395</v>
      </c>
      <c r="Q21">
        <v>1481</v>
      </c>
      <c r="R21">
        <v>1609</v>
      </c>
      <c r="S21">
        <v>2015</v>
      </c>
      <c r="T21">
        <v>2320</v>
      </c>
      <c r="U21">
        <v>2134</v>
      </c>
      <c r="V21">
        <v>2092</v>
      </c>
      <c r="W21">
        <v>2207</v>
      </c>
      <c r="X21">
        <v>2486</v>
      </c>
      <c r="Y21">
        <v>2908</v>
      </c>
      <c r="Z21">
        <v>2974</v>
      </c>
      <c r="AA21">
        <v>3705</v>
      </c>
      <c r="AB21">
        <v>3560</v>
      </c>
      <c r="AC21">
        <v>3111</v>
      </c>
      <c r="AD21">
        <v>2803</v>
      </c>
      <c r="AE21">
        <v>3451</v>
      </c>
    </row>
    <row r="22" spans="1:31" x14ac:dyDescent="0.3">
      <c r="A22" t="s">
        <v>258</v>
      </c>
      <c r="B22" t="s">
        <v>162</v>
      </c>
      <c r="C22" t="s">
        <v>0</v>
      </c>
      <c r="D22" t="s">
        <v>163</v>
      </c>
      <c r="E22" t="s">
        <v>123</v>
      </c>
      <c r="F22">
        <v>268</v>
      </c>
      <c r="G22">
        <v>280</v>
      </c>
      <c r="H22">
        <v>302</v>
      </c>
      <c r="I22">
        <v>309</v>
      </c>
      <c r="J22">
        <v>333</v>
      </c>
      <c r="K22">
        <v>341</v>
      </c>
      <c r="L22">
        <v>300</v>
      </c>
      <c r="M22">
        <v>381</v>
      </c>
      <c r="N22">
        <v>408</v>
      </c>
      <c r="O22">
        <v>372</v>
      </c>
      <c r="P22">
        <v>417</v>
      </c>
      <c r="Q22">
        <v>504</v>
      </c>
      <c r="R22">
        <v>542</v>
      </c>
      <c r="S22">
        <v>577</v>
      </c>
      <c r="T22">
        <v>616</v>
      </c>
      <c r="U22">
        <v>680</v>
      </c>
      <c r="V22">
        <v>577</v>
      </c>
      <c r="W22">
        <v>583</v>
      </c>
      <c r="X22">
        <v>578</v>
      </c>
      <c r="Y22">
        <v>581</v>
      </c>
      <c r="Z22">
        <v>545</v>
      </c>
      <c r="AA22">
        <v>671</v>
      </c>
      <c r="AB22">
        <v>617</v>
      </c>
      <c r="AC22">
        <v>750</v>
      </c>
      <c r="AD22">
        <v>637</v>
      </c>
      <c r="AE22">
        <v>979</v>
      </c>
    </row>
    <row r="23" spans="1:31" x14ac:dyDescent="0.3">
      <c r="A23" t="s">
        <v>258</v>
      </c>
      <c r="B23" t="s">
        <v>164</v>
      </c>
      <c r="C23" t="s">
        <v>0</v>
      </c>
      <c r="D23" t="s">
        <v>165</v>
      </c>
      <c r="E23" t="s">
        <v>123</v>
      </c>
      <c r="F23">
        <v>288</v>
      </c>
      <c r="G23">
        <v>289</v>
      </c>
      <c r="H23">
        <v>354</v>
      </c>
      <c r="I23">
        <v>355</v>
      </c>
      <c r="J23">
        <v>479</v>
      </c>
      <c r="K23">
        <v>539</v>
      </c>
      <c r="L23">
        <v>495</v>
      </c>
      <c r="M23">
        <v>520</v>
      </c>
      <c r="N23">
        <v>604</v>
      </c>
      <c r="O23">
        <v>607</v>
      </c>
      <c r="P23">
        <v>679</v>
      </c>
      <c r="Q23">
        <v>740</v>
      </c>
      <c r="R23">
        <v>825</v>
      </c>
      <c r="S23">
        <v>936</v>
      </c>
      <c r="T23">
        <v>715</v>
      </c>
      <c r="U23">
        <v>760</v>
      </c>
      <c r="V23">
        <v>798</v>
      </c>
      <c r="W23">
        <v>863</v>
      </c>
      <c r="X23">
        <v>790</v>
      </c>
      <c r="Y23">
        <v>806</v>
      </c>
      <c r="Z23">
        <v>817</v>
      </c>
      <c r="AA23">
        <v>947</v>
      </c>
      <c r="AB23">
        <v>1071</v>
      </c>
      <c r="AC23">
        <v>1150</v>
      </c>
      <c r="AD23">
        <v>1254</v>
      </c>
      <c r="AE23">
        <v>1304</v>
      </c>
    </row>
    <row r="24" spans="1:31" x14ac:dyDescent="0.3">
      <c r="A24" t="s">
        <v>258</v>
      </c>
      <c r="B24" t="s">
        <v>166</v>
      </c>
      <c r="C24" t="s">
        <v>0</v>
      </c>
      <c r="D24" t="s">
        <v>167</v>
      </c>
      <c r="E24" t="s">
        <v>123</v>
      </c>
      <c r="F24">
        <v>724</v>
      </c>
      <c r="G24">
        <v>879</v>
      </c>
      <c r="H24">
        <v>1080</v>
      </c>
      <c r="I24">
        <v>1151</v>
      </c>
      <c r="J24">
        <v>1230</v>
      </c>
      <c r="K24">
        <v>1264</v>
      </c>
      <c r="L24">
        <v>1233</v>
      </c>
      <c r="M24">
        <v>1146</v>
      </c>
      <c r="N24">
        <v>1350</v>
      </c>
      <c r="O24">
        <v>1260</v>
      </c>
      <c r="P24">
        <v>1192</v>
      </c>
      <c r="Q24">
        <v>916</v>
      </c>
      <c r="R24">
        <v>1424</v>
      </c>
      <c r="S24">
        <v>1506</v>
      </c>
      <c r="T24">
        <v>1376</v>
      </c>
      <c r="U24">
        <v>1319</v>
      </c>
      <c r="V24">
        <v>1409</v>
      </c>
      <c r="W24">
        <v>1812</v>
      </c>
      <c r="X24">
        <v>1568</v>
      </c>
      <c r="Y24">
        <v>1621</v>
      </c>
      <c r="Z24">
        <v>1293</v>
      </c>
      <c r="AA24">
        <v>1817</v>
      </c>
      <c r="AB24">
        <v>1873</v>
      </c>
      <c r="AC24">
        <v>2040</v>
      </c>
      <c r="AD24">
        <v>1835</v>
      </c>
      <c r="AE24">
        <v>1806</v>
      </c>
    </row>
    <row r="25" spans="1:31" x14ac:dyDescent="0.3">
      <c r="A25" t="s">
        <v>258</v>
      </c>
      <c r="B25" t="s">
        <v>168</v>
      </c>
      <c r="C25" t="s">
        <v>0</v>
      </c>
      <c r="D25" t="s">
        <v>169</v>
      </c>
      <c r="E25" t="s">
        <v>123</v>
      </c>
      <c r="F25">
        <v>82</v>
      </c>
      <c r="G25">
        <v>83</v>
      </c>
      <c r="H25">
        <v>122</v>
      </c>
      <c r="I25">
        <v>138</v>
      </c>
      <c r="J25">
        <v>150</v>
      </c>
      <c r="K25">
        <v>133</v>
      </c>
      <c r="L25">
        <v>136</v>
      </c>
      <c r="M25">
        <v>130</v>
      </c>
      <c r="N25">
        <v>143</v>
      </c>
      <c r="O25">
        <v>159</v>
      </c>
      <c r="P25">
        <v>140</v>
      </c>
      <c r="Q25">
        <v>172</v>
      </c>
      <c r="R25">
        <v>137</v>
      </c>
      <c r="S25">
        <v>189</v>
      </c>
      <c r="T25">
        <v>165</v>
      </c>
      <c r="U25">
        <v>203</v>
      </c>
      <c r="V25">
        <v>190</v>
      </c>
      <c r="W25">
        <v>195</v>
      </c>
      <c r="X25">
        <v>148</v>
      </c>
      <c r="Y25">
        <v>168</v>
      </c>
      <c r="Z25">
        <v>149</v>
      </c>
      <c r="AA25">
        <v>229</v>
      </c>
      <c r="AB25">
        <v>170</v>
      </c>
      <c r="AC25">
        <v>236</v>
      </c>
      <c r="AD25">
        <v>258</v>
      </c>
      <c r="AE25">
        <v>231</v>
      </c>
    </row>
    <row r="26" spans="1:31" x14ac:dyDescent="0.3">
      <c r="A26" t="s">
        <v>258</v>
      </c>
      <c r="B26" t="s">
        <v>170</v>
      </c>
      <c r="C26" t="s">
        <v>0</v>
      </c>
      <c r="D26" t="s">
        <v>171</v>
      </c>
      <c r="E26" t="s">
        <v>123</v>
      </c>
      <c r="F26">
        <v>323</v>
      </c>
      <c r="G26">
        <v>523</v>
      </c>
      <c r="H26">
        <v>601</v>
      </c>
      <c r="I26">
        <v>623</v>
      </c>
      <c r="J26">
        <v>633</v>
      </c>
      <c r="K26">
        <v>672</v>
      </c>
      <c r="L26">
        <v>670</v>
      </c>
      <c r="M26">
        <v>572</v>
      </c>
      <c r="N26">
        <v>622</v>
      </c>
      <c r="O26">
        <v>547</v>
      </c>
      <c r="P26">
        <v>596</v>
      </c>
      <c r="Q26">
        <v>359</v>
      </c>
      <c r="R26">
        <v>765</v>
      </c>
      <c r="S26">
        <v>783</v>
      </c>
      <c r="T26">
        <v>617</v>
      </c>
      <c r="U26">
        <v>551</v>
      </c>
      <c r="V26">
        <v>731</v>
      </c>
      <c r="W26">
        <v>930</v>
      </c>
      <c r="X26">
        <v>785</v>
      </c>
      <c r="Y26">
        <v>869</v>
      </c>
      <c r="Z26">
        <v>554</v>
      </c>
      <c r="AA26">
        <v>924</v>
      </c>
      <c r="AB26">
        <v>1039</v>
      </c>
      <c r="AC26">
        <v>1119</v>
      </c>
      <c r="AD26">
        <v>893</v>
      </c>
      <c r="AE26">
        <v>841</v>
      </c>
    </row>
    <row r="27" spans="1:31" x14ac:dyDescent="0.3">
      <c r="A27" t="s">
        <v>258</v>
      </c>
      <c r="B27" t="s">
        <v>172</v>
      </c>
      <c r="C27" t="s">
        <v>0</v>
      </c>
      <c r="D27" t="s">
        <v>173</v>
      </c>
      <c r="E27" t="s">
        <v>123</v>
      </c>
      <c r="F27">
        <v>319</v>
      </c>
      <c r="G27">
        <v>273</v>
      </c>
      <c r="H27">
        <v>357</v>
      </c>
      <c r="I27">
        <v>390</v>
      </c>
      <c r="J27">
        <v>447</v>
      </c>
      <c r="K27">
        <v>459</v>
      </c>
      <c r="L27">
        <v>427</v>
      </c>
      <c r="M27">
        <v>444</v>
      </c>
      <c r="N27">
        <v>585</v>
      </c>
      <c r="O27">
        <v>554</v>
      </c>
      <c r="P27">
        <v>456</v>
      </c>
      <c r="Q27">
        <v>385</v>
      </c>
      <c r="R27">
        <v>522</v>
      </c>
      <c r="S27">
        <v>534</v>
      </c>
      <c r="T27">
        <v>594</v>
      </c>
      <c r="U27">
        <v>565</v>
      </c>
      <c r="V27">
        <v>488</v>
      </c>
      <c r="W27">
        <v>687</v>
      </c>
      <c r="X27">
        <v>635</v>
      </c>
      <c r="Y27">
        <v>584</v>
      </c>
      <c r="Z27">
        <v>590</v>
      </c>
      <c r="AA27">
        <v>664</v>
      </c>
      <c r="AB27">
        <v>664</v>
      </c>
      <c r="AC27">
        <v>685</v>
      </c>
      <c r="AD27">
        <v>684</v>
      </c>
      <c r="AE27">
        <v>734</v>
      </c>
    </row>
    <row r="28" spans="1:31" x14ac:dyDescent="0.3">
      <c r="A28" t="s">
        <v>258</v>
      </c>
      <c r="B28" t="s">
        <v>174</v>
      </c>
      <c r="C28" t="s">
        <v>0</v>
      </c>
      <c r="D28" t="s">
        <v>175</v>
      </c>
      <c r="E28" t="s">
        <v>123</v>
      </c>
      <c r="F28">
        <v>998</v>
      </c>
      <c r="G28">
        <v>958</v>
      </c>
      <c r="H28">
        <v>1242</v>
      </c>
      <c r="I28">
        <v>1549</v>
      </c>
      <c r="J28">
        <v>1452</v>
      </c>
      <c r="K28">
        <v>1166</v>
      </c>
      <c r="L28">
        <v>1379</v>
      </c>
      <c r="M28">
        <v>1128</v>
      </c>
      <c r="N28">
        <v>1142</v>
      </c>
      <c r="O28">
        <v>1601</v>
      </c>
      <c r="P28">
        <v>1390</v>
      </c>
      <c r="Q28">
        <v>1578</v>
      </c>
      <c r="R28">
        <v>1669</v>
      </c>
      <c r="S28">
        <v>1473</v>
      </c>
      <c r="T28">
        <v>1696</v>
      </c>
      <c r="U28">
        <v>1277</v>
      </c>
      <c r="V28">
        <v>1488</v>
      </c>
      <c r="W28">
        <v>1395</v>
      </c>
      <c r="X28">
        <v>1471</v>
      </c>
      <c r="Y28">
        <v>1230</v>
      </c>
      <c r="Z28">
        <v>1396</v>
      </c>
      <c r="AA28">
        <v>2006</v>
      </c>
      <c r="AB28">
        <v>1872</v>
      </c>
      <c r="AC28">
        <v>1999</v>
      </c>
      <c r="AD28">
        <v>2193</v>
      </c>
      <c r="AE28">
        <v>1810</v>
      </c>
    </row>
    <row r="29" spans="1:31" x14ac:dyDescent="0.3">
      <c r="A29" t="s">
        <v>258</v>
      </c>
      <c r="B29" t="s">
        <v>176</v>
      </c>
      <c r="C29" t="s">
        <v>0</v>
      </c>
      <c r="D29" t="s">
        <v>177</v>
      </c>
      <c r="E29" t="s">
        <v>123</v>
      </c>
      <c r="F29">
        <v>575</v>
      </c>
      <c r="G29">
        <v>559</v>
      </c>
      <c r="H29">
        <v>597</v>
      </c>
      <c r="I29">
        <v>694</v>
      </c>
      <c r="J29">
        <v>678</v>
      </c>
      <c r="K29">
        <v>607</v>
      </c>
      <c r="L29">
        <v>652</v>
      </c>
      <c r="M29">
        <v>640</v>
      </c>
      <c r="N29">
        <v>697</v>
      </c>
      <c r="O29">
        <v>754</v>
      </c>
      <c r="P29">
        <v>771</v>
      </c>
      <c r="Q29">
        <v>639</v>
      </c>
      <c r="R29">
        <v>587</v>
      </c>
      <c r="S29">
        <v>751</v>
      </c>
      <c r="T29">
        <v>660</v>
      </c>
      <c r="U29">
        <v>604</v>
      </c>
      <c r="V29">
        <v>725</v>
      </c>
      <c r="W29">
        <v>526</v>
      </c>
      <c r="X29">
        <v>570</v>
      </c>
      <c r="Y29">
        <v>625</v>
      </c>
      <c r="Z29">
        <v>695</v>
      </c>
      <c r="AA29">
        <v>848</v>
      </c>
      <c r="AB29">
        <v>817</v>
      </c>
      <c r="AC29">
        <v>830</v>
      </c>
      <c r="AD29">
        <v>901</v>
      </c>
      <c r="AE29">
        <v>823</v>
      </c>
    </row>
    <row r="30" spans="1:31" x14ac:dyDescent="0.3">
      <c r="A30" t="s">
        <v>258</v>
      </c>
      <c r="B30" t="s">
        <v>178</v>
      </c>
      <c r="C30" t="s">
        <v>0</v>
      </c>
      <c r="D30" t="s">
        <v>179</v>
      </c>
      <c r="E30" t="s">
        <v>123</v>
      </c>
      <c r="F30">
        <v>-3</v>
      </c>
      <c r="G30">
        <v>-10</v>
      </c>
      <c r="H30">
        <v>222</v>
      </c>
      <c r="I30">
        <v>200</v>
      </c>
      <c r="J30">
        <v>111</v>
      </c>
      <c r="K30">
        <v>27</v>
      </c>
      <c r="L30">
        <v>183</v>
      </c>
      <c r="M30">
        <v>89</v>
      </c>
      <c r="N30">
        <v>-38</v>
      </c>
      <c r="O30">
        <v>336</v>
      </c>
      <c r="P30">
        <v>112</v>
      </c>
      <c r="Q30">
        <v>240</v>
      </c>
      <c r="R30">
        <v>375</v>
      </c>
      <c r="S30">
        <v>17</v>
      </c>
      <c r="T30">
        <v>107</v>
      </c>
      <c r="U30">
        <v>61</v>
      </c>
      <c r="V30">
        <v>241</v>
      </c>
      <c r="W30">
        <v>346</v>
      </c>
      <c r="X30">
        <v>251</v>
      </c>
      <c r="Y30">
        <v>26</v>
      </c>
      <c r="Z30">
        <v>104</v>
      </c>
      <c r="AA30">
        <v>110</v>
      </c>
      <c r="AB30">
        <v>-49</v>
      </c>
      <c r="AC30">
        <v>190</v>
      </c>
      <c r="AD30">
        <v>153</v>
      </c>
      <c r="AE30">
        <v>107</v>
      </c>
    </row>
    <row r="31" spans="1:31" x14ac:dyDescent="0.3">
      <c r="A31" t="s">
        <v>258</v>
      </c>
      <c r="B31" t="s">
        <v>180</v>
      </c>
      <c r="C31" t="s">
        <v>0</v>
      </c>
      <c r="D31" t="s">
        <v>181</v>
      </c>
      <c r="E31" t="s">
        <v>123</v>
      </c>
      <c r="F31">
        <v>89</v>
      </c>
      <c r="G31">
        <v>112</v>
      </c>
      <c r="H31">
        <v>80</v>
      </c>
      <c r="I31">
        <v>141</v>
      </c>
      <c r="J31">
        <v>287</v>
      </c>
      <c r="K31">
        <v>157</v>
      </c>
      <c r="L31">
        <v>223</v>
      </c>
      <c r="M31">
        <v>74</v>
      </c>
      <c r="N31">
        <v>61</v>
      </c>
      <c r="O31">
        <v>136</v>
      </c>
      <c r="P31">
        <v>265</v>
      </c>
      <c r="Q31">
        <v>320</v>
      </c>
      <c r="R31">
        <v>292</v>
      </c>
      <c r="S31">
        <v>236</v>
      </c>
      <c r="T31">
        <v>405</v>
      </c>
      <c r="U31">
        <v>135</v>
      </c>
      <c r="V31">
        <v>98</v>
      </c>
      <c r="W31">
        <v>121</v>
      </c>
      <c r="X31">
        <v>301</v>
      </c>
      <c r="Y31">
        <v>105</v>
      </c>
      <c r="Z31">
        <v>152</v>
      </c>
      <c r="AA31">
        <v>383</v>
      </c>
      <c r="AB31">
        <v>399</v>
      </c>
      <c r="AC31">
        <v>271</v>
      </c>
      <c r="AD31">
        <v>412</v>
      </c>
      <c r="AE31">
        <v>161</v>
      </c>
    </row>
    <row r="32" spans="1:31" x14ac:dyDescent="0.3">
      <c r="A32" t="s">
        <v>258</v>
      </c>
      <c r="B32" t="s">
        <v>182</v>
      </c>
      <c r="C32" t="s">
        <v>0</v>
      </c>
      <c r="D32" t="s">
        <v>183</v>
      </c>
      <c r="E32" t="s">
        <v>123</v>
      </c>
      <c r="F32">
        <v>275</v>
      </c>
      <c r="G32">
        <v>230</v>
      </c>
      <c r="H32">
        <v>253</v>
      </c>
      <c r="I32">
        <v>395</v>
      </c>
      <c r="J32">
        <v>264</v>
      </c>
      <c r="K32">
        <v>257</v>
      </c>
      <c r="L32">
        <v>231</v>
      </c>
      <c r="M32">
        <v>251</v>
      </c>
      <c r="N32">
        <v>349</v>
      </c>
      <c r="O32">
        <v>318</v>
      </c>
      <c r="P32">
        <v>200</v>
      </c>
      <c r="Q32">
        <v>307</v>
      </c>
      <c r="R32">
        <v>368</v>
      </c>
      <c r="S32">
        <v>382</v>
      </c>
      <c r="T32">
        <v>417</v>
      </c>
      <c r="U32">
        <v>391</v>
      </c>
      <c r="V32">
        <v>357</v>
      </c>
      <c r="W32">
        <v>307</v>
      </c>
      <c r="X32">
        <v>284</v>
      </c>
      <c r="Y32">
        <v>388</v>
      </c>
      <c r="Z32">
        <v>456</v>
      </c>
      <c r="AA32">
        <v>639</v>
      </c>
      <c r="AB32">
        <v>652</v>
      </c>
      <c r="AC32">
        <v>654</v>
      </c>
      <c r="AD32">
        <v>684</v>
      </c>
      <c r="AE32">
        <v>664</v>
      </c>
    </row>
    <row r="33" spans="1:31" x14ac:dyDescent="0.3">
      <c r="A33" t="s">
        <v>258</v>
      </c>
      <c r="B33" t="s">
        <v>184</v>
      </c>
      <c r="C33" t="s">
        <v>0</v>
      </c>
      <c r="D33" t="s">
        <v>185</v>
      </c>
      <c r="E33" t="s">
        <v>123</v>
      </c>
      <c r="F33">
        <v>62</v>
      </c>
      <c r="G33">
        <v>67</v>
      </c>
      <c r="H33">
        <v>90</v>
      </c>
      <c r="I33">
        <v>119</v>
      </c>
      <c r="J33">
        <v>112</v>
      </c>
      <c r="K33">
        <v>118</v>
      </c>
      <c r="L33">
        <v>90</v>
      </c>
      <c r="M33">
        <v>74</v>
      </c>
      <c r="N33">
        <v>73</v>
      </c>
      <c r="O33">
        <v>57</v>
      </c>
      <c r="P33">
        <v>42</v>
      </c>
      <c r="Q33">
        <v>72</v>
      </c>
      <c r="R33">
        <v>47</v>
      </c>
      <c r="S33">
        <v>87</v>
      </c>
      <c r="T33">
        <v>107</v>
      </c>
      <c r="U33">
        <v>86</v>
      </c>
      <c r="V33">
        <v>67</v>
      </c>
      <c r="W33">
        <v>95</v>
      </c>
      <c r="X33">
        <v>65</v>
      </c>
      <c r="Y33">
        <v>86</v>
      </c>
      <c r="Z33">
        <v>-11</v>
      </c>
      <c r="AA33">
        <v>26</v>
      </c>
      <c r="AB33">
        <v>53</v>
      </c>
      <c r="AC33">
        <v>54</v>
      </c>
      <c r="AD33">
        <v>43</v>
      </c>
      <c r="AE33">
        <v>55</v>
      </c>
    </row>
    <row r="34" spans="1:31" x14ac:dyDescent="0.3">
      <c r="A34" t="s">
        <v>258</v>
      </c>
      <c r="B34" t="s">
        <v>186</v>
      </c>
      <c r="C34" t="s">
        <v>0</v>
      </c>
      <c r="D34" t="s">
        <v>187</v>
      </c>
      <c r="E34" t="s">
        <v>123</v>
      </c>
      <c r="F34">
        <v>91</v>
      </c>
      <c r="G34">
        <v>107</v>
      </c>
      <c r="H34">
        <v>134</v>
      </c>
      <c r="I34">
        <v>157</v>
      </c>
      <c r="J34">
        <v>149</v>
      </c>
      <c r="K34">
        <v>140</v>
      </c>
      <c r="L34">
        <v>116</v>
      </c>
      <c r="M34">
        <v>149</v>
      </c>
      <c r="N34">
        <v>139</v>
      </c>
      <c r="O34">
        <v>149</v>
      </c>
      <c r="P34">
        <v>160</v>
      </c>
      <c r="Q34">
        <v>207</v>
      </c>
      <c r="R34">
        <v>202</v>
      </c>
      <c r="S34">
        <v>214</v>
      </c>
      <c r="T34">
        <v>204</v>
      </c>
      <c r="U34">
        <v>213</v>
      </c>
      <c r="V34">
        <v>189</v>
      </c>
      <c r="W34">
        <v>218</v>
      </c>
      <c r="X34">
        <v>166</v>
      </c>
      <c r="Y34">
        <v>184</v>
      </c>
      <c r="Z34">
        <v>196</v>
      </c>
      <c r="AA34">
        <v>255</v>
      </c>
      <c r="AB34">
        <v>258</v>
      </c>
      <c r="AC34">
        <v>309</v>
      </c>
      <c r="AD34">
        <v>303</v>
      </c>
      <c r="AE34">
        <v>309</v>
      </c>
    </row>
    <row r="35" spans="1:31" x14ac:dyDescent="0.3">
      <c r="A35" t="s">
        <v>258</v>
      </c>
      <c r="B35" t="s">
        <v>188</v>
      </c>
      <c r="C35" t="s">
        <v>0</v>
      </c>
      <c r="D35" t="s">
        <v>189</v>
      </c>
      <c r="E35" t="s">
        <v>123</v>
      </c>
      <c r="F35">
        <v>1088</v>
      </c>
      <c r="G35">
        <v>1140</v>
      </c>
      <c r="H35">
        <v>1253</v>
      </c>
      <c r="I35">
        <v>1362</v>
      </c>
      <c r="J35">
        <v>1557</v>
      </c>
      <c r="K35">
        <v>1689</v>
      </c>
      <c r="L35">
        <v>1751</v>
      </c>
      <c r="M35">
        <v>1689</v>
      </c>
      <c r="N35">
        <v>1488</v>
      </c>
      <c r="O35">
        <v>1269</v>
      </c>
      <c r="P35">
        <v>1439</v>
      </c>
      <c r="Q35">
        <v>1360</v>
      </c>
      <c r="R35">
        <v>1612</v>
      </c>
      <c r="S35">
        <v>1573</v>
      </c>
      <c r="T35">
        <v>1459</v>
      </c>
      <c r="U35">
        <v>1692</v>
      </c>
      <c r="V35">
        <v>1704</v>
      </c>
      <c r="W35">
        <v>1808</v>
      </c>
      <c r="X35">
        <v>1989</v>
      </c>
      <c r="Y35">
        <v>2238</v>
      </c>
      <c r="Z35">
        <v>2295</v>
      </c>
      <c r="AA35">
        <v>2251</v>
      </c>
      <c r="AB35">
        <v>2370</v>
      </c>
      <c r="AC35">
        <v>2919</v>
      </c>
      <c r="AD35">
        <v>2396</v>
      </c>
      <c r="AE35">
        <v>2772</v>
      </c>
    </row>
    <row r="36" spans="1:31" x14ac:dyDescent="0.3">
      <c r="A36" t="s">
        <v>258</v>
      </c>
      <c r="B36" t="s">
        <v>190</v>
      </c>
      <c r="C36" t="s">
        <v>0</v>
      </c>
      <c r="D36" t="s">
        <v>191</v>
      </c>
      <c r="E36" t="s">
        <v>123</v>
      </c>
      <c r="F36">
        <v>275</v>
      </c>
      <c r="G36">
        <v>301</v>
      </c>
      <c r="H36">
        <v>371</v>
      </c>
      <c r="I36">
        <v>361</v>
      </c>
      <c r="J36">
        <v>300</v>
      </c>
      <c r="K36">
        <v>335</v>
      </c>
      <c r="L36">
        <v>362</v>
      </c>
      <c r="M36">
        <v>314</v>
      </c>
      <c r="N36">
        <v>320</v>
      </c>
      <c r="O36">
        <v>316</v>
      </c>
      <c r="P36">
        <v>353</v>
      </c>
      <c r="Q36">
        <v>352</v>
      </c>
      <c r="R36">
        <v>397</v>
      </c>
      <c r="S36">
        <v>358</v>
      </c>
      <c r="T36">
        <v>407</v>
      </c>
      <c r="U36">
        <v>523</v>
      </c>
      <c r="V36">
        <v>526</v>
      </c>
      <c r="W36">
        <v>564</v>
      </c>
      <c r="X36">
        <v>558</v>
      </c>
      <c r="Y36">
        <v>424</v>
      </c>
      <c r="Z36">
        <v>572</v>
      </c>
      <c r="AA36">
        <v>627</v>
      </c>
      <c r="AB36">
        <v>721</v>
      </c>
      <c r="AC36">
        <v>738</v>
      </c>
      <c r="AD36">
        <v>729</v>
      </c>
      <c r="AE36">
        <v>711</v>
      </c>
    </row>
    <row r="37" spans="1:31" x14ac:dyDescent="0.3">
      <c r="A37" t="s">
        <v>258</v>
      </c>
      <c r="B37" t="s">
        <v>192</v>
      </c>
      <c r="C37" t="s">
        <v>0</v>
      </c>
      <c r="D37" t="s">
        <v>193</v>
      </c>
      <c r="E37" t="s">
        <v>123</v>
      </c>
      <c r="F37">
        <v>648</v>
      </c>
      <c r="G37">
        <v>677</v>
      </c>
      <c r="H37">
        <v>700</v>
      </c>
      <c r="I37">
        <v>756</v>
      </c>
      <c r="J37">
        <v>934</v>
      </c>
      <c r="K37">
        <v>989</v>
      </c>
      <c r="L37">
        <v>972</v>
      </c>
      <c r="M37">
        <v>918</v>
      </c>
      <c r="N37">
        <v>696</v>
      </c>
      <c r="O37">
        <v>590</v>
      </c>
      <c r="P37">
        <v>562</v>
      </c>
      <c r="Q37">
        <v>497</v>
      </c>
      <c r="R37">
        <v>524</v>
      </c>
      <c r="S37">
        <v>581</v>
      </c>
      <c r="T37">
        <v>550</v>
      </c>
      <c r="U37">
        <v>611</v>
      </c>
      <c r="V37">
        <v>591</v>
      </c>
      <c r="W37">
        <v>555</v>
      </c>
      <c r="X37">
        <v>605</v>
      </c>
      <c r="Y37">
        <v>571</v>
      </c>
      <c r="Z37">
        <v>613</v>
      </c>
      <c r="AA37">
        <v>701</v>
      </c>
      <c r="AB37">
        <v>678</v>
      </c>
      <c r="AC37">
        <v>712</v>
      </c>
      <c r="AD37">
        <v>601</v>
      </c>
      <c r="AE37">
        <v>775</v>
      </c>
    </row>
    <row r="38" spans="1:31" x14ac:dyDescent="0.3">
      <c r="A38" t="s">
        <v>258</v>
      </c>
      <c r="B38" t="s">
        <v>194</v>
      </c>
      <c r="C38" t="s">
        <v>0</v>
      </c>
      <c r="D38" t="s">
        <v>195</v>
      </c>
      <c r="E38" t="s">
        <v>123</v>
      </c>
      <c r="F38">
        <v>165</v>
      </c>
      <c r="G38">
        <v>162</v>
      </c>
      <c r="H38">
        <v>182</v>
      </c>
      <c r="I38">
        <v>245</v>
      </c>
      <c r="J38">
        <v>323</v>
      </c>
      <c r="K38">
        <v>365</v>
      </c>
      <c r="L38">
        <v>417</v>
      </c>
      <c r="M38">
        <v>457</v>
      </c>
      <c r="N38">
        <v>472</v>
      </c>
      <c r="O38">
        <v>363</v>
      </c>
      <c r="P38">
        <v>524</v>
      </c>
      <c r="Q38">
        <v>511</v>
      </c>
      <c r="R38">
        <v>691</v>
      </c>
      <c r="S38">
        <v>634</v>
      </c>
      <c r="T38">
        <v>502</v>
      </c>
      <c r="U38">
        <v>558</v>
      </c>
      <c r="V38">
        <v>587</v>
      </c>
      <c r="W38">
        <v>689</v>
      </c>
      <c r="X38">
        <v>826</v>
      </c>
      <c r="Y38">
        <v>1243</v>
      </c>
      <c r="Z38">
        <v>1110</v>
      </c>
      <c r="AA38">
        <v>923</v>
      </c>
      <c r="AB38">
        <v>971</v>
      </c>
      <c r="AC38">
        <v>1469</v>
      </c>
      <c r="AD38">
        <v>1066</v>
      </c>
      <c r="AE38">
        <v>1286</v>
      </c>
    </row>
    <row r="39" spans="1:31" x14ac:dyDescent="0.3">
      <c r="A39" t="s">
        <v>258</v>
      </c>
      <c r="B39" t="s">
        <v>196</v>
      </c>
      <c r="C39" t="s">
        <v>0</v>
      </c>
      <c r="D39" t="s">
        <v>197</v>
      </c>
      <c r="E39" t="s">
        <v>123</v>
      </c>
      <c r="F39">
        <v>42</v>
      </c>
      <c r="G39">
        <v>76</v>
      </c>
      <c r="H39">
        <v>-24</v>
      </c>
      <c r="I39">
        <v>166</v>
      </c>
      <c r="J39">
        <v>194</v>
      </c>
      <c r="K39">
        <v>298</v>
      </c>
      <c r="L39">
        <v>291</v>
      </c>
      <c r="M39">
        <v>343</v>
      </c>
      <c r="N39">
        <v>276</v>
      </c>
      <c r="O39">
        <v>222</v>
      </c>
      <c r="P39">
        <v>345</v>
      </c>
      <c r="Q39">
        <v>386</v>
      </c>
      <c r="R39">
        <v>587</v>
      </c>
      <c r="S39">
        <v>643</v>
      </c>
      <c r="T39">
        <v>615</v>
      </c>
      <c r="U39">
        <v>438</v>
      </c>
      <c r="V39">
        <v>467</v>
      </c>
      <c r="W39">
        <v>431</v>
      </c>
      <c r="X39">
        <v>420</v>
      </c>
      <c r="Y39">
        <v>527</v>
      </c>
      <c r="Z39">
        <v>519</v>
      </c>
      <c r="AA39">
        <v>618</v>
      </c>
      <c r="AB39">
        <v>684</v>
      </c>
      <c r="AC39">
        <v>576</v>
      </c>
      <c r="AD39">
        <v>703</v>
      </c>
      <c r="AE39">
        <v>528</v>
      </c>
    </row>
    <row r="40" spans="1:31" x14ac:dyDescent="0.3">
      <c r="A40" t="s">
        <v>258</v>
      </c>
      <c r="B40" t="s">
        <v>198</v>
      </c>
      <c r="C40" t="s">
        <v>0</v>
      </c>
      <c r="D40" t="s">
        <v>199</v>
      </c>
      <c r="E40" t="s">
        <v>123</v>
      </c>
      <c r="F40">
        <v>4639</v>
      </c>
      <c r="G40">
        <v>5538</v>
      </c>
      <c r="H40">
        <v>5947</v>
      </c>
      <c r="I40">
        <v>7316</v>
      </c>
      <c r="J40">
        <v>8603</v>
      </c>
      <c r="K40">
        <v>10271</v>
      </c>
      <c r="L40">
        <v>10716</v>
      </c>
      <c r="M40">
        <v>10773</v>
      </c>
      <c r="N40">
        <v>11071</v>
      </c>
      <c r="O40">
        <v>12334</v>
      </c>
      <c r="P40">
        <v>13766</v>
      </c>
      <c r="Q40">
        <v>14923</v>
      </c>
      <c r="R40">
        <v>16976</v>
      </c>
      <c r="S40">
        <v>17466</v>
      </c>
      <c r="T40">
        <v>14985</v>
      </c>
      <c r="U40">
        <v>16621</v>
      </c>
      <c r="V40">
        <v>17170</v>
      </c>
      <c r="W40">
        <v>17524</v>
      </c>
      <c r="X40">
        <v>17279</v>
      </c>
      <c r="Y40">
        <v>16176</v>
      </c>
      <c r="Z40">
        <v>17197</v>
      </c>
      <c r="AA40">
        <v>18557</v>
      </c>
      <c r="AB40">
        <v>19980</v>
      </c>
      <c r="AC40">
        <v>22015</v>
      </c>
      <c r="AD40">
        <v>22603</v>
      </c>
      <c r="AE40">
        <v>22438</v>
      </c>
    </row>
    <row r="41" spans="1:31" x14ac:dyDescent="0.3">
      <c r="A41" t="s">
        <v>258</v>
      </c>
      <c r="B41" t="s">
        <v>200</v>
      </c>
      <c r="C41" t="s">
        <v>0</v>
      </c>
      <c r="D41" t="s">
        <v>201</v>
      </c>
      <c r="E41" t="s">
        <v>123</v>
      </c>
      <c r="F41">
        <v>3000</v>
      </c>
      <c r="G41">
        <v>3239</v>
      </c>
      <c r="H41">
        <v>3620</v>
      </c>
      <c r="I41">
        <v>4377</v>
      </c>
      <c r="J41">
        <v>5256</v>
      </c>
      <c r="K41">
        <v>5702</v>
      </c>
      <c r="L41">
        <v>5443</v>
      </c>
      <c r="M41">
        <v>5762</v>
      </c>
      <c r="N41">
        <v>6445</v>
      </c>
      <c r="O41">
        <v>7297</v>
      </c>
      <c r="P41">
        <v>7975</v>
      </c>
      <c r="Q41">
        <v>8843</v>
      </c>
      <c r="R41">
        <v>9269</v>
      </c>
      <c r="S41">
        <v>8883</v>
      </c>
      <c r="T41">
        <v>8259</v>
      </c>
      <c r="U41">
        <v>10087</v>
      </c>
      <c r="V41">
        <v>10337</v>
      </c>
      <c r="W41">
        <v>10454</v>
      </c>
      <c r="X41">
        <v>10380</v>
      </c>
      <c r="Y41">
        <v>9999</v>
      </c>
      <c r="Z41">
        <v>10065</v>
      </c>
      <c r="AA41">
        <v>11107</v>
      </c>
      <c r="AB41">
        <v>11821</v>
      </c>
      <c r="AC41">
        <v>12654</v>
      </c>
      <c r="AD41">
        <v>12720</v>
      </c>
      <c r="AE41">
        <v>12721</v>
      </c>
    </row>
    <row r="42" spans="1:31" x14ac:dyDescent="0.3">
      <c r="A42" t="s">
        <v>258</v>
      </c>
      <c r="B42" t="s">
        <v>202</v>
      </c>
      <c r="C42" t="s">
        <v>0</v>
      </c>
      <c r="D42" t="s">
        <v>203</v>
      </c>
      <c r="E42" t="s">
        <v>123</v>
      </c>
      <c r="F42">
        <v>609</v>
      </c>
      <c r="G42">
        <v>643</v>
      </c>
      <c r="H42">
        <v>729</v>
      </c>
      <c r="I42">
        <v>781</v>
      </c>
      <c r="J42">
        <v>864</v>
      </c>
      <c r="K42">
        <v>901</v>
      </c>
      <c r="L42">
        <v>911</v>
      </c>
      <c r="M42">
        <v>1057</v>
      </c>
      <c r="N42">
        <v>993</v>
      </c>
      <c r="O42">
        <v>1035</v>
      </c>
      <c r="P42">
        <v>1069</v>
      </c>
      <c r="Q42">
        <v>1102</v>
      </c>
      <c r="R42">
        <v>1238</v>
      </c>
      <c r="S42">
        <v>1216</v>
      </c>
      <c r="T42">
        <v>1089</v>
      </c>
      <c r="U42">
        <v>1281</v>
      </c>
      <c r="V42">
        <v>1368</v>
      </c>
      <c r="W42">
        <v>1275</v>
      </c>
      <c r="X42">
        <v>1200</v>
      </c>
      <c r="Y42">
        <v>1215</v>
      </c>
      <c r="Z42">
        <v>1238</v>
      </c>
      <c r="AA42">
        <v>1172</v>
      </c>
      <c r="AB42">
        <v>1185</v>
      </c>
      <c r="AC42">
        <v>1336</v>
      </c>
      <c r="AD42">
        <v>1537</v>
      </c>
      <c r="AE42">
        <v>1454</v>
      </c>
    </row>
    <row r="43" spans="1:31" x14ac:dyDescent="0.3">
      <c r="A43" t="s">
        <v>258</v>
      </c>
      <c r="B43" t="s">
        <v>204</v>
      </c>
      <c r="C43" t="s">
        <v>0</v>
      </c>
      <c r="D43" t="s">
        <v>205</v>
      </c>
      <c r="E43" t="s">
        <v>123</v>
      </c>
      <c r="F43">
        <v>800</v>
      </c>
      <c r="G43">
        <v>915</v>
      </c>
      <c r="H43">
        <v>945</v>
      </c>
      <c r="I43">
        <v>1065</v>
      </c>
      <c r="J43">
        <v>1152</v>
      </c>
      <c r="K43">
        <v>1273</v>
      </c>
      <c r="L43">
        <v>1242</v>
      </c>
      <c r="M43">
        <v>1480</v>
      </c>
      <c r="N43">
        <v>1481</v>
      </c>
      <c r="O43">
        <v>1498</v>
      </c>
      <c r="P43">
        <v>1546</v>
      </c>
      <c r="Q43">
        <v>1711</v>
      </c>
      <c r="R43">
        <v>1846</v>
      </c>
      <c r="S43">
        <v>1949</v>
      </c>
      <c r="T43">
        <v>1612</v>
      </c>
      <c r="U43">
        <v>1831</v>
      </c>
      <c r="V43">
        <v>1966</v>
      </c>
      <c r="W43">
        <v>1886</v>
      </c>
      <c r="X43">
        <v>1786</v>
      </c>
      <c r="Y43">
        <v>1836</v>
      </c>
      <c r="Z43">
        <v>1802</v>
      </c>
      <c r="AA43">
        <v>1852</v>
      </c>
      <c r="AB43">
        <v>1939</v>
      </c>
      <c r="AC43">
        <v>2136</v>
      </c>
      <c r="AD43">
        <v>2367</v>
      </c>
      <c r="AE43">
        <v>2191</v>
      </c>
    </row>
    <row r="44" spans="1:31" x14ac:dyDescent="0.3">
      <c r="A44" t="s">
        <v>258</v>
      </c>
      <c r="B44" t="s">
        <v>206</v>
      </c>
      <c r="C44" t="s">
        <v>0</v>
      </c>
      <c r="D44" t="s">
        <v>207</v>
      </c>
      <c r="E44" t="s">
        <v>123</v>
      </c>
      <c r="F44">
        <v>11200</v>
      </c>
      <c r="G44">
        <v>11811</v>
      </c>
      <c r="H44">
        <v>13178</v>
      </c>
      <c r="I44">
        <v>14647</v>
      </c>
      <c r="J44">
        <v>15061</v>
      </c>
      <c r="K44">
        <v>15754</v>
      </c>
      <c r="L44">
        <v>16957</v>
      </c>
      <c r="M44">
        <v>16376</v>
      </c>
      <c r="N44">
        <v>16670</v>
      </c>
      <c r="O44">
        <v>16900</v>
      </c>
      <c r="P44">
        <v>17320</v>
      </c>
      <c r="Q44">
        <v>18047</v>
      </c>
      <c r="R44">
        <v>20999</v>
      </c>
      <c r="S44">
        <v>22002</v>
      </c>
      <c r="T44">
        <v>20458</v>
      </c>
      <c r="U44">
        <v>19553</v>
      </c>
      <c r="V44">
        <v>20000</v>
      </c>
      <c r="W44">
        <v>20171</v>
      </c>
      <c r="X44">
        <v>19754</v>
      </c>
      <c r="Y44">
        <v>20371</v>
      </c>
      <c r="Z44">
        <v>20399</v>
      </c>
      <c r="AA44">
        <v>22686</v>
      </c>
      <c r="AB44">
        <v>23853</v>
      </c>
      <c r="AC44">
        <v>24326</v>
      </c>
      <c r="AD44">
        <v>23856</v>
      </c>
      <c r="AE44">
        <v>24122</v>
      </c>
    </row>
    <row r="45" spans="1:31" x14ac:dyDescent="0.3">
      <c r="A45" t="s">
        <v>258</v>
      </c>
      <c r="B45" t="s">
        <v>208</v>
      </c>
      <c r="C45" t="s">
        <v>0</v>
      </c>
      <c r="D45" t="s">
        <v>209</v>
      </c>
      <c r="E45" t="s">
        <v>123</v>
      </c>
      <c r="F45">
        <v>10121</v>
      </c>
      <c r="G45">
        <v>10844</v>
      </c>
      <c r="H45">
        <v>11996</v>
      </c>
      <c r="I45">
        <v>13352</v>
      </c>
      <c r="J45">
        <v>13713</v>
      </c>
      <c r="K45">
        <v>14466</v>
      </c>
      <c r="L45">
        <v>15583</v>
      </c>
      <c r="M45">
        <v>14936</v>
      </c>
      <c r="N45">
        <v>15237</v>
      </c>
      <c r="O45">
        <v>15530</v>
      </c>
      <c r="P45">
        <v>15903</v>
      </c>
      <c r="Q45">
        <v>16593</v>
      </c>
      <c r="R45">
        <v>19357</v>
      </c>
      <c r="S45">
        <v>20351</v>
      </c>
      <c r="T45">
        <v>18844</v>
      </c>
      <c r="U45">
        <v>18001</v>
      </c>
      <c r="V45">
        <v>18411</v>
      </c>
      <c r="W45">
        <v>18603</v>
      </c>
      <c r="X45">
        <v>18062</v>
      </c>
      <c r="Y45">
        <v>18687</v>
      </c>
      <c r="Z45">
        <v>19053</v>
      </c>
      <c r="AA45">
        <v>21320</v>
      </c>
      <c r="AB45">
        <v>22385</v>
      </c>
      <c r="AC45">
        <v>22801</v>
      </c>
      <c r="AD45">
        <v>22210</v>
      </c>
      <c r="AE45">
        <v>22493</v>
      </c>
    </row>
    <row r="46" spans="1:31" x14ac:dyDescent="0.3">
      <c r="A46" t="s">
        <v>258</v>
      </c>
      <c r="B46" t="s">
        <v>210</v>
      </c>
      <c r="C46" t="s">
        <v>0</v>
      </c>
      <c r="D46" t="s">
        <v>211</v>
      </c>
      <c r="E46" t="s">
        <v>123</v>
      </c>
      <c r="F46">
        <v>191</v>
      </c>
      <c r="G46">
        <v>272</v>
      </c>
      <c r="H46">
        <v>216</v>
      </c>
      <c r="I46">
        <v>284</v>
      </c>
      <c r="J46">
        <v>288</v>
      </c>
      <c r="K46">
        <v>372</v>
      </c>
      <c r="L46">
        <v>331</v>
      </c>
      <c r="M46">
        <v>423</v>
      </c>
      <c r="N46">
        <v>488</v>
      </c>
      <c r="O46">
        <v>463</v>
      </c>
      <c r="P46">
        <v>477</v>
      </c>
      <c r="Q46">
        <v>609</v>
      </c>
      <c r="R46">
        <v>608</v>
      </c>
      <c r="S46">
        <v>733</v>
      </c>
      <c r="T46">
        <v>523</v>
      </c>
      <c r="U46">
        <v>550</v>
      </c>
      <c r="V46">
        <v>598</v>
      </c>
      <c r="W46">
        <v>611</v>
      </c>
      <c r="X46">
        <v>586</v>
      </c>
      <c r="Y46">
        <v>621</v>
      </c>
      <c r="Z46">
        <v>564</v>
      </c>
      <c r="AA46">
        <v>680</v>
      </c>
      <c r="AB46">
        <v>754</v>
      </c>
      <c r="AC46">
        <v>800</v>
      </c>
      <c r="AD46">
        <v>830</v>
      </c>
      <c r="AE46">
        <v>737</v>
      </c>
    </row>
    <row r="47" spans="1:31" x14ac:dyDescent="0.3">
      <c r="A47" t="s">
        <v>258</v>
      </c>
      <c r="B47" t="s">
        <v>212</v>
      </c>
      <c r="C47" t="s">
        <v>0</v>
      </c>
      <c r="D47" t="s">
        <v>213</v>
      </c>
      <c r="E47" t="s">
        <v>123</v>
      </c>
      <c r="F47">
        <v>1865</v>
      </c>
      <c r="G47">
        <v>1962</v>
      </c>
      <c r="H47">
        <v>2231</v>
      </c>
      <c r="I47">
        <v>2520</v>
      </c>
      <c r="J47">
        <v>2505</v>
      </c>
      <c r="K47">
        <v>2390</v>
      </c>
      <c r="L47">
        <v>2245</v>
      </c>
      <c r="M47">
        <v>2507</v>
      </c>
      <c r="N47">
        <v>2681</v>
      </c>
      <c r="O47">
        <v>2815</v>
      </c>
      <c r="P47">
        <v>2963</v>
      </c>
      <c r="Q47">
        <v>2618</v>
      </c>
      <c r="R47">
        <v>2558</v>
      </c>
      <c r="S47">
        <v>3083</v>
      </c>
      <c r="T47">
        <v>3205</v>
      </c>
      <c r="U47">
        <v>3103</v>
      </c>
      <c r="V47">
        <v>3001</v>
      </c>
      <c r="W47">
        <v>3501</v>
      </c>
      <c r="X47">
        <v>3637</v>
      </c>
      <c r="Y47">
        <v>3901</v>
      </c>
      <c r="Z47">
        <v>3412</v>
      </c>
      <c r="AA47">
        <v>3640</v>
      </c>
      <c r="AB47">
        <v>3714</v>
      </c>
      <c r="AC47">
        <v>4045</v>
      </c>
      <c r="AD47">
        <v>4116</v>
      </c>
      <c r="AE47">
        <v>4883</v>
      </c>
    </row>
    <row r="48" spans="1:31" x14ac:dyDescent="0.3">
      <c r="A48" t="s">
        <v>258</v>
      </c>
      <c r="B48" t="s">
        <v>214</v>
      </c>
      <c r="C48" t="s">
        <v>0</v>
      </c>
      <c r="D48" t="s">
        <v>215</v>
      </c>
      <c r="E48" t="s">
        <v>123</v>
      </c>
      <c r="F48">
        <v>3210</v>
      </c>
      <c r="G48">
        <v>3551</v>
      </c>
      <c r="H48">
        <v>4083</v>
      </c>
      <c r="I48">
        <v>4233</v>
      </c>
      <c r="J48">
        <v>4306</v>
      </c>
      <c r="K48">
        <v>4231</v>
      </c>
      <c r="L48">
        <v>4342</v>
      </c>
      <c r="M48">
        <v>4958</v>
      </c>
      <c r="N48">
        <v>5232</v>
      </c>
      <c r="O48">
        <v>5363</v>
      </c>
      <c r="P48">
        <v>5399</v>
      </c>
      <c r="Q48">
        <v>5285</v>
      </c>
      <c r="R48">
        <v>5436</v>
      </c>
      <c r="S48">
        <v>6082</v>
      </c>
      <c r="T48">
        <v>6416</v>
      </c>
      <c r="U48">
        <v>6507</v>
      </c>
      <c r="V48">
        <v>6409</v>
      </c>
      <c r="W48">
        <v>6958</v>
      </c>
      <c r="X48">
        <v>7224</v>
      </c>
      <c r="Y48">
        <v>7596</v>
      </c>
      <c r="Z48">
        <v>7037</v>
      </c>
      <c r="AA48">
        <v>7666</v>
      </c>
      <c r="AB48">
        <v>7996</v>
      </c>
      <c r="AC48">
        <v>8420</v>
      </c>
      <c r="AD48">
        <v>8917</v>
      </c>
      <c r="AE48">
        <v>10013</v>
      </c>
    </row>
    <row r="49" spans="1:31" x14ac:dyDescent="0.3">
      <c r="A49" t="s">
        <v>258</v>
      </c>
      <c r="B49" t="s">
        <v>216</v>
      </c>
      <c r="C49" t="s">
        <v>0</v>
      </c>
      <c r="D49" t="s">
        <v>217</v>
      </c>
      <c r="E49" t="s">
        <v>123</v>
      </c>
      <c r="F49">
        <v>935</v>
      </c>
      <c r="G49">
        <v>1104</v>
      </c>
      <c r="H49">
        <v>1340</v>
      </c>
      <c r="I49">
        <v>1230</v>
      </c>
      <c r="J49">
        <v>1287</v>
      </c>
      <c r="K49">
        <v>1248</v>
      </c>
      <c r="L49">
        <v>1429</v>
      </c>
      <c r="M49">
        <v>1665</v>
      </c>
      <c r="N49">
        <v>1763</v>
      </c>
      <c r="O49">
        <v>1776</v>
      </c>
      <c r="P49">
        <v>1649</v>
      </c>
      <c r="Q49">
        <v>1730</v>
      </c>
      <c r="R49">
        <v>1842</v>
      </c>
      <c r="S49">
        <v>1891</v>
      </c>
      <c r="T49">
        <v>1977</v>
      </c>
      <c r="U49">
        <v>2227</v>
      </c>
      <c r="V49">
        <v>2267</v>
      </c>
      <c r="W49">
        <v>2129</v>
      </c>
      <c r="X49">
        <v>2165</v>
      </c>
      <c r="Y49">
        <v>2285</v>
      </c>
      <c r="Z49">
        <v>2384</v>
      </c>
      <c r="AA49">
        <v>2531</v>
      </c>
      <c r="AB49">
        <v>2591</v>
      </c>
      <c r="AC49">
        <v>2670</v>
      </c>
      <c r="AD49">
        <v>2962</v>
      </c>
      <c r="AE49">
        <v>3172</v>
      </c>
    </row>
    <row r="50" spans="1:31" x14ac:dyDescent="0.3">
      <c r="A50" t="s">
        <v>258</v>
      </c>
      <c r="B50" t="s">
        <v>218</v>
      </c>
      <c r="C50" t="s">
        <v>0</v>
      </c>
      <c r="D50" t="s">
        <v>219</v>
      </c>
      <c r="E50" t="s">
        <v>123</v>
      </c>
      <c r="F50">
        <v>410</v>
      </c>
      <c r="G50">
        <v>485</v>
      </c>
      <c r="H50">
        <v>512</v>
      </c>
      <c r="I50">
        <v>483</v>
      </c>
      <c r="J50">
        <v>514</v>
      </c>
      <c r="K50">
        <v>593</v>
      </c>
      <c r="L50">
        <v>668</v>
      </c>
      <c r="M50">
        <v>786</v>
      </c>
      <c r="N50">
        <v>788</v>
      </c>
      <c r="O50">
        <v>772</v>
      </c>
      <c r="P50">
        <v>787</v>
      </c>
      <c r="Q50">
        <v>937</v>
      </c>
      <c r="R50">
        <v>1036</v>
      </c>
      <c r="S50">
        <v>1108</v>
      </c>
      <c r="T50">
        <v>1234</v>
      </c>
      <c r="U50">
        <v>1177</v>
      </c>
      <c r="V50">
        <v>1141</v>
      </c>
      <c r="W50">
        <v>1328</v>
      </c>
      <c r="X50">
        <v>1422</v>
      </c>
      <c r="Y50">
        <v>1410</v>
      </c>
      <c r="Z50">
        <v>1241</v>
      </c>
      <c r="AA50">
        <v>1495</v>
      </c>
      <c r="AB50">
        <v>1691</v>
      </c>
      <c r="AC50">
        <v>1705</v>
      </c>
      <c r="AD50">
        <v>1839</v>
      </c>
      <c r="AE50">
        <v>1958</v>
      </c>
    </row>
    <row r="51" spans="1:31" x14ac:dyDescent="0.3">
      <c r="A51" t="s">
        <v>258</v>
      </c>
      <c r="B51" t="s">
        <v>220</v>
      </c>
      <c r="C51" t="s">
        <v>0</v>
      </c>
      <c r="D51" t="s">
        <v>221</v>
      </c>
      <c r="E51" t="s">
        <v>123</v>
      </c>
      <c r="F51">
        <v>262</v>
      </c>
      <c r="G51">
        <v>282</v>
      </c>
      <c r="H51">
        <v>323</v>
      </c>
      <c r="I51">
        <v>305</v>
      </c>
      <c r="J51">
        <v>317</v>
      </c>
      <c r="K51">
        <v>366</v>
      </c>
      <c r="L51">
        <v>415</v>
      </c>
      <c r="M51">
        <v>524</v>
      </c>
      <c r="N51">
        <v>507</v>
      </c>
      <c r="O51">
        <v>495</v>
      </c>
      <c r="P51">
        <v>530</v>
      </c>
      <c r="Q51">
        <v>648</v>
      </c>
      <c r="R51">
        <v>653</v>
      </c>
      <c r="S51">
        <v>671</v>
      </c>
      <c r="T51">
        <v>794</v>
      </c>
      <c r="U51">
        <v>751</v>
      </c>
      <c r="V51">
        <v>746</v>
      </c>
      <c r="W51">
        <v>888</v>
      </c>
      <c r="X51">
        <v>960</v>
      </c>
      <c r="Y51">
        <v>935</v>
      </c>
      <c r="Z51">
        <v>810</v>
      </c>
      <c r="AA51">
        <v>996</v>
      </c>
      <c r="AB51">
        <v>1208</v>
      </c>
      <c r="AC51">
        <v>1236</v>
      </c>
      <c r="AD51">
        <v>1311</v>
      </c>
      <c r="AE51">
        <v>1403</v>
      </c>
    </row>
    <row r="52" spans="1:31" x14ac:dyDescent="0.3">
      <c r="A52" t="s">
        <v>258</v>
      </c>
      <c r="B52" t="s">
        <v>222</v>
      </c>
      <c r="C52" t="s">
        <v>0</v>
      </c>
      <c r="D52" t="s">
        <v>223</v>
      </c>
      <c r="E52" t="s">
        <v>123</v>
      </c>
      <c r="F52">
        <v>148</v>
      </c>
      <c r="G52">
        <v>203</v>
      </c>
      <c r="H52">
        <v>189</v>
      </c>
      <c r="I52">
        <v>178</v>
      </c>
      <c r="J52">
        <v>197</v>
      </c>
      <c r="K52">
        <v>227</v>
      </c>
      <c r="L52">
        <v>253</v>
      </c>
      <c r="M52">
        <v>262</v>
      </c>
      <c r="N52">
        <v>281</v>
      </c>
      <c r="O52">
        <v>277</v>
      </c>
      <c r="P52">
        <v>257</v>
      </c>
      <c r="Q52">
        <v>289</v>
      </c>
      <c r="R52">
        <v>383</v>
      </c>
      <c r="S52">
        <v>437</v>
      </c>
      <c r="T52">
        <v>440</v>
      </c>
      <c r="U52">
        <v>426</v>
      </c>
      <c r="V52">
        <v>395</v>
      </c>
      <c r="W52">
        <v>440</v>
      </c>
      <c r="X52">
        <v>462</v>
      </c>
      <c r="Y52">
        <v>475</v>
      </c>
      <c r="Z52">
        <v>431</v>
      </c>
      <c r="AA52">
        <v>499</v>
      </c>
      <c r="AB52">
        <v>483</v>
      </c>
      <c r="AC52">
        <v>469</v>
      </c>
      <c r="AD52">
        <v>528</v>
      </c>
      <c r="AE52">
        <v>555</v>
      </c>
    </row>
    <row r="53" spans="1:31" x14ac:dyDescent="0.3">
      <c r="A53" t="s">
        <v>258</v>
      </c>
      <c r="B53" t="s">
        <v>224</v>
      </c>
      <c r="C53" t="s">
        <v>0</v>
      </c>
      <c r="D53" t="s">
        <v>225</v>
      </c>
      <c r="E53" t="s">
        <v>123</v>
      </c>
      <c r="F53">
        <v>265</v>
      </c>
      <c r="G53">
        <v>342</v>
      </c>
      <c r="H53">
        <v>396</v>
      </c>
      <c r="I53">
        <v>371</v>
      </c>
      <c r="J53">
        <v>269</v>
      </c>
      <c r="K53">
        <v>366</v>
      </c>
      <c r="L53">
        <v>359</v>
      </c>
      <c r="M53">
        <v>384</v>
      </c>
      <c r="N53">
        <v>456</v>
      </c>
      <c r="O53">
        <v>420</v>
      </c>
      <c r="P53">
        <v>402</v>
      </c>
      <c r="Q53">
        <v>466</v>
      </c>
      <c r="R53">
        <v>527</v>
      </c>
      <c r="S53">
        <v>510</v>
      </c>
      <c r="T53">
        <v>521</v>
      </c>
      <c r="U53">
        <v>518</v>
      </c>
      <c r="V53">
        <v>522</v>
      </c>
      <c r="W53">
        <v>604</v>
      </c>
      <c r="X53">
        <v>600</v>
      </c>
      <c r="Y53">
        <v>569</v>
      </c>
      <c r="Z53">
        <v>643</v>
      </c>
      <c r="AA53">
        <v>746</v>
      </c>
      <c r="AB53">
        <v>800</v>
      </c>
      <c r="AC53">
        <v>959</v>
      </c>
      <c r="AD53">
        <v>958</v>
      </c>
      <c r="AE53">
        <v>898</v>
      </c>
    </row>
    <row r="54" spans="1:31" x14ac:dyDescent="0.3">
      <c r="A54" t="s">
        <v>258</v>
      </c>
      <c r="B54" t="s">
        <v>226</v>
      </c>
      <c r="C54" t="s">
        <v>0</v>
      </c>
      <c r="D54" t="s">
        <v>227</v>
      </c>
      <c r="E54" t="s">
        <v>123</v>
      </c>
      <c r="F54">
        <v>383</v>
      </c>
      <c r="G54">
        <v>468</v>
      </c>
      <c r="H54">
        <v>555</v>
      </c>
      <c r="I54">
        <v>553</v>
      </c>
      <c r="J54">
        <v>475</v>
      </c>
      <c r="K54">
        <v>546</v>
      </c>
      <c r="L54">
        <v>543</v>
      </c>
      <c r="M54">
        <v>563</v>
      </c>
      <c r="N54">
        <v>670</v>
      </c>
      <c r="O54">
        <v>651</v>
      </c>
      <c r="P54">
        <v>620</v>
      </c>
      <c r="Q54">
        <v>665</v>
      </c>
      <c r="R54">
        <v>758</v>
      </c>
      <c r="S54">
        <v>782</v>
      </c>
      <c r="T54">
        <v>802</v>
      </c>
      <c r="U54">
        <v>814</v>
      </c>
      <c r="V54">
        <v>774</v>
      </c>
      <c r="W54">
        <v>845</v>
      </c>
      <c r="X54">
        <v>827</v>
      </c>
      <c r="Y54">
        <v>795</v>
      </c>
      <c r="Z54">
        <v>889</v>
      </c>
      <c r="AA54">
        <v>983</v>
      </c>
      <c r="AB54">
        <v>1027</v>
      </c>
      <c r="AC54">
        <v>1185</v>
      </c>
      <c r="AD54">
        <v>1201</v>
      </c>
      <c r="AE54">
        <v>1138</v>
      </c>
    </row>
    <row r="55" spans="1:31" x14ac:dyDescent="0.3">
      <c r="A55" t="s">
        <v>258</v>
      </c>
      <c r="B55" t="s">
        <v>228</v>
      </c>
      <c r="C55" t="s">
        <v>0</v>
      </c>
      <c r="D55" t="s">
        <v>229</v>
      </c>
      <c r="E55" t="s">
        <v>123</v>
      </c>
      <c r="F55">
        <v>118</v>
      </c>
      <c r="G55">
        <v>126</v>
      </c>
      <c r="H55">
        <v>159</v>
      </c>
      <c r="I55">
        <v>182</v>
      </c>
      <c r="J55">
        <v>206</v>
      </c>
      <c r="K55">
        <v>180</v>
      </c>
      <c r="L55">
        <v>184</v>
      </c>
      <c r="M55">
        <v>179</v>
      </c>
      <c r="N55">
        <v>214</v>
      </c>
      <c r="O55">
        <v>231</v>
      </c>
      <c r="P55">
        <v>218</v>
      </c>
      <c r="Q55">
        <v>199</v>
      </c>
      <c r="R55">
        <v>231</v>
      </c>
      <c r="S55">
        <v>272</v>
      </c>
      <c r="T55">
        <v>281</v>
      </c>
      <c r="U55">
        <v>296</v>
      </c>
      <c r="V55">
        <v>252</v>
      </c>
      <c r="W55">
        <v>241</v>
      </c>
      <c r="X55">
        <v>227</v>
      </c>
      <c r="Y55">
        <v>226</v>
      </c>
      <c r="Z55">
        <v>246</v>
      </c>
      <c r="AA55">
        <v>237</v>
      </c>
      <c r="AB55">
        <v>227</v>
      </c>
      <c r="AC55">
        <v>226</v>
      </c>
      <c r="AD55">
        <v>243</v>
      </c>
      <c r="AE55">
        <v>240</v>
      </c>
    </row>
    <row r="56" spans="1:31" x14ac:dyDescent="0.3">
      <c r="A56" t="s">
        <v>258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258</v>
      </c>
      <c r="B57" t="s">
        <v>232</v>
      </c>
      <c r="C57" t="s">
        <v>0</v>
      </c>
      <c r="D57" t="s">
        <v>233</v>
      </c>
      <c r="E57" t="s">
        <v>123</v>
      </c>
      <c r="F57">
        <v>19049</v>
      </c>
      <c r="G57">
        <v>20900</v>
      </c>
      <c r="H57">
        <v>23208</v>
      </c>
      <c r="I57">
        <v>26196</v>
      </c>
      <c r="J57">
        <v>27970</v>
      </c>
      <c r="K57">
        <v>30256</v>
      </c>
      <c r="L57">
        <v>32015</v>
      </c>
      <c r="M57">
        <v>32107</v>
      </c>
      <c r="N57">
        <v>32973</v>
      </c>
      <c r="O57">
        <v>34597</v>
      </c>
      <c r="P57">
        <v>36485</v>
      </c>
      <c r="Q57">
        <v>38255</v>
      </c>
      <c r="R57">
        <v>43411</v>
      </c>
      <c r="S57">
        <v>45550</v>
      </c>
      <c r="T57">
        <v>41859</v>
      </c>
      <c r="U57">
        <v>42681</v>
      </c>
      <c r="V57">
        <v>43579</v>
      </c>
      <c r="W57">
        <v>44653</v>
      </c>
      <c r="X57">
        <v>44257</v>
      </c>
      <c r="Y57">
        <v>44143</v>
      </c>
      <c r="Z57">
        <v>44633</v>
      </c>
      <c r="AA57">
        <v>48909</v>
      </c>
      <c r="AB57">
        <v>51829</v>
      </c>
      <c r="AC57">
        <v>54761</v>
      </c>
      <c r="AD57">
        <v>55376</v>
      </c>
      <c r="AE57">
        <v>56573</v>
      </c>
    </row>
    <row r="58" spans="1:31" x14ac:dyDescent="0.3">
      <c r="A58" t="s">
        <v>258</v>
      </c>
      <c r="B58" t="s">
        <v>234</v>
      </c>
      <c r="C58" t="s">
        <v>0</v>
      </c>
      <c r="D58" t="s">
        <v>235</v>
      </c>
      <c r="E58" t="s">
        <v>123</v>
      </c>
      <c r="F58">
        <v>19049</v>
      </c>
      <c r="G58">
        <v>20900</v>
      </c>
      <c r="H58">
        <v>23208</v>
      </c>
      <c r="I58">
        <v>26196</v>
      </c>
      <c r="J58">
        <v>27970</v>
      </c>
      <c r="K58">
        <v>30256</v>
      </c>
      <c r="L58">
        <v>32015</v>
      </c>
      <c r="M58">
        <v>32107</v>
      </c>
      <c r="N58">
        <v>32973</v>
      </c>
      <c r="O58">
        <v>34597</v>
      </c>
      <c r="P58">
        <v>36485</v>
      </c>
      <c r="Q58">
        <v>38255</v>
      </c>
      <c r="R58">
        <v>43411</v>
      </c>
      <c r="S58">
        <v>45550</v>
      </c>
      <c r="T58">
        <v>41859</v>
      </c>
      <c r="U58">
        <v>42681</v>
      </c>
      <c r="V58">
        <v>43579</v>
      </c>
      <c r="W58">
        <v>44653</v>
      </c>
      <c r="X58">
        <v>44257</v>
      </c>
      <c r="Y58">
        <v>44143</v>
      </c>
      <c r="Z58">
        <v>44633</v>
      </c>
      <c r="AA58">
        <v>48909</v>
      </c>
      <c r="AB58">
        <v>51829</v>
      </c>
      <c r="AC58">
        <v>54761</v>
      </c>
      <c r="AD58">
        <v>55376</v>
      </c>
      <c r="AE58">
        <v>56573</v>
      </c>
    </row>
    <row r="59" spans="1:31" x14ac:dyDescent="0.3">
      <c r="A59" t="s">
        <v>258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259</v>
      </c>
      <c r="B2" t="s">
        <v>121</v>
      </c>
      <c r="C2" t="s">
        <v>0</v>
      </c>
      <c r="D2" t="s">
        <v>122</v>
      </c>
      <c r="E2" t="s">
        <v>123</v>
      </c>
      <c r="F2">
        <v>394.19214987647899</v>
      </c>
      <c r="G2">
        <v>321.193603603057</v>
      </c>
      <c r="H2">
        <v>263.83760295965402</v>
      </c>
      <c r="I2">
        <v>218.608299595142</v>
      </c>
      <c r="J2">
        <v>180.03036437246999</v>
      </c>
      <c r="K2">
        <v>155.480769230769</v>
      </c>
      <c r="L2">
        <v>138.20512820512801</v>
      </c>
      <c r="M2">
        <v>125.641025641026</v>
      </c>
      <c r="N2">
        <v>107.69230769230801</v>
      </c>
      <c r="O2">
        <v>107.69230769230801</v>
      </c>
      <c r="P2">
        <v>107.69230769230801</v>
      </c>
      <c r="Q2">
        <v>107.69230769230801</v>
      </c>
      <c r="R2">
        <v>107.69230769230801</v>
      </c>
      <c r="S2">
        <v>107.69230769230801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</row>
    <row r="3" spans="1:31" x14ac:dyDescent="0.3">
      <c r="A3" t="s">
        <v>259</v>
      </c>
      <c r="B3" t="s">
        <v>124</v>
      </c>
      <c r="C3" t="s">
        <v>0</v>
      </c>
      <c r="D3" t="s">
        <v>125</v>
      </c>
      <c r="E3" t="s">
        <v>123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>
        <v>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</row>
    <row r="4" spans="1:31" x14ac:dyDescent="0.3">
      <c r="A4" t="s">
        <v>259</v>
      </c>
      <c r="B4" t="s">
        <v>126</v>
      </c>
      <c r="C4" t="s">
        <v>0</v>
      </c>
      <c r="D4" t="s">
        <v>127</v>
      </c>
      <c r="E4" t="s">
        <v>123</v>
      </c>
      <c r="F4">
        <v>584.876301759787</v>
      </c>
      <c r="G4">
        <v>493.41416403603398</v>
      </c>
      <c r="H4">
        <v>429.74782028944901</v>
      </c>
      <c r="I4">
        <v>362.43792072604202</v>
      </c>
      <c r="J4">
        <v>306.547960987914</v>
      </c>
      <c r="K4">
        <v>268.47991354496997</v>
      </c>
      <c r="L4">
        <v>234.534177349629</v>
      </c>
      <c r="M4">
        <v>204.46569307403601</v>
      </c>
      <c r="N4">
        <v>178.31310442503101</v>
      </c>
      <c r="O4">
        <v>166.80903317180301</v>
      </c>
      <c r="P4">
        <v>151.981563556532</v>
      </c>
      <c r="Q4">
        <v>146.70442593304099</v>
      </c>
      <c r="R4">
        <v>138.81709120545801</v>
      </c>
      <c r="S4">
        <v>131.565452112636</v>
      </c>
      <c r="T4">
        <v>112.497995284718</v>
      </c>
      <c r="U4">
        <v>106.983387672722</v>
      </c>
      <c r="V4">
        <v>103.708386009271</v>
      </c>
      <c r="W4">
        <v>101.769911504425</v>
      </c>
      <c r="X4">
        <v>101.769911504425</v>
      </c>
      <c r="Y4">
        <v>101.769911504425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</row>
    <row r="5" spans="1:31" x14ac:dyDescent="0.3">
      <c r="A5" t="s">
        <v>259</v>
      </c>
      <c r="B5" t="s">
        <v>128</v>
      </c>
      <c r="C5" t="s">
        <v>0</v>
      </c>
      <c r="D5" t="s">
        <v>129</v>
      </c>
      <c r="E5" t="s">
        <v>123</v>
      </c>
      <c r="F5">
        <v>402.696793002915</v>
      </c>
      <c r="G5">
        <v>338.26530612244898</v>
      </c>
      <c r="H5">
        <v>298.46938775510199</v>
      </c>
      <c r="I5">
        <v>238.775510204082</v>
      </c>
      <c r="J5">
        <v>192.857142857143</v>
      </c>
      <c r="K5">
        <v>168.75</v>
      </c>
      <c r="L5">
        <v>150</v>
      </c>
      <c r="M5">
        <v>125</v>
      </c>
      <c r="N5">
        <v>125</v>
      </c>
      <c r="O5">
        <v>125</v>
      </c>
      <c r="P5">
        <v>125</v>
      </c>
      <c r="Q5">
        <v>125</v>
      </c>
      <c r="R5">
        <v>125</v>
      </c>
      <c r="S5">
        <v>125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</row>
    <row r="6" spans="1:31" x14ac:dyDescent="0.3">
      <c r="A6" t="s">
        <v>259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259</v>
      </c>
      <c r="B7" t="s">
        <v>132</v>
      </c>
      <c r="C7" t="s">
        <v>0</v>
      </c>
      <c r="D7" t="s">
        <v>133</v>
      </c>
      <c r="E7" t="s">
        <v>123</v>
      </c>
      <c r="F7">
        <v>862.14340653380202</v>
      </c>
      <c r="G7">
        <v>708.18922679562297</v>
      </c>
      <c r="H7">
        <v>600.16036169120605</v>
      </c>
      <c r="I7">
        <v>500.13363474267197</v>
      </c>
      <c r="J7">
        <v>419.22966441665102</v>
      </c>
      <c r="K7">
        <v>355.43384591846501</v>
      </c>
      <c r="L7">
        <v>301.58023290051602</v>
      </c>
      <c r="M7">
        <v>260.455655686809</v>
      </c>
      <c r="N7">
        <v>218.44667896313001</v>
      </c>
      <c r="O7">
        <v>198.58788996648201</v>
      </c>
      <c r="P7">
        <v>173.76440372067199</v>
      </c>
      <c r="Q7">
        <v>162.90412848813</v>
      </c>
      <c r="R7">
        <v>152.043853255588</v>
      </c>
      <c r="S7">
        <v>137.32993197278901</v>
      </c>
      <c r="T7">
        <v>113.095238095238</v>
      </c>
      <c r="U7">
        <v>105.555555555556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102.631578947368</v>
      </c>
      <c r="AC7">
        <v>102.631578947368</v>
      </c>
      <c r="AD7">
        <v>102.631578947368</v>
      </c>
      <c r="AE7">
        <v>102.631578947368</v>
      </c>
    </row>
    <row r="8" spans="1:31" x14ac:dyDescent="0.3">
      <c r="A8" t="s">
        <v>259</v>
      </c>
      <c r="B8" t="s">
        <v>134</v>
      </c>
      <c r="C8" t="s">
        <v>0</v>
      </c>
      <c r="D8" t="s">
        <v>135</v>
      </c>
      <c r="E8" t="s">
        <v>123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>
        <v>0</v>
      </c>
      <c r="N8">
        <v>233.54779411764699</v>
      </c>
      <c r="O8">
        <v>233.54779411764699</v>
      </c>
      <c r="P8">
        <v>200.183823529412</v>
      </c>
      <c r="Q8">
        <v>180.16544117647101</v>
      </c>
      <c r="R8">
        <v>163.78676470588201</v>
      </c>
      <c r="S8">
        <v>145.58823529411799</v>
      </c>
      <c r="T8">
        <v>116.470588235294</v>
      </c>
      <c r="U8">
        <v>105.88235294117599</v>
      </c>
      <c r="V8">
        <v>105.88235294117599</v>
      </c>
      <c r="W8">
        <v>105.88235294117599</v>
      </c>
      <c r="X8">
        <v>105.88235294117599</v>
      </c>
      <c r="Y8">
        <v>105.88235294117599</v>
      </c>
      <c r="Z8">
        <v>100</v>
      </c>
      <c r="AA8">
        <v>100</v>
      </c>
      <c r="AB8">
        <v>102.941176470588</v>
      </c>
      <c r="AC8">
        <v>102.941176470588</v>
      </c>
      <c r="AD8">
        <v>102.941176470588</v>
      </c>
      <c r="AE8">
        <v>102.941176470588</v>
      </c>
    </row>
    <row r="9" spans="1:31" x14ac:dyDescent="0.3">
      <c r="A9" t="s">
        <v>259</v>
      </c>
      <c r="B9" t="s">
        <v>136</v>
      </c>
      <c r="C9" t="s">
        <v>0</v>
      </c>
      <c r="D9" t="s">
        <v>137</v>
      </c>
      <c r="E9" t="s">
        <v>123</v>
      </c>
      <c r="F9">
        <v>828.60521048553801</v>
      </c>
      <c r="G9">
        <v>736.53796487603302</v>
      </c>
      <c r="H9">
        <v>623.22443181818198</v>
      </c>
      <c r="I9">
        <v>527.34375</v>
      </c>
      <c r="J9">
        <v>421.875</v>
      </c>
      <c r="K9">
        <v>361.607142857143</v>
      </c>
      <c r="L9">
        <v>289.28571428571399</v>
      </c>
      <c r="M9">
        <v>241.07142857142901</v>
      </c>
      <c r="N9">
        <v>192.857142857143</v>
      </c>
      <c r="O9">
        <v>165.30612244898001</v>
      </c>
      <c r="P9">
        <v>137.75510204081601</v>
      </c>
      <c r="Q9">
        <v>137.75510204081601</v>
      </c>
      <c r="R9">
        <v>128.57142857142901</v>
      </c>
      <c r="S9">
        <v>112.5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</row>
    <row r="10" spans="1:31" x14ac:dyDescent="0.3">
      <c r="A10" t="s">
        <v>259</v>
      </c>
      <c r="B10" t="s">
        <v>138</v>
      </c>
      <c r="C10" t="s">
        <v>0</v>
      </c>
      <c r="D10" t="s">
        <v>139</v>
      </c>
      <c r="E10" t="s">
        <v>123</v>
      </c>
      <c r="F10">
        <v>723.85776089479805</v>
      </c>
      <c r="G10">
        <v>651.47198480531802</v>
      </c>
      <c r="H10">
        <v>558.404558404559</v>
      </c>
      <c r="I10">
        <v>478.63247863247898</v>
      </c>
      <c r="J10">
        <v>388.88888888888903</v>
      </c>
      <c r="K10">
        <v>340.277777777778</v>
      </c>
      <c r="L10">
        <v>272.222222222222</v>
      </c>
      <c r="M10">
        <v>233.333333333333</v>
      </c>
      <c r="N10">
        <v>186.666666666667</v>
      </c>
      <c r="O10">
        <v>160</v>
      </c>
      <c r="P10">
        <v>133.333333333333</v>
      </c>
      <c r="Q10">
        <v>133.333333333333</v>
      </c>
      <c r="R10">
        <v>125</v>
      </c>
      <c r="S10">
        <v>111.111111111111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">
      <c r="A11" t="s">
        <v>259</v>
      </c>
      <c r="B11" t="s">
        <v>140</v>
      </c>
      <c r="C11" t="s">
        <v>0</v>
      </c>
      <c r="D11" t="s">
        <v>141</v>
      </c>
      <c r="E11" t="s">
        <v>123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>
        <v>0</v>
      </c>
      <c r="M11" t="e">
        <v>#NUM!</v>
      </c>
      <c r="N11">
        <v>0</v>
      </c>
      <c r="O11">
        <v>0</v>
      </c>
      <c r="P11">
        <v>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</row>
    <row r="12" spans="1:31" x14ac:dyDescent="0.3">
      <c r="A12" t="s">
        <v>259</v>
      </c>
      <c r="B12" t="s">
        <v>142</v>
      </c>
      <c r="C12" t="s">
        <v>0</v>
      </c>
      <c r="D12" t="s">
        <v>143</v>
      </c>
      <c r="E12" t="s">
        <v>123</v>
      </c>
      <c r="F12">
        <v>271.14116652578201</v>
      </c>
      <c r="G12">
        <v>225.95097210481799</v>
      </c>
      <c r="H12">
        <v>205.409974640744</v>
      </c>
      <c r="I12">
        <v>182.58664412510601</v>
      </c>
      <c r="J12">
        <v>162.299239222316</v>
      </c>
      <c r="K12">
        <v>140.65934065934101</v>
      </c>
      <c r="L12">
        <v>140.65934065934101</v>
      </c>
      <c r="M12">
        <v>140.65934065934101</v>
      </c>
      <c r="N12">
        <v>123.07692307692299</v>
      </c>
      <c r="O12">
        <v>123.07692307692299</v>
      </c>
      <c r="P12">
        <v>123.07692307692299</v>
      </c>
      <c r="Q12">
        <v>123.07692307692299</v>
      </c>
      <c r="R12">
        <v>115.384615384615</v>
      </c>
      <c r="S12">
        <v>115.384615384615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</row>
    <row r="13" spans="1:31" x14ac:dyDescent="0.3">
      <c r="A13" t="s">
        <v>259</v>
      </c>
      <c r="B13" t="s">
        <v>144</v>
      </c>
      <c r="C13" t="s">
        <v>0</v>
      </c>
      <c r="D13" t="s">
        <v>145</v>
      </c>
      <c r="E13" t="s">
        <v>123</v>
      </c>
      <c r="F13">
        <v>564.01353288726</v>
      </c>
      <c r="G13">
        <v>497.65899960640598</v>
      </c>
      <c r="H13">
        <v>428.53969410551599</v>
      </c>
      <c r="I13">
        <v>365.82656813885501</v>
      </c>
      <c r="J13">
        <v>321.92737996219302</v>
      </c>
      <c r="K13">
        <v>284.78191304347803</v>
      </c>
      <c r="L13">
        <v>237.31826086956499</v>
      </c>
      <c r="M13">
        <v>199.846956521739</v>
      </c>
      <c r="N13">
        <v>166.539130434783</v>
      </c>
      <c r="O13">
        <v>154.202898550725</v>
      </c>
      <c r="P13">
        <v>132.173913043478</v>
      </c>
      <c r="Q13">
        <v>132.173913043478</v>
      </c>
      <c r="R13">
        <v>126.666666666667</v>
      </c>
      <c r="S13">
        <v>126.666666666667</v>
      </c>
      <c r="T13">
        <v>109.777777777778</v>
      </c>
      <c r="U13">
        <v>104</v>
      </c>
      <c r="V13">
        <v>104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</row>
    <row r="14" spans="1:31" x14ac:dyDescent="0.3">
      <c r="A14" t="s">
        <v>259</v>
      </c>
      <c r="B14" t="s">
        <v>146</v>
      </c>
      <c r="C14" t="s">
        <v>0</v>
      </c>
      <c r="D14" t="s">
        <v>147</v>
      </c>
      <c r="E14" t="s">
        <v>123</v>
      </c>
      <c r="F14">
        <v>871.09676000693401</v>
      </c>
      <c r="G14">
        <v>725.91396667244499</v>
      </c>
      <c r="H14">
        <v>665.42113611640798</v>
      </c>
      <c r="I14">
        <v>565.60796569894705</v>
      </c>
      <c r="J14">
        <v>460.86574982877198</v>
      </c>
      <c r="K14">
        <v>391.735887354456</v>
      </c>
      <c r="L14">
        <v>352.56229861900999</v>
      </c>
      <c r="M14">
        <v>293.80191551584198</v>
      </c>
      <c r="N14">
        <v>244.83492959653501</v>
      </c>
      <c r="O14">
        <v>214.23056339696799</v>
      </c>
      <c r="P14">
        <v>190.42716746397201</v>
      </c>
      <c r="Q14">
        <v>179.84788038264</v>
      </c>
      <c r="R14">
        <v>168.60738785872499</v>
      </c>
      <c r="S14">
        <v>155.11879683002701</v>
      </c>
      <c r="T14">
        <v>131.850977305523</v>
      </c>
      <c r="U14">
        <v>120.38567493113</v>
      </c>
      <c r="V14">
        <v>110.35353535353499</v>
      </c>
      <c r="W14">
        <v>104.545454545455</v>
      </c>
      <c r="X14">
        <v>104.545454545455</v>
      </c>
      <c r="Y14">
        <v>104.545454545455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</row>
    <row r="15" spans="1:31" x14ac:dyDescent="0.3">
      <c r="A15" t="s">
        <v>259</v>
      </c>
      <c r="B15" t="s">
        <v>148</v>
      </c>
      <c r="C15" t="s">
        <v>0</v>
      </c>
      <c r="D15" t="s">
        <v>149</v>
      </c>
      <c r="E15" t="s">
        <v>123</v>
      </c>
      <c r="F15">
        <v>737.87616707616701</v>
      </c>
      <c r="G15">
        <v>614.89680589680597</v>
      </c>
      <c r="H15">
        <v>542.55600520306405</v>
      </c>
      <c r="I15">
        <v>459.08585055643903</v>
      </c>
      <c r="J15">
        <v>385.03974562798101</v>
      </c>
      <c r="K15">
        <v>334.81717011128802</v>
      </c>
      <c r="L15">
        <v>306.91573926868102</v>
      </c>
      <c r="M15">
        <v>255.76311605723399</v>
      </c>
      <c r="N15">
        <v>223.79272655008</v>
      </c>
      <c r="O15">
        <v>198.926868044515</v>
      </c>
      <c r="P15">
        <v>180.842607313196</v>
      </c>
      <c r="Q15">
        <v>171.56862745097999</v>
      </c>
      <c r="R15">
        <v>162.03703703703701</v>
      </c>
      <c r="S15">
        <v>150.46296296296299</v>
      </c>
      <c r="T15">
        <v>127.31481481481499</v>
      </c>
      <c r="U15">
        <v>117.52136752136801</v>
      </c>
      <c r="V15">
        <v>109.126984126984</v>
      </c>
      <c r="W15">
        <v>104.166666666667</v>
      </c>
      <c r="X15">
        <v>104.166666666667</v>
      </c>
      <c r="Y15">
        <v>104.166666666667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</row>
    <row r="16" spans="1:31" x14ac:dyDescent="0.3">
      <c r="A16" t="s">
        <v>259</v>
      </c>
      <c r="B16" t="s">
        <v>150</v>
      </c>
      <c r="C16" t="s">
        <v>0</v>
      </c>
      <c r="D16" t="s">
        <v>151</v>
      </c>
      <c r="E16" t="s">
        <v>123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>
        <v>0</v>
      </c>
      <c r="N16">
        <v>120</v>
      </c>
      <c r="O16">
        <v>120</v>
      </c>
      <c r="P16">
        <v>120</v>
      </c>
      <c r="Q16">
        <v>120</v>
      </c>
      <c r="R16">
        <v>120</v>
      </c>
      <c r="S16">
        <v>120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</row>
    <row r="17" spans="1:31" x14ac:dyDescent="0.3">
      <c r="A17" t="s">
        <v>259</v>
      </c>
      <c r="B17" t="s">
        <v>152</v>
      </c>
      <c r="C17" t="s">
        <v>0</v>
      </c>
      <c r="D17" t="s">
        <v>153</v>
      </c>
      <c r="E17" t="s">
        <v>123</v>
      </c>
      <c r="F17">
        <v>254.69181024736599</v>
      </c>
      <c r="G17">
        <v>206.93709582598501</v>
      </c>
      <c r="H17">
        <v>186.243386243386</v>
      </c>
      <c r="I17">
        <v>169.312169312169</v>
      </c>
      <c r="J17">
        <v>152.38095238095201</v>
      </c>
      <c r="K17">
        <v>133.333333333333</v>
      </c>
      <c r="L17">
        <v>133.333333333333</v>
      </c>
      <c r="M17">
        <v>133.333333333333</v>
      </c>
      <c r="N17">
        <v>111.111111111111</v>
      </c>
      <c r="O17">
        <v>111.111111111111</v>
      </c>
      <c r="P17">
        <v>111.111111111111</v>
      </c>
      <c r="Q17">
        <v>111.111111111111</v>
      </c>
      <c r="R17">
        <v>111.111111111111</v>
      </c>
      <c r="S17">
        <v>111.111111111111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</row>
    <row r="18" spans="1:31" x14ac:dyDescent="0.3">
      <c r="A18" t="s">
        <v>259</v>
      </c>
      <c r="B18" t="s">
        <v>154</v>
      </c>
      <c r="C18" t="s">
        <v>0</v>
      </c>
      <c r="D18" t="s">
        <v>155</v>
      </c>
      <c r="E18" t="s">
        <v>123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259</v>
      </c>
      <c r="B19" t="s">
        <v>156</v>
      </c>
      <c r="C19" t="s">
        <v>0</v>
      </c>
      <c r="D19" t="s">
        <v>157</v>
      </c>
      <c r="E19" t="s">
        <v>123</v>
      </c>
      <c r="F19">
        <v>225</v>
      </c>
      <c r="G19">
        <v>192.857142857143</v>
      </c>
      <c r="H19">
        <v>165.30612244898001</v>
      </c>
      <c r="I19">
        <v>128.57142857142901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</row>
    <row r="20" spans="1:31" x14ac:dyDescent="0.3">
      <c r="A20" t="s">
        <v>259</v>
      </c>
      <c r="B20" t="s">
        <v>158</v>
      </c>
      <c r="C20" t="s">
        <v>0</v>
      </c>
      <c r="D20" t="s">
        <v>159</v>
      </c>
      <c r="E20" t="s">
        <v>123</v>
      </c>
      <c r="F20">
        <v>793.036498915165</v>
      </c>
      <c r="G20">
        <v>660.86374909596998</v>
      </c>
      <c r="H20">
        <v>563.67790364068105</v>
      </c>
      <c r="I20">
        <v>476.95822615749898</v>
      </c>
      <c r="J20">
        <v>400.64490997229899</v>
      </c>
      <c r="K20">
        <v>352.567520775623</v>
      </c>
      <c r="L20">
        <v>317.310768698061</v>
      </c>
      <c r="M20">
        <v>277.64692261080302</v>
      </c>
      <c r="N20">
        <v>237.983076523546</v>
      </c>
      <c r="O20">
        <v>216.348251385042</v>
      </c>
      <c r="P20">
        <v>195.743656015038</v>
      </c>
      <c r="Q20">
        <v>182.69407894736801</v>
      </c>
      <c r="R20">
        <v>171.947368421053</v>
      </c>
      <c r="S20">
        <v>156.31578947368399</v>
      </c>
      <c r="T20">
        <v>135</v>
      </c>
      <c r="U20">
        <v>123.75</v>
      </c>
      <c r="V20">
        <v>112.5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</row>
    <row r="21" spans="1:31" x14ac:dyDescent="0.3">
      <c r="A21" t="s">
        <v>259</v>
      </c>
      <c r="B21" t="s">
        <v>160</v>
      </c>
      <c r="C21" t="s">
        <v>0</v>
      </c>
      <c r="D21" t="s">
        <v>161</v>
      </c>
      <c r="E21" t="s">
        <v>123</v>
      </c>
      <c r="F21">
        <v>671.881205214538</v>
      </c>
      <c r="G21">
        <v>566.89976689976595</v>
      </c>
      <c r="H21">
        <v>485.91408591408498</v>
      </c>
      <c r="I21">
        <v>413.92681392681402</v>
      </c>
      <c r="J21">
        <v>350.24576563038102</v>
      </c>
      <c r="K21">
        <v>311.32956944922699</v>
      </c>
      <c r="L21">
        <v>280.19661250430499</v>
      </c>
      <c r="M21">
        <v>245.17203594126701</v>
      </c>
      <c r="N21">
        <v>212.48243114909801</v>
      </c>
      <c r="O21">
        <v>193.16584649917999</v>
      </c>
      <c r="P21">
        <v>176.368816368816</v>
      </c>
      <c r="Q21">
        <v>165.34576534576499</v>
      </c>
      <c r="R21">
        <v>156.64335664335701</v>
      </c>
      <c r="S21">
        <v>143.58974358974399</v>
      </c>
      <c r="T21">
        <v>125.641025641026</v>
      </c>
      <c r="U21">
        <v>116.666666666667</v>
      </c>
      <c r="V21">
        <v>108.333333333333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</row>
    <row r="22" spans="1:31" x14ac:dyDescent="0.3">
      <c r="A22" t="s">
        <v>259</v>
      </c>
      <c r="B22" t="s">
        <v>162</v>
      </c>
      <c r="C22" t="s">
        <v>0</v>
      </c>
      <c r="D22" t="s">
        <v>163</v>
      </c>
      <c r="E22" t="s">
        <v>123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>
        <v>0</v>
      </c>
      <c r="M22">
        <v>0</v>
      </c>
      <c r="N22" t="e">
        <v>#NUM!</v>
      </c>
      <c r="O22">
        <v>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</row>
    <row r="23" spans="1:31" x14ac:dyDescent="0.3">
      <c r="A23" t="s">
        <v>259</v>
      </c>
      <c r="B23" t="s">
        <v>164</v>
      </c>
      <c r="C23" t="s">
        <v>0</v>
      </c>
      <c r="D23" t="s">
        <v>165</v>
      </c>
      <c r="E23" t="s">
        <v>123</v>
      </c>
      <c r="F23">
        <v>622.45446860831498</v>
      </c>
      <c r="G23">
        <v>577.99343513629196</v>
      </c>
      <c r="H23">
        <v>500.92764378478699</v>
      </c>
      <c r="I23">
        <v>407.003710575139</v>
      </c>
      <c r="J23">
        <v>339.16975881261601</v>
      </c>
      <c r="K23">
        <v>288.29429499072398</v>
      </c>
      <c r="L23">
        <v>252.257508116883</v>
      </c>
      <c r="M23">
        <v>224.22889610389601</v>
      </c>
      <c r="N23">
        <v>189.732142857143</v>
      </c>
      <c r="O23">
        <v>177.083333333333</v>
      </c>
      <c r="P23">
        <v>156.25</v>
      </c>
      <c r="Q23">
        <v>156.25</v>
      </c>
      <c r="R23">
        <v>144.230769230769</v>
      </c>
      <c r="S23">
        <v>125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</row>
    <row r="24" spans="1:31" x14ac:dyDescent="0.3">
      <c r="A24" t="s">
        <v>259</v>
      </c>
      <c r="B24" t="s">
        <v>166</v>
      </c>
      <c r="C24" t="s">
        <v>0</v>
      </c>
      <c r="D24" t="s">
        <v>167</v>
      </c>
      <c r="E24" t="s">
        <v>123</v>
      </c>
      <c r="F24">
        <v>963.24836932821802</v>
      </c>
      <c r="G24">
        <v>825.64145942418702</v>
      </c>
      <c r="H24">
        <v>701.79524051055898</v>
      </c>
      <c r="I24">
        <v>581.75131779164701</v>
      </c>
      <c r="J24">
        <v>482.24122395886599</v>
      </c>
      <c r="K24">
        <v>414.72745260462398</v>
      </c>
      <c r="L24">
        <v>358.17370906763</v>
      </c>
      <c r="M24">
        <v>313.401995434176</v>
      </c>
      <c r="N24">
        <v>271.61506270962002</v>
      </c>
      <c r="O24">
        <v>243.516952774142</v>
      </c>
      <c r="P24">
        <v>218.325543866472</v>
      </c>
      <c r="Q24">
        <v>200.85950035715399</v>
      </c>
      <c r="R24">
        <v>183.13660326681699</v>
      </c>
      <c r="S24">
        <v>165.52731449116101</v>
      </c>
      <c r="T24">
        <v>137.93942874263499</v>
      </c>
      <c r="U24">
        <v>126.116049136123</v>
      </c>
      <c r="V24">
        <v>118.472652218782</v>
      </c>
      <c r="W24">
        <v>112.69349845201199</v>
      </c>
      <c r="X24">
        <v>105.650154798762</v>
      </c>
      <c r="Y24">
        <v>102.941176470588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</row>
    <row r="25" spans="1:31" x14ac:dyDescent="0.3">
      <c r="A25" t="s">
        <v>259</v>
      </c>
      <c r="B25" t="s">
        <v>168</v>
      </c>
      <c r="C25" t="s">
        <v>0</v>
      </c>
      <c r="D25" t="s">
        <v>169</v>
      </c>
      <c r="E25" t="s">
        <v>123</v>
      </c>
      <c r="F25">
        <v>439.453125</v>
      </c>
      <c r="G25">
        <v>351.5625</v>
      </c>
      <c r="H25">
        <v>301.33928571428601</v>
      </c>
      <c r="I25">
        <v>241.07142857142901</v>
      </c>
      <c r="J25">
        <v>187.5</v>
      </c>
      <c r="K25">
        <v>150</v>
      </c>
      <c r="L25">
        <v>150</v>
      </c>
      <c r="M25">
        <v>150</v>
      </c>
      <c r="N25">
        <v>150</v>
      </c>
      <c r="O25">
        <v>150</v>
      </c>
      <c r="P25">
        <v>150</v>
      </c>
      <c r="Q25">
        <v>150</v>
      </c>
      <c r="R25">
        <v>150</v>
      </c>
      <c r="S25">
        <v>133.333333333333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</row>
    <row r="26" spans="1:31" x14ac:dyDescent="0.3">
      <c r="A26" t="s">
        <v>259</v>
      </c>
      <c r="B26" t="s">
        <v>170</v>
      </c>
      <c r="C26" t="s">
        <v>0</v>
      </c>
      <c r="D26" t="s">
        <v>171</v>
      </c>
      <c r="E26" t="s">
        <v>123</v>
      </c>
      <c r="F26">
        <v>1138.9286392583499</v>
      </c>
      <c r="G26">
        <v>981.83503384340497</v>
      </c>
      <c r="H26">
        <v>826.80844955234102</v>
      </c>
      <c r="I26">
        <v>692.21172520661196</v>
      </c>
      <c r="J26">
        <v>574.02923553718995</v>
      </c>
      <c r="K26">
        <v>494.85278925619798</v>
      </c>
      <c r="L26">
        <v>418.72159090909099</v>
      </c>
      <c r="M26">
        <v>358.90422077922102</v>
      </c>
      <c r="N26">
        <v>314.04119318181802</v>
      </c>
      <c r="O26">
        <v>274.78604403409099</v>
      </c>
      <c r="P26">
        <v>242.458274147727</v>
      </c>
      <c r="Q26">
        <v>222.25341796875</v>
      </c>
      <c r="R26">
        <v>200.028076171875</v>
      </c>
      <c r="S26">
        <v>178.59649658203099</v>
      </c>
      <c r="T26">
        <v>150.397049753289</v>
      </c>
      <c r="U26">
        <v>133.68626644736801</v>
      </c>
      <c r="V26">
        <v>125.822368421053</v>
      </c>
      <c r="W26">
        <v>119.83082706766901</v>
      </c>
      <c r="X26">
        <v>111.842105263158</v>
      </c>
      <c r="Y26">
        <v>106.25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100</v>
      </c>
    </row>
    <row r="27" spans="1:31" x14ac:dyDescent="0.3">
      <c r="A27" t="s">
        <v>259</v>
      </c>
      <c r="B27" t="s">
        <v>172</v>
      </c>
      <c r="C27" t="s">
        <v>0</v>
      </c>
      <c r="D27" t="s">
        <v>173</v>
      </c>
      <c r="E27" t="s">
        <v>123</v>
      </c>
      <c r="F27">
        <v>906.15488614618596</v>
      </c>
      <c r="G27">
        <v>785.33423466002796</v>
      </c>
      <c r="H27">
        <v>680.62300337202396</v>
      </c>
      <c r="I27">
        <v>562.25378539428095</v>
      </c>
      <c r="J27">
        <v>475.75320302593002</v>
      </c>
      <c r="K27">
        <v>416.28405264768901</v>
      </c>
      <c r="L27">
        <v>356.814902269448</v>
      </c>
      <c r="M27">
        <v>312.21303948576701</v>
      </c>
      <c r="N27">
        <v>260.17753290480601</v>
      </c>
      <c r="O27">
        <v>234.159779614325</v>
      </c>
      <c r="P27">
        <v>210.74380165289199</v>
      </c>
      <c r="Q27">
        <v>189.66942148760299</v>
      </c>
      <c r="R27">
        <v>173.863636363636</v>
      </c>
      <c r="S27">
        <v>162.272727272727</v>
      </c>
      <c r="T27">
        <v>137.30769230769201</v>
      </c>
      <c r="U27">
        <v>125.865384615385</v>
      </c>
      <c r="V27">
        <v>114.42307692307701</v>
      </c>
      <c r="W27">
        <v>107.69230769230801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</row>
    <row r="28" spans="1:31" x14ac:dyDescent="0.3">
      <c r="A28" t="s">
        <v>259</v>
      </c>
      <c r="B28" t="s">
        <v>174</v>
      </c>
      <c r="C28" t="s">
        <v>0</v>
      </c>
      <c r="D28" t="s">
        <v>175</v>
      </c>
      <c r="E28" t="s">
        <v>123</v>
      </c>
      <c r="F28">
        <v>618.88297058823605</v>
      </c>
      <c r="G28">
        <v>521.16460681114597</v>
      </c>
      <c r="H28">
        <v>400.89585139318899</v>
      </c>
      <c r="I28">
        <v>346.22823529411801</v>
      </c>
      <c r="J28">
        <v>280.27999999999997</v>
      </c>
      <c r="K28">
        <v>233.566666666667</v>
      </c>
      <c r="L28">
        <v>233.566666666667</v>
      </c>
      <c r="M28">
        <v>233.566666666667</v>
      </c>
      <c r="N28">
        <v>194.638888888889</v>
      </c>
      <c r="O28">
        <v>162.19907407407399</v>
      </c>
      <c r="P28">
        <v>139.027777777778</v>
      </c>
      <c r="Q28">
        <v>139.027777777778</v>
      </c>
      <c r="R28">
        <v>126.388888888889</v>
      </c>
      <c r="S28">
        <v>116.666666666667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</row>
    <row r="29" spans="1:31" x14ac:dyDescent="0.3">
      <c r="A29" t="s">
        <v>259</v>
      </c>
      <c r="B29" t="s">
        <v>176</v>
      </c>
      <c r="C29" t="s">
        <v>0</v>
      </c>
      <c r="D29" t="s">
        <v>177</v>
      </c>
      <c r="E29" t="s">
        <v>123</v>
      </c>
      <c r="F29" t="e">
        <v>#NUM!</v>
      </c>
      <c r="G29" t="e">
        <v>#NUM!</v>
      </c>
      <c r="H29">
        <v>0</v>
      </c>
      <c r="I29" t="e">
        <v>#NUM!</v>
      </c>
      <c r="J29" t="e">
        <v>#NUM!</v>
      </c>
      <c r="K29">
        <v>0</v>
      </c>
      <c r="L29">
        <v>0</v>
      </c>
      <c r="M29">
        <v>0</v>
      </c>
      <c r="N29">
        <v>0</v>
      </c>
      <c r="O29">
        <v>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</row>
    <row r="30" spans="1:31" x14ac:dyDescent="0.3">
      <c r="A30" t="s">
        <v>259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 x14ac:dyDescent="0.3">
      <c r="A31" t="s">
        <v>259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>
        <v>0</v>
      </c>
      <c r="H31">
        <v>0</v>
      </c>
      <c r="I31" t="e">
        <v>#NUM!</v>
      </c>
      <c r="J31" t="e">
        <v>#NUM!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e">
        <v>#NUM!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259</v>
      </c>
      <c r="B32" t="s">
        <v>182</v>
      </c>
      <c r="C32" t="s">
        <v>0</v>
      </c>
      <c r="D32" t="s">
        <v>183</v>
      </c>
      <c r="E32" t="s">
        <v>123</v>
      </c>
      <c r="F32">
        <v>814.00742115027799</v>
      </c>
      <c r="G32">
        <v>688.775510204081</v>
      </c>
      <c r="H32">
        <v>535.71428571428601</v>
      </c>
      <c r="I32">
        <v>446.42857142857099</v>
      </c>
      <c r="J32">
        <v>357.142857142857</v>
      </c>
      <c r="K32">
        <v>306.12244897959198</v>
      </c>
      <c r="L32">
        <v>306.12244897959198</v>
      </c>
      <c r="M32">
        <v>306.12244897959198</v>
      </c>
      <c r="N32">
        <v>244.89795918367301</v>
      </c>
      <c r="O32">
        <v>204.08163265306101</v>
      </c>
      <c r="P32">
        <v>163.265306122449</v>
      </c>
      <c r="Q32">
        <v>163.265306122449</v>
      </c>
      <c r="R32">
        <v>142.857142857143</v>
      </c>
      <c r="S32">
        <v>125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</row>
    <row r="33" spans="1:31" x14ac:dyDescent="0.3">
      <c r="A33" t="s">
        <v>259</v>
      </c>
      <c r="B33" t="s">
        <v>184</v>
      </c>
      <c r="C33" t="s">
        <v>0</v>
      </c>
      <c r="D33" t="s">
        <v>185</v>
      </c>
      <c r="E33" t="s">
        <v>123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>
        <v>0</v>
      </c>
      <c r="P33">
        <v>0</v>
      </c>
      <c r="Q33">
        <v>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259</v>
      </c>
      <c r="B34" t="s">
        <v>186</v>
      </c>
      <c r="C34" t="s">
        <v>0</v>
      </c>
      <c r="D34" t="s">
        <v>187</v>
      </c>
      <c r="E34" t="s">
        <v>123</v>
      </c>
      <c r="F34">
        <v>408.33333333333297</v>
      </c>
      <c r="G34">
        <v>350</v>
      </c>
      <c r="H34">
        <v>300</v>
      </c>
      <c r="I34">
        <v>250</v>
      </c>
      <c r="J34">
        <v>200</v>
      </c>
      <c r="K34">
        <v>150</v>
      </c>
      <c r="L34">
        <v>150</v>
      </c>
      <c r="M34">
        <v>150</v>
      </c>
      <c r="N34">
        <v>150</v>
      </c>
      <c r="O34">
        <v>150</v>
      </c>
      <c r="P34">
        <v>150</v>
      </c>
      <c r="Q34">
        <v>150</v>
      </c>
      <c r="R34">
        <v>150</v>
      </c>
      <c r="S34">
        <v>133.333333333333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</row>
    <row r="35" spans="1:31" x14ac:dyDescent="0.3">
      <c r="A35" t="s">
        <v>259</v>
      </c>
      <c r="B35" t="s">
        <v>188</v>
      </c>
      <c r="C35" t="s">
        <v>0</v>
      </c>
      <c r="D35" t="s">
        <v>189</v>
      </c>
      <c r="E35" t="s">
        <v>123</v>
      </c>
      <c r="F35">
        <v>1085.41167341767</v>
      </c>
      <c r="G35">
        <v>902.98954343150399</v>
      </c>
      <c r="H35">
        <v>756.35021586570394</v>
      </c>
      <c r="I35">
        <v>616.64221420898195</v>
      </c>
      <c r="J35">
        <v>501.73993826942001</v>
      </c>
      <c r="K35">
        <v>418.11661522451698</v>
      </c>
      <c r="L35">
        <v>352.78589409568599</v>
      </c>
      <c r="M35">
        <v>304.45905928805797</v>
      </c>
      <c r="N35">
        <v>265.79759144195498</v>
      </c>
      <c r="O35">
        <v>238.301288878994</v>
      </c>
      <c r="P35">
        <v>211.42520366707799</v>
      </c>
      <c r="Q35">
        <v>196.457047655249</v>
      </c>
      <c r="R35">
        <v>179.617872141942</v>
      </c>
      <c r="S35">
        <v>162.90923287292401</v>
      </c>
      <c r="T35">
        <v>136.69395401981001</v>
      </c>
      <c r="U35">
        <v>125.30279118482601</v>
      </c>
      <c r="V35">
        <v>116.17477328394401</v>
      </c>
      <c r="W35">
        <v>109.598842720702</v>
      </c>
      <c r="X35">
        <v>105.243921817893</v>
      </c>
      <c r="Y35">
        <v>102.873563218391</v>
      </c>
      <c r="Z35">
        <v>100</v>
      </c>
      <c r="AA35">
        <v>100</v>
      </c>
      <c r="AB35">
        <v>102.406417112299</v>
      </c>
      <c r="AC35">
        <v>104.015660809778</v>
      </c>
      <c r="AD35">
        <v>106.031468189813</v>
      </c>
      <c r="AE35">
        <v>106.522354616618</v>
      </c>
    </row>
    <row r="36" spans="1:31" x14ac:dyDescent="0.3">
      <c r="A36" t="s">
        <v>259</v>
      </c>
      <c r="B36" t="s">
        <v>190</v>
      </c>
      <c r="C36" t="s">
        <v>0</v>
      </c>
      <c r="D36" t="s">
        <v>191</v>
      </c>
      <c r="E36" t="s">
        <v>123</v>
      </c>
      <c r="F36">
        <v>318.41975308641997</v>
      </c>
      <c r="G36">
        <v>260.52525252525299</v>
      </c>
      <c r="H36">
        <v>223.30735930735901</v>
      </c>
      <c r="I36">
        <v>188.95238095238099</v>
      </c>
      <c r="J36">
        <v>165.333333333333</v>
      </c>
      <c r="K36">
        <v>132.26666666666699</v>
      </c>
      <c r="L36">
        <v>132.26666666666699</v>
      </c>
      <c r="M36">
        <v>132.26666666666699</v>
      </c>
      <c r="N36">
        <v>132.26666666666699</v>
      </c>
      <c r="O36">
        <v>132.26666666666699</v>
      </c>
      <c r="P36">
        <v>132.26666666666699</v>
      </c>
      <c r="Q36">
        <v>132.26666666666699</v>
      </c>
      <c r="R36">
        <v>132.26666666666699</v>
      </c>
      <c r="S36">
        <v>124</v>
      </c>
      <c r="T36">
        <v>103.333333333333</v>
      </c>
      <c r="U36">
        <v>103.333333333333</v>
      </c>
      <c r="V36">
        <v>103.333333333333</v>
      </c>
      <c r="W36">
        <v>103.333333333333</v>
      </c>
      <c r="X36">
        <v>103.333333333333</v>
      </c>
      <c r="Y36">
        <v>103.333333333333</v>
      </c>
      <c r="Z36">
        <v>100</v>
      </c>
      <c r="AA36">
        <v>100</v>
      </c>
      <c r="AB36">
        <v>102.70270270270299</v>
      </c>
      <c r="AC36">
        <v>102.70270270270299</v>
      </c>
      <c r="AD36">
        <v>102.70270270270299</v>
      </c>
      <c r="AE36">
        <v>102.70270270270299</v>
      </c>
    </row>
    <row r="37" spans="1:31" x14ac:dyDescent="0.3">
      <c r="A37" t="s">
        <v>259</v>
      </c>
      <c r="B37" t="s">
        <v>192</v>
      </c>
      <c r="C37" t="s">
        <v>0</v>
      </c>
      <c r="D37" t="s">
        <v>193</v>
      </c>
      <c r="E37" t="s">
        <v>123</v>
      </c>
      <c r="F37">
        <v>1142.9907470779799</v>
      </c>
      <c r="G37">
        <v>947.845985381736</v>
      </c>
      <c r="H37">
        <v>785.71443525064899</v>
      </c>
      <c r="I37">
        <v>637.46642859958297</v>
      </c>
      <c r="J37">
        <v>514.876730791971</v>
      </c>
      <c r="K37">
        <v>426.97094748602501</v>
      </c>
      <c r="L37">
        <v>357.732415461264</v>
      </c>
      <c r="M37">
        <v>307.816264466669</v>
      </c>
      <c r="N37">
        <v>266.77409587111299</v>
      </c>
      <c r="O37">
        <v>238.98512755120601</v>
      </c>
      <c r="P37">
        <v>211.01878283776699</v>
      </c>
      <c r="Q37">
        <v>195.57838409354</v>
      </c>
      <c r="R37">
        <v>178.32146784999199</v>
      </c>
      <c r="S37">
        <v>162.110425318175</v>
      </c>
      <c r="T37">
        <v>138.09406601177801</v>
      </c>
      <c r="U37">
        <v>124.94225020113301</v>
      </c>
      <c r="V37">
        <v>115.855541095596</v>
      </c>
      <c r="W37">
        <v>109.536147944927</v>
      </c>
      <c r="X37">
        <v>105.62414266118</v>
      </c>
      <c r="Y37">
        <v>103.70370370370399</v>
      </c>
      <c r="Z37">
        <v>100</v>
      </c>
      <c r="AA37">
        <v>100</v>
      </c>
      <c r="AB37">
        <v>102.127659574468</v>
      </c>
      <c r="AC37">
        <v>103.919372900336</v>
      </c>
      <c r="AD37">
        <v>106.228692298121</v>
      </c>
      <c r="AE37">
        <v>106.228692298121</v>
      </c>
    </row>
    <row r="38" spans="1:31" x14ac:dyDescent="0.3">
      <c r="A38" t="s">
        <v>259</v>
      </c>
      <c r="B38" t="s">
        <v>194</v>
      </c>
      <c r="C38" t="s">
        <v>0</v>
      </c>
      <c r="D38" t="s">
        <v>195</v>
      </c>
      <c r="E38" t="s">
        <v>123</v>
      </c>
      <c r="F38">
        <v>1123.0472005064501</v>
      </c>
      <c r="G38">
        <v>950.27070812083798</v>
      </c>
      <c r="H38">
        <v>809.48986247330697</v>
      </c>
      <c r="I38">
        <v>660.37330885980305</v>
      </c>
      <c r="J38">
        <v>539.08025213045096</v>
      </c>
      <c r="K38">
        <v>457.04630071929603</v>
      </c>
      <c r="L38">
        <v>380.87191726608</v>
      </c>
      <c r="M38">
        <v>324.44644804147498</v>
      </c>
      <c r="N38">
        <v>279.69521382885802</v>
      </c>
      <c r="O38">
        <v>248.61796784787401</v>
      </c>
      <c r="P38">
        <v>219.368795159889</v>
      </c>
      <c r="Q38">
        <v>203.23873669225</v>
      </c>
      <c r="R38">
        <v>185.03825280936201</v>
      </c>
      <c r="S38">
        <v>166.26625614754201</v>
      </c>
      <c r="T38">
        <v>138.555213456285</v>
      </c>
      <c r="U38">
        <v>126.887406007335</v>
      </c>
      <c r="V38">
        <v>117.232929463299</v>
      </c>
      <c r="W38">
        <v>110.055403169627</v>
      </c>
      <c r="X38">
        <v>105.217803030303</v>
      </c>
      <c r="Y38">
        <v>102.651515151515</v>
      </c>
      <c r="Z38">
        <v>100</v>
      </c>
      <c r="AA38">
        <v>100</v>
      </c>
      <c r="AB38">
        <v>102.413793103448</v>
      </c>
      <c r="AC38">
        <v>104.062968515742</v>
      </c>
      <c r="AD38">
        <v>106.113470358417</v>
      </c>
      <c r="AE38">
        <v>106.79807339298701</v>
      </c>
    </row>
    <row r="39" spans="1:31" x14ac:dyDescent="0.3">
      <c r="A39" t="s">
        <v>259</v>
      </c>
      <c r="B39" t="s">
        <v>196</v>
      </c>
      <c r="C39" t="s">
        <v>0</v>
      </c>
      <c r="D39" t="s">
        <v>197</v>
      </c>
      <c r="E39" t="s">
        <v>123</v>
      </c>
      <c r="F39">
        <v>456.13596639102599</v>
      </c>
      <c r="G39">
        <v>377.49183425464201</v>
      </c>
      <c r="H39">
        <v>327.159589687356</v>
      </c>
      <c r="I39">
        <v>270.75276387919098</v>
      </c>
      <c r="J39">
        <v>227.432321658521</v>
      </c>
      <c r="K39">
        <v>194.351256690009</v>
      </c>
      <c r="L39">
        <v>163.66421616000699</v>
      </c>
      <c r="M39">
        <v>142.316709704354</v>
      </c>
      <c r="N39">
        <v>121.616097383721</v>
      </c>
      <c r="O39">
        <v>121.616097383721</v>
      </c>
      <c r="P39">
        <v>121.616097383721</v>
      </c>
      <c r="Q39">
        <v>121.616097383721</v>
      </c>
      <c r="R39">
        <v>118.64985110606899</v>
      </c>
      <c r="S39">
        <v>113.903857061826</v>
      </c>
      <c r="T39">
        <v>110.45222502964999</v>
      </c>
      <c r="U39">
        <v>110.45222502964999</v>
      </c>
      <c r="V39">
        <v>110.45222502964999</v>
      </c>
      <c r="W39">
        <v>107.20363017583701</v>
      </c>
      <c r="X39">
        <v>104.82132728304001</v>
      </c>
      <c r="Y39">
        <v>102.439024390244</v>
      </c>
      <c r="Z39">
        <v>100</v>
      </c>
      <c r="AA39">
        <v>100</v>
      </c>
      <c r="AB39">
        <v>101.834862385321</v>
      </c>
      <c r="AC39">
        <v>103.47736016573</v>
      </c>
      <c r="AD39">
        <v>105.54690736904401</v>
      </c>
      <c r="AE39">
        <v>105.54690736904401</v>
      </c>
    </row>
    <row r="40" spans="1:31" x14ac:dyDescent="0.3">
      <c r="A40" t="s">
        <v>259</v>
      </c>
      <c r="B40" t="s">
        <v>198</v>
      </c>
      <c r="C40" t="s">
        <v>0</v>
      </c>
      <c r="D40" t="s">
        <v>199</v>
      </c>
      <c r="E40" t="s">
        <v>123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>
        <v>0</v>
      </c>
      <c r="M40">
        <v>0</v>
      </c>
      <c r="N40">
        <v>109.09090909090899</v>
      </c>
      <c r="O40">
        <v>109.09090909090899</v>
      </c>
      <c r="P40">
        <v>109.09090909090899</v>
      </c>
      <c r="Q40">
        <v>109.09090909090899</v>
      </c>
      <c r="R40">
        <v>109.09090909090899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</row>
    <row r="41" spans="1:31" x14ac:dyDescent="0.3">
      <c r="A41" t="s">
        <v>259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259</v>
      </c>
      <c r="B42" t="s">
        <v>202</v>
      </c>
      <c r="C42" t="s">
        <v>0</v>
      </c>
      <c r="D42" t="s">
        <v>203</v>
      </c>
      <c r="E42" t="s">
        <v>123</v>
      </c>
      <c r="F42">
        <v>335.151240932267</v>
      </c>
      <c r="G42">
        <v>299.24217940380998</v>
      </c>
      <c r="H42">
        <v>277.867738017823</v>
      </c>
      <c r="I42">
        <v>252.607034561658</v>
      </c>
      <c r="J42">
        <v>227.346331105492</v>
      </c>
      <c r="K42">
        <v>208.40080351336701</v>
      </c>
      <c r="L42">
        <v>208.40080351336701</v>
      </c>
      <c r="M42">
        <v>208.40080351336701</v>
      </c>
      <c r="N42">
        <v>185.24515867854899</v>
      </c>
      <c r="O42">
        <v>185.24515867854899</v>
      </c>
      <c r="P42">
        <v>166.72064281069399</v>
      </c>
      <c r="Q42">
        <v>156.300602635026</v>
      </c>
      <c r="R42">
        <v>148.485572503274</v>
      </c>
      <c r="S42">
        <v>134.20811360872901</v>
      </c>
      <c r="T42">
        <v>123.024104141335</v>
      </c>
      <c r="U42">
        <v>116.189431689038</v>
      </c>
      <c r="V42">
        <v>108.05617147080601</v>
      </c>
      <c r="W42">
        <v>103.030303030303</v>
      </c>
      <c r="X42">
        <v>100</v>
      </c>
      <c r="Y42">
        <v>100</v>
      </c>
      <c r="Z42">
        <v>100</v>
      </c>
      <c r="AA42">
        <v>100</v>
      </c>
      <c r="AB42">
        <v>102.439024390244</v>
      </c>
      <c r="AC42">
        <v>102.439024390244</v>
      </c>
      <c r="AD42">
        <v>102.439024390244</v>
      </c>
      <c r="AE42">
        <v>102.439024390244</v>
      </c>
    </row>
    <row r="43" spans="1:31" x14ac:dyDescent="0.3">
      <c r="A43" t="s">
        <v>259</v>
      </c>
      <c r="B43" t="s">
        <v>204</v>
      </c>
      <c r="C43" t="s">
        <v>0</v>
      </c>
      <c r="D43" t="s">
        <v>205</v>
      </c>
      <c r="E43" t="s">
        <v>123</v>
      </c>
      <c r="F43">
        <v>358.00441031226597</v>
      </c>
      <c r="G43">
        <v>322.20396928103901</v>
      </c>
      <c r="H43">
        <v>300.72370466230302</v>
      </c>
      <c r="I43">
        <v>276.66580828931899</v>
      </c>
      <c r="J43">
        <v>251.51437117210801</v>
      </c>
      <c r="K43">
        <v>233.549058945529</v>
      </c>
      <c r="L43">
        <v>233.549058945529</v>
      </c>
      <c r="M43">
        <v>233.549058945529</v>
      </c>
      <c r="N43">
        <v>207.59916350713701</v>
      </c>
      <c r="O43">
        <v>207.59916350713701</v>
      </c>
      <c r="P43">
        <v>188.726512279215</v>
      </c>
      <c r="Q43">
        <v>179.29018666525499</v>
      </c>
      <c r="R43">
        <v>165.22821124052899</v>
      </c>
      <c r="S43">
        <v>148.23330951293099</v>
      </c>
      <c r="T43">
        <v>125.716857435018</v>
      </c>
      <c r="U43">
        <v>118.42892367066899</v>
      </c>
      <c r="V43">
        <v>110.628216123499</v>
      </c>
      <c r="W43">
        <v>104.701704545455</v>
      </c>
      <c r="X43">
        <v>101.25</v>
      </c>
      <c r="Y43">
        <v>100</v>
      </c>
      <c r="Z43">
        <v>100</v>
      </c>
      <c r="AA43">
        <v>100</v>
      </c>
      <c r="AB43">
        <v>101.515151515152</v>
      </c>
      <c r="AC43">
        <v>101.515151515152</v>
      </c>
      <c r="AD43">
        <v>101.515151515152</v>
      </c>
      <c r="AE43">
        <v>101.515151515152</v>
      </c>
    </row>
    <row r="44" spans="1:31" x14ac:dyDescent="0.3">
      <c r="A44" t="s">
        <v>259</v>
      </c>
      <c r="B44" t="s">
        <v>206</v>
      </c>
      <c r="C44" t="s">
        <v>0</v>
      </c>
      <c r="D44" t="s">
        <v>207</v>
      </c>
      <c r="E44" t="s">
        <v>123</v>
      </c>
      <c r="F44">
        <v>705.62558123147596</v>
      </c>
      <c r="G44">
        <v>598.09017587256903</v>
      </c>
      <c r="H44">
        <v>513.30344595960003</v>
      </c>
      <c r="I44">
        <v>431.08268440619099</v>
      </c>
      <c r="J44">
        <v>359.81219244176401</v>
      </c>
      <c r="K44">
        <v>309.21360287964097</v>
      </c>
      <c r="L44">
        <v>268.56002162454899</v>
      </c>
      <c r="M44">
        <v>236.09672230729601</v>
      </c>
      <c r="N44">
        <v>205.43481031933501</v>
      </c>
      <c r="O44">
        <v>191.04128857721599</v>
      </c>
      <c r="P44">
        <v>174.99582601955001</v>
      </c>
      <c r="Q44">
        <v>166.97714935558099</v>
      </c>
      <c r="R44">
        <v>156.46377328504499</v>
      </c>
      <c r="S44">
        <v>143.97725066132</v>
      </c>
      <c r="T44">
        <v>123.95392441040801</v>
      </c>
      <c r="U44">
        <v>116.990220791845</v>
      </c>
      <c r="V44">
        <v>110.99072228969899</v>
      </c>
      <c r="W44">
        <v>106.49109841309</v>
      </c>
      <c r="X44">
        <v>103.713069758836</v>
      </c>
      <c r="Y44">
        <v>102.15053763440901</v>
      </c>
      <c r="Z44">
        <v>100</v>
      </c>
      <c r="AA44">
        <v>100</v>
      </c>
      <c r="AB44">
        <v>101.626016260163</v>
      </c>
      <c r="AC44">
        <v>102.83584978706899</v>
      </c>
      <c r="AD44">
        <v>104.070585547806</v>
      </c>
      <c r="AE44">
        <v>104.287399267697</v>
      </c>
    </row>
    <row r="45" spans="1:31" x14ac:dyDescent="0.3">
      <c r="A45" t="s">
        <v>259</v>
      </c>
      <c r="B45" t="s">
        <v>208</v>
      </c>
      <c r="C45" t="s">
        <v>0</v>
      </c>
      <c r="D45" t="s">
        <v>209</v>
      </c>
      <c r="E45" t="s">
        <v>123</v>
      </c>
      <c r="F45">
        <v>718.172345896107</v>
      </c>
      <c r="G45">
        <v>609.86628296024901</v>
      </c>
      <c r="H45">
        <v>524.68253088685401</v>
      </c>
      <c r="I45">
        <v>440.965413004433</v>
      </c>
      <c r="J45">
        <v>368.34462342645298</v>
      </c>
      <c r="K45">
        <v>316.475686658239</v>
      </c>
      <c r="L45">
        <v>274.62766197615701</v>
      </c>
      <c r="M45">
        <v>241.08535211647401</v>
      </c>
      <c r="N45">
        <v>209.92466034631801</v>
      </c>
      <c r="O45">
        <v>194.478698715485</v>
      </c>
      <c r="P45">
        <v>177.52142798279999</v>
      </c>
      <c r="Q45">
        <v>169.09163950316901</v>
      </c>
      <c r="R45">
        <v>158.182501470707</v>
      </c>
      <c r="S45">
        <v>145.28575842234599</v>
      </c>
      <c r="T45">
        <v>124.767040831947</v>
      </c>
      <c r="U45">
        <v>117.496234256658</v>
      </c>
      <c r="V45">
        <v>111.31222192736099</v>
      </c>
      <c r="W45">
        <v>106.674212680387</v>
      </c>
      <c r="X45">
        <v>103.80405449167699</v>
      </c>
      <c r="Y45">
        <v>102.19780219780201</v>
      </c>
      <c r="Z45">
        <v>100</v>
      </c>
      <c r="AA45">
        <v>100</v>
      </c>
      <c r="AB45">
        <v>101.657458563536</v>
      </c>
      <c r="AC45">
        <v>102.881018746848</v>
      </c>
      <c r="AD45">
        <v>104.137854927002</v>
      </c>
      <c r="AE45">
        <v>104.358485975576</v>
      </c>
    </row>
    <row r="46" spans="1:31" x14ac:dyDescent="0.3">
      <c r="A46" t="s">
        <v>259</v>
      </c>
      <c r="B46" t="s">
        <v>210</v>
      </c>
      <c r="C46" t="s">
        <v>0</v>
      </c>
      <c r="D46" t="s">
        <v>211</v>
      </c>
      <c r="E46" t="s">
        <v>123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>
        <v>0</v>
      </c>
      <c r="M46">
        <v>0</v>
      </c>
      <c r="N46">
        <v>0</v>
      </c>
      <c r="O46">
        <v>0</v>
      </c>
      <c r="P46">
        <v>185.697587941763</v>
      </c>
      <c r="Q46">
        <v>185.697587941763</v>
      </c>
      <c r="R46">
        <v>169.84535482478299</v>
      </c>
      <c r="S46">
        <v>151.894219762001</v>
      </c>
      <c r="T46">
        <v>126.95636278615</v>
      </c>
      <c r="U46">
        <v>119.488341445788</v>
      </c>
      <c r="V46">
        <v>112.354709120667</v>
      </c>
      <c r="W46">
        <v>105.841392649903</v>
      </c>
      <c r="X46">
        <v>102.127659574468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</row>
    <row r="47" spans="1:31" x14ac:dyDescent="0.3">
      <c r="A47" t="s">
        <v>259</v>
      </c>
      <c r="B47" t="s">
        <v>212</v>
      </c>
      <c r="C47" t="s">
        <v>0</v>
      </c>
      <c r="D47" t="s">
        <v>213</v>
      </c>
      <c r="E47" t="s">
        <v>123</v>
      </c>
      <c r="F47">
        <v>489.99884864988798</v>
      </c>
      <c r="G47">
        <v>408.33237387490698</v>
      </c>
      <c r="H47">
        <v>341.514349059013</v>
      </c>
      <c r="I47">
        <v>279.42083104828299</v>
      </c>
      <c r="J47">
        <v>231.85983852942601</v>
      </c>
      <c r="K47">
        <v>200.24258782086801</v>
      </c>
      <c r="L47">
        <v>169.90280178740301</v>
      </c>
      <c r="M47">
        <v>145.63097296063199</v>
      </c>
      <c r="N47">
        <v>124.31912325907599</v>
      </c>
      <c r="O47">
        <v>118.793828892006</v>
      </c>
      <c r="P47">
        <v>118.793828892006</v>
      </c>
      <c r="Q47">
        <v>118.793828892006</v>
      </c>
      <c r="R47">
        <v>118.793828892006</v>
      </c>
      <c r="S47">
        <v>113.84408602150501</v>
      </c>
      <c r="T47">
        <v>109.778225806452</v>
      </c>
      <c r="U47">
        <v>109.778225806452</v>
      </c>
      <c r="V47">
        <v>109.778225806452</v>
      </c>
      <c r="W47">
        <v>103.125</v>
      </c>
      <c r="X47">
        <v>103.125</v>
      </c>
      <c r="Y47">
        <v>103.125</v>
      </c>
      <c r="Z47">
        <v>100</v>
      </c>
      <c r="AA47">
        <v>100</v>
      </c>
      <c r="AB47">
        <v>102.857142857143</v>
      </c>
      <c r="AC47">
        <v>102.857142857143</v>
      </c>
      <c r="AD47">
        <v>104.761904761905</v>
      </c>
      <c r="AE47">
        <v>104.761904761905</v>
      </c>
    </row>
    <row r="48" spans="1:31" x14ac:dyDescent="0.3">
      <c r="A48" t="s">
        <v>259</v>
      </c>
      <c r="B48" t="s">
        <v>214</v>
      </c>
      <c r="C48" t="s">
        <v>0</v>
      </c>
      <c r="D48" t="s">
        <v>215</v>
      </c>
      <c r="E48" t="s">
        <v>123</v>
      </c>
      <c r="F48">
        <v>490.76054422583201</v>
      </c>
      <c r="G48">
        <v>416.40288600979699</v>
      </c>
      <c r="H48">
        <v>353.94245310832702</v>
      </c>
      <c r="I48">
        <v>292.24606219953603</v>
      </c>
      <c r="J48">
        <v>244.299442619925</v>
      </c>
      <c r="K48">
        <v>210.150058167677</v>
      </c>
      <c r="L48">
        <v>178.851113334193</v>
      </c>
      <c r="M48">
        <v>151.854718868655</v>
      </c>
      <c r="N48">
        <v>129.07651103835701</v>
      </c>
      <c r="O48">
        <v>125.04287006840801</v>
      </c>
      <c r="P48">
        <v>125.04287006840801</v>
      </c>
      <c r="Q48">
        <v>125.04287006840801</v>
      </c>
      <c r="R48">
        <v>125.04287006840801</v>
      </c>
      <c r="S48">
        <v>117.897563207356</v>
      </c>
      <c r="T48">
        <v>110.70868740202999</v>
      </c>
      <c r="U48">
        <v>109.10421367156501</v>
      </c>
      <c r="V48">
        <v>107.372400756144</v>
      </c>
      <c r="W48">
        <v>102.898550724638</v>
      </c>
      <c r="X48">
        <v>102.898550724638</v>
      </c>
      <c r="Y48">
        <v>102.898550724638</v>
      </c>
      <c r="Z48">
        <v>100</v>
      </c>
      <c r="AA48">
        <v>100</v>
      </c>
      <c r="AB48">
        <v>101.369863013699</v>
      </c>
      <c r="AC48">
        <v>101.369863013699</v>
      </c>
      <c r="AD48">
        <v>102.483817552311</v>
      </c>
      <c r="AE48">
        <v>102.483817552311</v>
      </c>
    </row>
    <row r="49" spans="1:31" x14ac:dyDescent="0.3">
      <c r="A49" t="s">
        <v>259</v>
      </c>
      <c r="B49" t="s">
        <v>216</v>
      </c>
      <c r="C49" t="s">
        <v>0</v>
      </c>
      <c r="D49" t="s">
        <v>217</v>
      </c>
      <c r="E49" t="s">
        <v>123</v>
      </c>
      <c r="F49">
        <v>706.46454429134201</v>
      </c>
      <c r="G49">
        <v>597.77769132344304</v>
      </c>
      <c r="H49">
        <v>489.09083835554401</v>
      </c>
      <c r="I49">
        <v>413.84609399315298</v>
      </c>
      <c r="J49">
        <v>331.07687519452202</v>
      </c>
      <c r="K49">
        <v>270.88107970460902</v>
      </c>
      <c r="L49">
        <v>225.734233087174</v>
      </c>
      <c r="M49">
        <v>169.300674815381</v>
      </c>
      <c r="N49">
        <v>126.97550611153601</v>
      </c>
      <c r="O49">
        <v>126.97550611153601</v>
      </c>
      <c r="P49">
        <v>126.97550611153601</v>
      </c>
      <c r="Q49">
        <v>126.97550611153601</v>
      </c>
      <c r="R49">
        <v>126.97550611153601</v>
      </c>
      <c r="S49">
        <v>118.510472370766</v>
      </c>
      <c r="T49">
        <v>108.901515151515</v>
      </c>
      <c r="U49">
        <v>108.901515151515</v>
      </c>
      <c r="V49">
        <v>108.901515151515</v>
      </c>
      <c r="W49">
        <v>104.545454545455</v>
      </c>
      <c r="X49">
        <v>104.545454545455</v>
      </c>
      <c r="Y49">
        <v>104.545454545455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</row>
    <row r="50" spans="1:31" x14ac:dyDescent="0.3">
      <c r="A50" t="s">
        <v>259</v>
      </c>
      <c r="B50" t="s">
        <v>218</v>
      </c>
      <c r="C50" t="s">
        <v>0</v>
      </c>
      <c r="D50" t="s">
        <v>219</v>
      </c>
      <c r="E50" t="s">
        <v>123</v>
      </c>
      <c r="F50">
        <v>319.68763836895698</v>
      </c>
      <c r="G50">
        <v>296.85280705688899</v>
      </c>
      <c r="H50">
        <v>275.649035124254</v>
      </c>
      <c r="I50">
        <v>232.12550326252901</v>
      </c>
      <c r="J50">
        <v>207.69123976121099</v>
      </c>
      <c r="K50">
        <v>181.72983479105901</v>
      </c>
      <c r="L50">
        <v>159.01360544217701</v>
      </c>
      <c r="M50">
        <v>143.11224489795899</v>
      </c>
      <c r="N50">
        <v>130.10204081632699</v>
      </c>
      <c r="O50">
        <v>130.10204081632699</v>
      </c>
      <c r="P50">
        <v>130.10204081632699</v>
      </c>
      <c r="Q50">
        <v>130.10204081632699</v>
      </c>
      <c r="R50">
        <v>130.10204081632699</v>
      </c>
      <c r="S50">
        <v>121.970663265306</v>
      </c>
      <c r="T50">
        <v>114.795918367347</v>
      </c>
      <c r="U50">
        <v>107.142857142857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</row>
    <row r="51" spans="1:31" x14ac:dyDescent="0.3">
      <c r="A51" t="s">
        <v>259</v>
      </c>
      <c r="B51" t="s">
        <v>220</v>
      </c>
      <c r="C51" t="s">
        <v>0</v>
      </c>
      <c r="D51" t="s">
        <v>221</v>
      </c>
      <c r="E51" t="s">
        <v>123</v>
      </c>
      <c r="F51">
        <v>357.5</v>
      </c>
      <c r="G51">
        <v>330</v>
      </c>
      <c r="H51">
        <v>304.61538461538498</v>
      </c>
      <c r="I51">
        <v>253.84615384615401</v>
      </c>
      <c r="J51">
        <v>225.641025641026</v>
      </c>
      <c r="K51">
        <v>195.555555555556</v>
      </c>
      <c r="L51">
        <v>171.111111111111</v>
      </c>
      <c r="M51">
        <v>154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129.230769230769</v>
      </c>
      <c r="T51">
        <v>120</v>
      </c>
      <c r="U51">
        <v>109.09090909090899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</row>
    <row r="52" spans="1:31" x14ac:dyDescent="0.3">
      <c r="A52" t="s">
        <v>259</v>
      </c>
      <c r="B52" t="s">
        <v>222</v>
      </c>
      <c r="C52" t="s">
        <v>0</v>
      </c>
      <c r="D52" t="s">
        <v>223</v>
      </c>
      <c r="E52" t="s">
        <v>123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>
        <v>0</v>
      </c>
      <c r="M52">
        <v>0</v>
      </c>
      <c r="N52">
        <v>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259</v>
      </c>
      <c r="B53" t="s">
        <v>224</v>
      </c>
      <c r="C53" t="s">
        <v>0</v>
      </c>
      <c r="D53" t="s">
        <v>225</v>
      </c>
      <c r="E53" t="s">
        <v>123</v>
      </c>
      <c r="F53">
        <v>151.12160566706001</v>
      </c>
      <c r="G53">
        <v>136.00944510035399</v>
      </c>
      <c r="H53">
        <v>124.675324675325</v>
      </c>
      <c r="I53">
        <v>114.28571428571399</v>
      </c>
      <c r="J53">
        <v>114.28571428571399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</row>
    <row r="54" spans="1:31" x14ac:dyDescent="0.3">
      <c r="A54" t="s">
        <v>259</v>
      </c>
      <c r="B54" t="s">
        <v>226</v>
      </c>
      <c r="C54" t="s">
        <v>0</v>
      </c>
      <c r="D54" t="s">
        <v>227</v>
      </c>
      <c r="E54" t="s">
        <v>123</v>
      </c>
      <c r="F54">
        <v>168.54741896758699</v>
      </c>
      <c r="G54">
        <v>155.582232893157</v>
      </c>
      <c r="H54">
        <v>145.21008403361299</v>
      </c>
      <c r="I54">
        <v>137.142857142857</v>
      </c>
      <c r="J54">
        <v>120</v>
      </c>
      <c r="K54">
        <v>110</v>
      </c>
      <c r="L54">
        <v>110</v>
      </c>
      <c r="M54">
        <v>110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</row>
    <row r="55" spans="1:31" x14ac:dyDescent="0.3">
      <c r="A55" t="s">
        <v>259</v>
      </c>
      <c r="B55" t="s">
        <v>228</v>
      </c>
      <c r="C55" t="s">
        <v>0</v>
      </c>
      <c r="D55" t="s">
        <v>229</v>
      </c>
      <c r="E55" t="s">
        <v>123</v>
      </c>
      <c r="F55">
        <v>150</v>
      </c>
      <c r="G55">
        <v>150</v>
      </c>
      <c r="H55">
        <v>150</v>
      </c>
      <c r="I55">
        <v>150</v>
      </c>
      <c r="J55">
        <v>125</v>
      </c>
      <c r="K55">
        <v>125</v>
      </c>
      <c r="L55">
        <v>125</v>
      </c>
      <c r="M55">
        <v>125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0</v>
      </c>
    </row>
    <row r="56" spans="1:31" x14ac:dyDescent="0.3">
      <c r="A56" t="s">
        <v>259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259</v>
      </c>
      <c r="B57" t="s">
        <v>232</v>
      </c>
      <c r="C57" t="s">
        <v>0</v>
      </c>
      <c r="D57" t="s">
        <v>233</v>
      </c>
      <c r="E57" t="s">
        <v>123</v>
      </c>
      <c r="F57">
        <v>670.21838240810803</v>
      </c>
      <c r="G57">
        <v>568.31383303611506</v>
      </c>
      <c r="H57">
        <v>487.39497601441599</v>
      </c>
      <c r="I57">
        <v>408.45954288097602</v>
      </c>
      <c r="J57">
        <v>341.10717144847501</v>
      </c>
      <c r="K57">
        <v>293.26210614629599</v>
      </c>
      <c r="L57">
        <v>253.898065052833</v>
      </c>
      <c r="M57">
        <v>221.96609981612701</v>
      </c>
      <c r="N57">
        <v>192.49092666981201</v>
      </c>
      <c r="O57">
        <v>180.30152761948099</v>
      </c>
      <c r="P57">
        <v>167.188689247155</v>
      </c>
      <c r="Q57">
        <v>160.4376020329</v>
      </c>
      <c r="R57">
        <v>151.39136908245399</v>
      </c>
      <c r="S57">
        <v>139.645486998471</v>
      </c>
      <c r="T57">
        <v>122.060499746811</v>
      </c>
      <c r="U57">
        <v>115.922060687978</v>
      </c>
      <c r="V57">
        <v>110.429021864528</v>
      </c>
      <c r="W57">
        <v>105.967243203335</v>
      </c>
      <c r="X57">
        <v>103.59040784176401</v>
      </c>
      <c r="Y57">
        <v>102.206896551724</v>
      </c>
      <c r="Z57">
        <v>100</v>
      </c>
      <c r="AA57">
        <v>100</v>
      </c>
      <c r="AB57">
        <v>101.591187270502</v>
      </c>
      <c r="AC57">
        <v>102.69945476799801</v>
      </c>
      <c r="AD57">
        <v>103.909463071598</v>
      </c>
      <c r="AE57">
        <v>104.080648348487</v>
      </c>
    </row>
    <row r="58" spans="1:31" x14ac:dyDescent="0.3">
      <c r="A58" t="s">
        <v>259</v>
      </c>
      <c r="B58" t="s">
        <v>234</v>
      </c>
      <c r="C58" t="s">
        <v>0</v>
      </c>
      <c r="D58" t="s">
        <v>235</v>
      </c>
      <c r="E58" t="s">
        <v>123</v>
      </c>
      <c r="F58">
        <v>670.21838240810803</v>
      </c>
      <c r="G58">
        <v>568.31383303611506</v>
      </c>
      <c r="H58">
        <v>487.39497601441599</v>
      </c>
      <c r="I58">
        <v>408.45954288097602</v>
      </c>
      <c r="J58">
        <v>341.10717144847501</v>
      </c>
      <c r="K58">
        <v>293.26210614629599</v>
      </c>
      <c r="L58">
        <v>253.898065052833</v>
      </c>
      <c r="M58">
        <v>221.96609981612701</v>
      </c>
      <c r="N58">
        <v>192.49092666981201</v>
      </c>
      <c r="O58">
        <v>180.30152761948099</v>
      </c>
      <c r="P58">
        <v>167.188689247155</v>
      </c>
      <c r="Q58">
        <v>160.4376020329</v>
      </c>
      <c r="R58">
        <v>151.39136908245399</v>
      </c>
      <c r="S58">
        <v>139.645486998471</v>
      </c>
      <c r="T58">
        <v>122.060499746811</v>
      </c>
      <c r="U58">
        <v>115.922060687978</v>
      </c>
      <c r="V58">
        <v>110.429021864528</v>
      </c>
      <c r="W58">
        <v>105.967243203335</v>
      </c>
      <c r="X58">
        <v>103.59040784176401</v>
      </c>
      <c r="Y58">
        <v>102.206896551724</v>
      </c>
      <c r="Z58">
        <v>100</v>
      </c>
      <c r="AA58">
        <v>100</v>
      </c>
      <c r="AB58">
        <v>101.591187270502</v>
      </c>
      <c r="AC58">
        <v>102.69945476799801</v>
      </c>
      <c r="AD58">
        <v>103.909463071598</v>
      </c>
      <c r="AE58">
        <v>104.080648348487</v>
      </c>
    </row>
    <row r="59" spans="1:31" x14ac:dyDescent="0.3">
      <c r="A59" t="s">
        <v>259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260</v>
      </c>
      <c r="B2" t="s">
        <v>121</v>
      </c>
      <c r="C2" t="s">
        <v>0</v>
      </c>
      <c r="D2" t="s">
        <v>122</v>
      </c>
      <c r="E2" t="s">
        <v>123</v>
      </c>
      <c r="F2">
        <v>159.637188208617</v>
      </c>
      <c r="G2">
        <v>159.637188208617</v>
      </c>
      <c r="H2">
        <v>159.637188208617</v>
      </c>
      <c r="I2">
        <v>159.637188208617</v>
      </c>
      <c r="J2">
        <v>159.637188208617</v>
      </c>
      <c r="K2">
        <v>159.637188208617</v>
      </c>
      <c r="L2">
        <v>159.637188208617</v>
      </c>
      <c r="M2">
        <v>159.637188208617</v>
      </c>
      <c r="N2">
        <v>159.637188208617</v>
      </c>
      <c r="O2">
        <v>143.67346938775501</v>
      </c>
      <c r="P2">
        <v>143.67346938775501</v>
      </c>
      <c r="Q2">
        <v>143.67346938775501</v>
      </c>
      <c r="R2">
        <v>130.61224489795899</v>
      </c>
      <c r="S2">
        <v>114.28571428571399</v>
      </c>
      <c r="T2">
        <v>114.28571428571399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</row>
    <row r="3" spans="1:31" x14ac:dyDescent="0.3">
      <c r="A3" t="s">
        <v>260</v>
      </c>
      <c r="B3" t="s">
        <v>124</v>
      </c>
      <c r="C3" t="s">
        <v>0</v>
      </c>
      <c r="D3" t="s">
        <v>125</v>
      </c>
      <c r="E3" t="s">
        <v>123</v>
      </c>
      <c r="F3" t="e">
        <v>#NUM!</v>
      </c>
      <c r="G3" t="e">
        <v>#NUM!</v>
      </c>
      <c r="H3">
        <v>0</v>
      </c>
      <c r="I3">
        <v>128.925619834711</v>
      </c>
      <c r="J3">
        <v>128.925619834711</v>
      </c>
      <c r="K3">
        <v>128.925619834711</v>
      </c>
      <c r="L3">
        <v>128.925619834711</v>
      </c>
      <c r="M3">
        <v>128.925619834711</v>
      </c>
      <c r="N3">
        <v>128.925619834711</v>
      </c>
      <c r="O3">
        <v>128.925619834711</v>
      </c>
      <c r="P3">
        <v>128.925619834711</v>
      </c>
      <c r="Q3">
        <v>128.925619834711</v>
      </c>
      <c r="R3">
        <v>109.09090909090899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</row>
    <row r="4" spans="1:31" x14ac:dyDescent="0.3">
      <c r="A4" t="s">
        <v>260</v>
      </c>
      <c r="B4" t="s">
        <v>126</v>
      </c>
      <c r="C4" t="s">
        <v>0</v>
      </c>
      <c r="D4" t="s">
        <v>127</v>
      </c>
      <c r="E4" t="s">
        <v>123</v>
      </c>
      <c r="F4">
        <v>172.20084284915399</v>
      </c>
      <c r="G4">
        <v>170.47883442066299</v>
      </c>
      <c r="H4">
        <v>166.1446267659</v>
      </c>
      <c r="I4">
        <v>164.974594183042</v>
      </c>
      <c r="J4">
        <v>162.71466823532899</v>
      </c>
      <c r="K4">
        <v>162.71466823532899</v>
      </c>
      <c r="L4">
        <v>160.57368575854801</v>
      </c>
      <c r="M4">
        <v>160.57368575854801</v>
      </c>
      <c r="N4">
        <v>158.064721918571</v>
      </c>
      <c r="O4">
        <v>152.76053661929001</v>
      </c>
      <c r="P4">
        <v>150.37365323461299</v>
      </c>
      <c r="Q4">
        <v>145.46349312899301</v>
      </c>
      <c r="R4">
        <v>129.34679928799699</v>
      </c>
      <c r="S4">
        <v>119.815982498355</v>
      </c>
      <c r="T4">
        <v>115.25156411746499</v>
      </c>
      <c r="U4">
        <v>103.28555472822001</v>
      </c>
      <c r="V4">
        <v>100.735294117647</v>
      </c>
      <c r="W4">
        <v>100.735294117647</v>
      </c>
      <c r="X4">
        <v>100.735294117647</v>
      </c>
      <c r="Y4">
        <v>100</v>
      </c>
      <c r="Z4">
        <v>100</v>
      </c>
      <c r="AA4">
        <v>100</v>
      </c>
      <c r="AB4">
        <v>99.568965517241395</v>
      </c>
      <c r="AC4">
        <v>99.009589306470403</v>
      </c>
      <c r="AD4">
        <v>99.009589306470403</v>
      </c>
      <c r="AE4">
        <v>98.353896662056698</v>
      </c>
    </row>
    <row r="5" spans="1:31" x14ac:dyDescent="0.3">
      <c r="A5" t="s">
        <v>260</v>
      </c>
      <c r="B5" t="s">
        <v>128</v>
      </c>
      <c r="C5" t="s">
        <v>0</v>
      </c>
      <c r="D5" t="s">
        <v>129</v>
      </c>
      <c r="E5" t="s">
        <v>123</v>
      </c>
      <c r="F5">
        <v>128.30578512396701</v>
      </c>
      <c r="G5">
        <v>128.30578512396701</v>
      </c>
      <c r="H5">
        <v>128.30578512396701</v>
      </c>
      <c r="I5">
        <v>128.30578512396701</v>
      </c>
      <c r="J5">
        <v>128.30578512396701</v>
      </c>
      <c r="K5">
        <v>128.30578512396701</v>
      </c>
      <c r="L5">
        <v>128.30578512396701</v>
      </c>
      <c r="M5">
        <v>128.30578512396701</v>
      </c>
      <c r="N5">
        <v>128.30578512396701</v>
      </c>
      <c r="O5">
        <v>128.30578512396701</v>
      </c>
      <c r="P5">
        <v>128.30578512396701</v>
      </c>
      <c r="Q5">
        <v>128.30578512396701</v>
      </c>
      <c r="R5">
        <v>117.613636363636</v>
      </c>
      <c r="S5">
        <v>112.5</v>
      </c>
      <c r="T5">
        <v>112.5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</row>
    <row r="6" spans="1:31" x14ac:dyDescent="0.3">
      <c r="A6" t="s">
        <v>260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>
        <v>0</v>
      </c>
      <c r="H6" t="e">
        <v>#NUM!</v>
      </c>
      <c r="I6" t="e">
        <v>#NUM!</v>
      </c>
      <c r="J6">
        <v>0</v>
      </c>
      <c r="K6" t="e">
        <v>#NUM!</v>
      </c>
      <c r="L6" t="e">
        <v>#NUM!</v>
      </c>
      <c r="M6">
        <v>0</v>
      </c>
      <c r="N6">
        <v>0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260</v>
      </c>
      <c r="B7" t="s">
        <v>132</v>
      </c>
      <c r="C7" t="s">
        <v>0</v>
      </c>
      <c r="D7" t="s">
        <v>133</v>
      </c>
      <c r="E7" t="s">
        <v>123</v>
      </c>
      <c r="F7">
        <v>207.46915075871601</v>
      </c>
      <c r="G7">
        <v>202.75394278692701</v>
      </c>
      <c r="H7">
        <v>197.12188882062401</v>
      </c>
      <c r="I7">
        <v>193.17945104421099</v>
      </c>
      <c r="J7">
        <v>188.467757116304</v>
      </c>
      <c r="K7">
        <v>188.467757116304</v>
      </c>
      <c r="L7">
        <v>184.91176169901499</v>
      </c>
      <c r="M7">
        <v>184.91176169901499</v>
      </c>
      <c r="N7">
        <v>180.80261143903701</v>
      </c>
      <c r="O7">
        <v>171.98297185664501</v>
      </c>
      <c r="P7">
        <v>166.771366648868</v>
      </c>
      <c r="Q7">
        <v>157.241574268932</v>
      </c>
      <c r="R7">
        <v>138.02315963606301</v>
      </c>
      <c r="S7">
        <v>125.475599669148</v>
      </c>
      <c r="T7">
        <v>121.554487179487</v>
      </c>
      <c r="U7">
        <v>105.128205128205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</row>
    <row r="8" spans="1:31" x14ac:dyDescent="0.3">
      <c r="A8" t="s">
        <v>260</v>
      </c>
      <c r="B8" t="s">
        <v>134</v>
      </c>
      <c r="C8" t="s">
        <v>0</v>
      </c>
      <c r="D8" t="s">
        <v>135</v>
      </c>
      <c r="E8" t="s">
        <v>123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>
        <v>0</v>
      </c>
      <c r="N8">
        <v>178.99319727891199</v>
      </c>
      <c r="O8">
        <v>178.99319727891199</v>
      </c>
      <c r="P8">
        <v>178.99319727891199</v>
      </c>
      <c r="Q8">
        <v>165.224489795918</v>
      </c>
      <c r="R8">
        <v>143.67346938775501</v>
      </c>
      <c r="S8">
        <v>125.71428571428601</v>
      </c>
      <c r="T8">
        <v>110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</row>
    <row r="9" spans="1:31" x14ac:dyDescent="0.3">
      <c r="A9" t="s">
        <v>260</v>
      </c>
      <c r="B9" t="s">
        <v>136</v>
      </c>
      <c r="C9" t="s">
        <v>0</v>
      </c>
      <c r="D9" t="s">
        <v>137</v>
      </c>
      <c r="E9" t="s">
        <v>123</v>
      </c>
      <c r="F9">
        <v>186.096078921079</v>
      </c>
      <c r="G9">
        <v>186.096078921079</v>
      </c>
      <c r="H9">
        <v>175.149250749251</v>
      </c>
      <c r="I9">
        <v>175.149250749251</v>
      </c>
      <c r="J9">
        <v>175.149250749251</v>
      </c>
      <c r="K9">
        <v>175.149250749251</v>
      </c>
      <c r="L9">
        <v>175.149250749251</v>
      </c>
      <c r="M9">
        <v>175.149250749251</v>
      </c>
      <c r="N9">
        <v>175.149250749251</v>
      </c>
      <c r="O9">
        <v>165.93086913086901</v>
      </c>
      <c r="P9">
        <v>165.93086913086901</v>
      </c>
      <c r="Q9">
        <v>159.785281385281</v>
      </c>
      <c r="R9">
        <v>140.827705627706</v>
      </c>
      <c r="S9">
        <v>129.09206349206301</v>
      </c>
      <c r="T9">
        <v>124.126984126984</v>
      </c>
      <c r="U9">
        <v>109.52380952380901</v>
      </c>
      <c r="V9">
        <v>104.545454545455</v>
      </c>
      <c r="W9">
        <v>104.545454545455</v>
      </c>
      <c r="X9">
        <v>104.545454545455</v>
      </c>
      <c r="Y9">
        <v>100</v>
      </c>
      <c r="Z9">
        <v>100</v>
      </c>
      <c r="AA9">
        <v>100</v>
      </c>
      <c r="AB9">
        <v>98.837209302325604</v>
      </c>
      <c r="AC9">
        <v>97.2683647102252</v>
      </c>
      <c r="AD9">
        <v>97.2683647102252</v>
      </c>
      <c r="AE9">
        <v>95.283296042669605</v>
      </c>
    </row>
    <row r="10" spans="1:31" x14ac:dyDescent="0.3">
      <c r="A10" t="s">
        <v>260</v>
      </c>
      <c r="B10" t="s">
        <v>138</v>
      </c>
      <c r="C10" t="s">
        <v>0</v>
      </c>
      <c r="D10" t="s">
        <v>139</v>
      </c>
      <c r="E10" t="s">
        <v>123</v>
      </c>
      <c r="F10">
        <v>181.88544174426499</v>
      </c>
      <c r="G10">
        <v>181.88544174426499</v>
      </c>
      <c r="H10">
        <v>171.78069498069499</v>
      </c>
      <c r="I10">
        <v>171.78069498069499</v>
      </c>
      <c r="J10">
        <v>171.78069498069499</v>
      </c>
      <c r="K10">
        <v>171.78069498069499</v>
      </c>
      <c r="L10">
        <v>171.78069498069499</v>
      </c>
      <c r="M10">
        <v>171.78069498069499</v>
      </c>
      <c r="N10">
        <v>171.78069498069499</v>
      </c>
      <c r="O10">
        <v>163.600661886376</v>
      </c>
      <c r="P10">
        <v>163.600661886376</v>
      </c>
      <c r="Q10">
        <v>158.147306490164</v>
      </c>
      <c r="R10">
        <v>138.37889317889301</v>
      </c>
      <c r="S10">
        <v>128.00047619047601</v>
      </c>
      <c r="T10">
        <v>123.87142857142901</v>
      </c>
      <c r="U10">
        <v>107.71428571428601</v>
      </c>
      <c r="V10">
        <v>103.571428571429</v>
      </c>
      <c r="W10">
        <v>103.571428571429</v>
      </c>
      <c r="X10">
        <v>103.571428571429</v>
      </c>
      <c r="Y10">
        <v>100</v>
      </c>
      <c r="Z10">
        <v>100</v>
      </c>
      <c r="AA10">
        <v>100</v>
      </c>
      <c r="AB10">
        <v>98.8888888888889</v>
      </c>
      <c r="AC10">
        <v>97.455716586151397</v>
      </c>
      <c r="AD10">
        <v>97.455716586151397</v>
      </c>
      <c r="AE10">
        <v>95.616929480752304</v>
      </c>
    </row>
    <row r="11" spans="1:31" x14ac:dyDescent="0.3">
      <c r="A11" t="s">
        <v>260</v>
      </c>
      <c r="B11" t="s">
        <v>140</v>
      </c>
      <c r="C11" t="s">
        <v>0</v>
      </c>
      <c r="D11" t="s">
        <v>141</v>
      </c>
      <c r="E11" t="s">
        <v>123</v>
      </c>
      <c r="F11">
        <v>150</v>
      </c>
      <c r="G11">
        <v>150</v>
      </c>
      <c r="H11">
        <v>150</v>
      </c>
      <c r="I11">
        <v>150</v>
      </c>
      <c r="J11">
        <v>150</v>
      </c>
      <c r="K11">
        <v>150</v>
      </c>
      <c r="L11">
        <v>150</v>
      </c>
      <c r="M11">
        <v>150</v>
      </c>
      <c r="N11">
        <v>150</v>
      </c>
      <c r="O11">
        <v>150</v>
      </c>
      <c r="P11">
        <v>150</v>
      </c>
      <c r="Q11">
        <v>150</v>
      </c>
      <c r="R11">
        <v>120</v>
      </c>
      <c r="S11">
        <v>120</v>
      </c>
      <c r="T11">
        <v>120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</row>
    <row r="12" spans="1:31" x14ac:dyDescent="0.3">
      <c r="A12" t="s">
        <v>260</v>
      </c>
      <c r="B12" t="s">
        <v>142</v>
      </c>
      <c r="C12" t="s">
        <v>0</v>
      </c>
      <c r="D12" t="s">
        <v>143</v>
      </c>
      <c r="E12" t="s">
        <v>123</v>
      </c>
      <c r="F12">
        <v>117.02786377709</v>
      </c>
      <c r="G12">
        <v>117.02786377709</v>
      </c>
      <c r="H12">
        <v>117.02786377709</v>
      </c>
      <c r="I12">
        <v>117.02786377709</v>
      </c>
      <c r="J12">
        <v>117.02786377709</v>
      </c>
      <c r="K12">
        <v>117.02786377709</v>
      </c>
      <c r="L12">
        <v>117.02786377709</v>
      </c>
      <c r="M12">
        <v>117.02786377709</v>
      </c>
      <c r="N12">
        <v>117.02786377709</v>
      </c>
      <c r="O12">
        <v>117.02786377709</v>
      </c>
      <c r="P12">
        <v>117.02786377709</v>
      </c>
      <c r="Q12">
        <v>117.02786377709</v>
      </c>
      <c r="R12">
        <v>105.88235294117599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</row>
    <row r="13" spans="1:31" x14ac:dyDescent="0.3">
      <c r="A13" t="s">
        <v>260</v>
      </c>
      <c r="B13" t="s">
        <v>144</v>
      </c>
      <c r="C13" t="s">
        <v>0</v>
      </c>
      <c r="D13" t="s">
        <v>145</v>
      </c>
      <c r="E13" t="s">
        <v>123</v>
      </c>
      <c r="F13">
        <v>140.33264033264001</v>
      </c>
      <c r="G13">
        <v>140.33264033264001</v>
      </c>
      <c r="H13">
        <v>140.33264033264001</v>
      </c>
      <c r="I13">
        <v>140.33264033264001</v>
      </c>
      <c r="J13">
        <v>140.33264033264001</v>
      </c>
      <c r="K13">
        <v>140.33264033264001</v>
      </c>
      <c r="L13">
        <v>140.33264033264001</v>
      </c>
      <c r="M13">
        <v>140.33264033264001</v>
      </c>
      <c r="N13">
        <v>140.33264033264001</v>
      </c>
      <c r="O13">
        <v>140.33264033264001</v>
      </c>
      <c r="P13">
        <v>140.33264033264001</v>
      </c>
      <c r="Q13">
        <v>140.33264033264001</v>
      </c>
      <c r="R13">
        <v>126.29937629937599</v>
      </c>
      <c r="S13">
        <v>121.621621621622</v>
      </c>
      <c r="T13">
        <v>113.513513513514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</row>
    <row r="14" spans="1:31" x14ac:dyDescent="0.3">
      <c r="A14" t="s">
        <v>260</v>
      </c>
      <c r="B14" t="s">
        <v>146</v>
      </c>
      <c r="C14" t="s">
        <v>0</v>
      </c>
      <c r="D14" t="s">
        <v>147</v>
      </c>
      <c r="E14" t="s">
        <v>123</v>
      </c>
      <c r="F14">
        <v>197.700119459077</v>
      </c>
      <c r="G14">
        <v>197.700119459077</v>
      </c>
      <c r="H14">
        <v>188.713750392755</v>
      </c>
      <c r="I14">
        <v>188.713750392755</v>
      </c>
      <c r="J14">
        <v>184.42480152019201</v>
      </c>
      <c r="K14">
        <v>184.42480152019201</v>
      </c>
      <c r="L14">
        <v>180.23332875836999</v>
      </c>
      <c r="M14">
        <v>180.23332875836999</v>
      </c>
      <c r="N14">
        <v>172.39709707322299</v>
      </c>
      <c r="O14">
        <v>162.81948056915499</v>
      </c>
      <c r="P14">
        <v>157.88555691554501</v>
      </c>
      <c r="Q14">
        <v>150.86842105263199</v>
      </c>
      <c r="R14">
        <v>134.105263157895</v>
      </c>
      <c r="S14">
        <v>123.157894736842</v>
      </c>
      <c r="T14">
        <v>117</v>
      </c>
      <c r="U14">
        <v>104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</row>
    <row r="15" spans="1:31" x14ac:dyDescent="0.3">
      <c r="A15" t="s">
        <v>260</v>
      </c>
      <c r="B15" t="s">
        <v>148</v>
      </c>
      <c r="C15" t="s">
        <v>0</v>
      </c>
      <c r="D15" t="s">
        <v>149</v>
      </c>
      <c r="E15" t="s">
        <v>123</v>
      </c>
      <c r="F15">
        <v>183.96942053114799</v>
      </c>
      <c r="G15">
        <v>183.96942053114799</v>
      </c>
      <c r="H15">
        <v>176.89367358764201</v>
      </c>
      <c r="I15">
        <v>176.89367358764201</v>
      </c>
      <c r="J15">
        <v>173.20838872123301</v>
      </c>
      <c r="K15">
        <v>173.20838872123301</v>
      </c>
      <c r="L15">
        <v>169.599880622874</v>
      </c>
      <c r="M15">
        <v>169.599880622874</v>
      </c>
      <c r="N15">
        <v>163.318403562767</v>
      </c>
      <c r="O15">
        <v>155.15248338462899</v>
      </c>
      <c r="P15">
        <v>150.959173022882</v>
      </c>
      <c r="Q15">
        <v>144.79757412398899</v>
      </c>
      <c r="R15">
        <v>127.96064690027001</v>
      </c>
      <c r="S15">
        <v>118.980952380952</v>
      </c>
      <c r="T15">
        <v>114.404761904762</v>
      </c>
      <c r="U15">
        <v>103.333333333333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</row>
    <row r="16" spans="1:31" x14ac:dyDescent="0.3">
      <c r="A16" t="s">
        <v>260</v>
      </c>
      <c r="B16" t="s">
        <v>150</v>
      </c>
      <c r="C16" t="s">
        <v>0</v>
      </c>
      <c r="D16" t="s">
        <v>151</v>
      </c>
      <c r="E16" t="s">
        <v>123</v>
      </c>
      <c r="F16">
        <v>116.666666666667</v>
      </c>
      <c r="G16">
        <v>116.666666666667</v>
      </c>
      <c r="H16">
        <v>116.666666666667</v>
      </c>
      <c r="I16">
        <v>116.666666666667</v>
      </c>
      <c r="J16">
        <v>116.666666666667</v>
      </c>
      <c r="K16">
        <v>116.666666666667</v>
      </c>
      <c r="L16">
        <v>116.666666666667</v>
      </c>
      <c r="M16">
        <v>116.666666666667</v>
      </c>
      <c r="N16">
        <v>116.666666666667</v>
      </c>
      <c r="O16">
        <v>116.666666666667</v>
      </c>
      <c r="P16">
        <v>116.666666666667</v>
      </c>
      <c r="Q16">
        <v>116.666666666667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</row>
    <row r="17" spans="1:31" x14ac:dyDescent="0.3">
      <c r="A17" t="s">
        <v>260</v>
      </c>
      <c r="B17" t="s">
        <v>152</v>
      </c>
      <c r="C17" t="s">
        <v>0</v>
      </c>
      <c r="D17" t="s">
        <v>153</v>
      </c>
      <c r="E17" t="s">
        <v>123</v>
      </c>
      <c r="F17">
        <v>126.5625</v>
      </c>
      <c r="G17">
        <v>126.5625</v>
      </c>
      <c r="H17">
        <v>126.5625</v>
      </c>
      <c r="I17">
        <v>126.5625</v>
      </c>
      <c r="J17">
        <v>126.5625</v>
      </c>
      <c r="K17">
        <v>126.5625</v>
      </c>
      <c r="L17">
        <v>126.5625</v>
      </c>
      <c r="M17">
        <v>126.5625</v>
      </c>
      <c r="N17">
        <v>126.5625</v>
      </c>
      <c r="O17">
        <v>126.5625</v>
      </c>
      <c r="P17">
        <v>126.5625</v>
      </c>
      <c r="Q17">
        <v>126.5625</v>
      </c>
      <c r="R17">
        <v>118.125</v>
      </c>
      <c r="S17">
        <v>105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</row>
    <row r="18" spans="1:31" x14ac:dyDescent="0.3">
      <c r="A18" t="s">
        <v>260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 t="e">
        <v>#NUM!</v>
      </c>
      <c r="H18" t="e">
        <v>#NUM!</v>
      </c>
      <c r="I18" t="e">
        <v>#NUM!</v>
      </c>
      <c r="J18" t="e">
        <v>#NUM!</v>
      </c>
      <c r="K18">
        <v>0</v>
      </c>
      <c r="L18" t="e">
        <v>#NUM!</v>
      </c>
      <c r="M18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260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 t="e">
        <v>#NUM!</v>
      </c>
      <c r="H19" t="e">
        <v>#NUM!</v>
      </c>
      <c r="I19" t="e">
        <v>#NUM!</v>
      </c>
      <c r="J19" t="e">
        <v>#NUM!</v>
      </c>
      <c r="K19">
        <v>0</v>
      </c>
      <c r="L19" t="e">
        <v>#NUM!</v>
      </c>
      <c r="M19" t="e">
        <v>#NUM!</v>
      </c>
      <c r="N19" t="e">
        <v>#NUM!</v>
      </c>
      <c r="O19">
        <v>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</row>
    <row r="20" spans="1:31" x14ac:dyDescent="0.3">
      <c r="A20" t="s">
        <v>260</v>
      </c>
      <c r="B20" t="s">
        <v>158</v>
      </c>
      <c r="C20" t="s">
        <v>0</v>
      </c>
      <c r="D20" t="s">
        <v>159</v>
      </c>
      <c r="E20" t="s">
        <v>123</v>
      </c>
      <c r="F20">
        <v>218.734875283447</v>
      </c>
      <c r="G20">
        <v>218.734875283447</v>
      </c>
      <c r="H20">
        <v>208.31892884137801</v>
      </c>
      <c r="I20">
        <v>208.31892884137801</v>
      </c>
      <c r="J20">
        <v>208.31892884137801</v>
      </c>
      <c r="K20">
        <v>208.31892884137801</v>
      </c>
      <c r="L20">
        <v>208.31892884137801</v>
      </c>
      <c r="M20">
        <v>208.31892884137801</v>
      </c>
      <c r="N20">
        <v>198.39897984893099</v>
      </c>
      <c r="O20">
        <v>186.37479925202601</v>
      </c>
      <c r="P20">
        <v>180.36270895357401</v>
      </c>
      <c r="Q20">
        <v>169.09003964397601</v>
      </c>
      <c r="R20">
        <v>147.953784688479</v>
      </c>
      <c r="S20">
        <v>134.254360180286</v>
      </c>
      <c r="T20">
        <v>126.508916323731</v>
      </c>
      <c r="U20">
        <v>110.18518518518501</v>
      </c>
      <c r="V20">
        <v>103.70370370370399</v>
      </c>
      <c r="W20">
        <v>103.70370370370399</v>
      </c>
      <c r="X20">
        <v>103.70370370370399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</row>
    <row r="21" spans="1:31" x14ac:dyDescent="0.3">
      <c r="A21" t="s">
        <v>260</v>
      </c>
      <c r="B21" t="s">
        <v>160</v>
      </c>
      <c r="C21" t="s">
        <v>0</v>
      </c>
      <c r="D21" t="s">
        <v>161</v>
      </c>
      <c r="E21" t="s">
        <v>123</v>
      </c>
      <c r="F21">
        <v>201.85803345959599</v>
      </c>
      <c r="G21">
        <v>201.85803345959599</v>
      </c>
      <c r="H21">
        <v>192.68266830234199</v>
      </c>
      <c r="I21">
        <v>192.68266830234199</v>
      </c>
      <c r="J21">
        <v>192.68266830234199</v>
      </c>
      <c r="K21">
        <v>192.68266830234199</v>
      </c>
      <c r="L21">
        <v>192.68266830234199</v>
      </c>
      <c r="M21">
        <v>192.68266830234199</v>
      </c>
      <c r="N21">
        <v>184.30516098484799</v>
      </c>
      <c r="O21">
        <v>173.7734375</v>
      </c>
      <c r="P21">
        <v>168.50757575757601</v>
      </c>
      <c r="Q21">
        <v>158.78598484848499</v>
      </c>
      <c r="R21">
        <v>141.143097643098</v>
      </c>
      <c r="S21">
        <v>129.18181818181799</v>
      </c>
      <c r="T21">
        <v>122.5</v>
      </c>
      <c r="U21">
        <v>108.5</v>
      </c>
      <c r="V21">
        <v>103.333333333333</v>
      </c>
      <c r="W21">
        <v>103.333333333333</v>
      </c>
      <c r="X21">
        <v>103.333333333333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</row>
    <row r="22" spans="1:31" x14ac:dyDescent="0.3">
      <c r="A22" t="s">
        <v>260</v>
      </c>
      <c r="B22" t="s">
        <v>162</v>
      </c>
      <c r="C22" t="s">
        <v>0</v>
      </c>
      <c r="D22" t="s">
        <v>163</v>
      </c>
      <c r="E22" t="s">
        <v>123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</row>
    <row r="23" spans="1:31" x14ac:dyDescent="0.3">
      <c r="A23" t="s">
        <v>260</v>
      </c>
      <c r="B23" t="s">
        <v>164</v>
      </c>
      <c r="C23" t="s">
        <v>0</v>
      </c>
      <c r="D23" t="s">
        <v>165</v>
      </c>
      <c r="E23" t="s">
        <v>123</v>
      </c>
      <c r="F23">
        <v>156.960227272727</v>
      </c>
      <c r="G23">
        <v>156.960227272727</v>
      </c>
      <c r="H23">
        <v>156.960227272727</v>
      </c>
      <c r="I23">
        <v>156.960227272727</v>
      </c>
      <c r="J23">
        <v>156.960227272727</v>
      </c>
      <c r="K23">
        <v>156.960227272727</v>
      </c>
      <c r="L23">
        <v>156.960227272727</v>
      </c>
      <c r="M23">
        <v>156.960227272727</v>
      </c>
      <c r="N23">
        <v>156.960227272727</v>
      </c>
      <c r="O23">
        <v>156.960227272727</v>
      </c>
      <c r="P23">
        <v>156.960227272727</v>
      </c>
      <c r="Q23">
        <v>147.727272727273</v>
      </c>
      <c r="R23">
        <v>132.95454545454501</v>
      </c>
      <c r="S23">
        <v>112.5</v>
      </c>
      <c r="T23">
        <v>112.5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</row>
    <row r="24" spans="1:31" x14ac:dyDescent="0.3">
      <c r="A24" t="s">
        <v>260</v>
      </c>
      <c r="B24" t="s">
        <v>166</v>
      </c>
      <c r="C24" t="s">
        <v>0</v>
      </c>
      <c r="D24" t="s">
        <v>167</v>
      </c>
      <c r="E24" t="s">
        <v>123</v>
      </c>
      <c r="F24">
        <v>233.50186043185499</v>
      </c>
      <c r="G24">
        <v>233.50186043185499</v>
      </c>
      <c r="H24">
        <v>222.88813950313499</v>
      </c>
      <c r="I24">
        <v>218.43037671307201</v>
      </c>
      <c r="J24">
        <v>211.14936415596901</v>
      </c>
      <c r="K24">
        <v>211.14936415596901</v>
      </c>
      <c r="L24">
        <v>206.23891382676101</v>
      </c>
      <c r="M24">
        <v>206.23891382676101</v>
      </c>
      <c r="N24">
        <v>198.30664791034701</v>
      </c>
      <c r="O24">
        <v>183.61726658365501</v>
      </c>
      <c r="P24">
        <v>175.96654714266899</v>
      </c>
      <c r="Q24">
        <v>167.58718775492301</v>
      </c>
      <c r="R24">
        <v>146.96107233893201</v>
      </c>
      <c r="S24">
        <v>133.772258154669</v>
      </c>
      <c r="T24">
        <v>125.90330179263</v>
      </c>
      <c r="U24">
        <v>109.274563820018</v>
      </c>
      <c r="V24">
        <v>106.06060606060601</v>
      </c>
      <c r="W24">
        <v>106.06060606060601</v>
      </c>
      <c r="X24">
        <v>106.06060606060601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</row>
    <row r="25" spans="1:31" x14ac:dyDescent="0.3">
      <c r="A25" t="s">
        <v>260</v>
      </c>
      <c r="B25" t="s">
        <v>168</v>
      </c>
      <c r="C25" t="s">
        <v>0</v>
      </c>
      <c r="D25" t="s">
        <v>169</v>
      </c>
      <c r="E25" t="s">
        <v>123</v>
      </c>
      <c r="F25">
        <v>126.388888888889</v>
      </c>
      <c r="G25">
        <v>126.388888888889</v>
      </c>
      <c r="H25">
        <v>126.388888888889</v>
      </c>
      <c r="I25">
        <v>126.388888888889</v>
      </c>
      <c r="J25">
        <v>126.388888888889</v>
      </c>
      <c r="K25">
        <v>126.388888888889</v>
      </c>
      <c r="L25">
        <v>126.388888888889</v>
      </c>
      <c r="M25">
        <v>126.388888888889</v>
      </c>
      <c r="N25">
        <v>126.388888888889</v>
      </c>
      <c r="O25">
        <v>126.388888888889</v>
      </c>
      <c r="P25">
        <v>126.388888888889</v>
      </c>
      <c r="Q25">
        <v>126.388888888889</v>
      </c>
      <c r="R25">
        <v>126.388888888889</v>
      </c>
      <c r="S25">
        <v>116.666666666667</v>
      </c>
      <c r="T25">
        <v>116.666666666667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</row>
    <row r="26" spans="1:31" x14ac:dyDescent="0.3">
      <c r="A26" t="s">
        <v>260</v>
      </c>
      <c r="B26" t="s">
        <v>170</v>
      </c>
      <c r="C26" t="s">
        <v>0</v>
      </c>
      <c r="D26" t="s">
        <v>171</v>
      </c>
      <c r="E26" t="s">
        <v>123</v>
      </c>
      <c r="F26">
        <v>240.26815200325601</v>
      </c>
      <c r="G26">
        <v>240.26815200325601</v>
      </c>
      <c r="H26">
        <v>231.36933155869099</v>
      </c>
      <c r="I26">
        <v>223.65702050673499</v>
      </c>
      <c r="J26">
        <v>216.667738615899</v>
      </c>
      <c r="K26">
        <v>216.667738615899</v>
      </c>
      <c r="L26">
        <v>207.63991617356999</v>
      </c>
      <c r="M26">
        <v>207.63991617356999</v>
      </c>
      <c r="N26">
        <v>199.94954890788199</v>
      </c>
      <c r="O26">
        <v>185.66743827160499</v>
      </c>
      <c r="P26">
        <v>178.24074074074099</v>
      </c>
      <c r="Q26">
        <v>168.85964912280701</v>
      </c>
      <c r="R26">
        <v>146.34502923976601</v>
      </c>
      <c r="S26">
        <v>131.710526315789</v>
      </c>
      <c r="T26">
        <v>125.438596491228</v>
      </c>
      <c r="U26">
        <v>108.333333333333</v>
      </c>
      <c r="V26">
        <v>108.333333333333</v>
      </c>
      <c r="W26">
        <v>108.333333333333</v>
      </c>
      <c r="X26">
        <v>108.333333333333</v>
      </c>
      <c r="Y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100</v>
      </c>
    </row>
    <row r="27" spans="1:31" x14ac:dyDescent="0.3">
      <c r="A27" t="s">
        <v>260</v>
      </c>
      <c r="B27" t="s">
        <v>172</v>
      </c>
      <c r="C27" t="s">
        <v>0</v>
      </c>
      <c r="D27" t="s">
        <v>173</v>
      </c>
      <c r="E27" t="s">
        <v>123</v>
      </c>
      <c r="F27">
        <v>244.09710792179601</v>
      </c>
      <c r="G27">
        <v>244.09710792179601</v>
      </c>
      <c r="H27">
        <v>227.82396739367701</v>
      </c>
      <c r="I27">
        <v>227.82396739367701</v>
      </c>
      <c r="J27">
        <v>218.711008697929</v>
      </c>
      <c r="K27">
        <v>218.711008697929</v>
      </c>
      <c r="L27">
        <v>218.711008697929</v>
      </c>
      <c r="M27">
        <v>218.711008697929</v>
      </c>
      <c r="N27">
        <v>209.20183440671499</v>
      </c>
      <c r="O27">
        <v>191.76834820615599</v>
      </c>
      <c r="P27">
        <v>182.63652210110001</v>
      </c>
      <c r="Q27">
        <v>172.49004865103899</v>
      </c>
      <c r="R27">
        <v>150.92879256965901</v>
      </c>
      <c r="S27">
        <v>137.99203892083199</v>
      </c>
      <c r="T27">
        <v>127.37726669615201</v>
      </c>
      <c r="U27">
        <v>111.45510835913301</v>
      </c>
      <c r="V27">
        <v>105.88235294117599</v>
      </c>
      <c r="W27">
        <v>105.88235294117599</v>
      </c>
      <c r="X27">
        <v>105.88235294117599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</row>
    <row r="28" spans="1:31" x14ac:dyDescent="0.3">
      <c r="A28" t="s">
        <v>260</v>
      </c>
      <c r="B28" t="s">
        <v>174</v>
      </c>
      <c r="C28" t="s">
        <v>0</v>
      </c>
      <c r="D28" t="s">
        <v>175</v>
      </c>
      <c r="E28" t="s">
        <v>123</v>
      </c>
      <c r="F28">
        <v>207.558995159093</v>
      </c>
      <c r="G28">
        <v>207.558995159093</v>
      </c>
      <c r="H28">
        <v>201.454318830885</v>
      </c>
      <c r="I28">
        <v>201.454318830885</v>
      </c>
      <c r="J28">
        <v>201.454318830885</v>
      </c>
      <c r="K28">
        <v>201.454318830885</v>
      </c>
      <c r="L28">
        <v>201.454318830885</v>
      </c>
      <c r="M28">
        <v>201.454318830885</v>
      </c>
      <c r="N28">
        <v>194.84925919708499</v>
      </c>
      <c r="O28">
        <v>185.26650874476999</v>
      </c>
      <c r="P28">
        <v>180.39107430411801</v>
      </c>
      <c r="Q28">
        <v>167.950310559006</v>
      </c>
      <c r="R28">
        <v>147.59269715791501</v>
      </c>
      <c r="S28">
        <v>135.293305728088</v>
      </c>
      <c r="T28">
        <v>126.273752012882</v>
      </c>
      <c r="U28">
        <v>111.70370370370399</v>
      </c>
      <c r="V28">
        <v>104</v>
      </c>
      <c r="W28">
        <v>104</v>
      </c>
      <c r="X28">
        <v>104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</row>
    <row r="29" spans="1:31" x14ac:dyDescent="0.3">
      <c r="A29" t="s">
        <v>260</v>
      </c>
      <c r="B29" t="s">
        <v>176</v>
      </c>
      <c r="C29" t="s">
        <v>0</v>
      </c>
      <c r="D29" t="s">
        <v>177</v>
      </c>
      <c r="E29" t="s">
        <v>123</v>
      </c>
      <c r="F29">
        <v>212.75540865384599</v>
      </c>
      <c r="G29">
        <v>212.75540865384599</v>
      </c>
      <c r="H29">
        <v>200.24038461538501</v>
      </c>
      <c r="I29">
        <v>200.24038461538501</v>
      </c>
      <c r="J29">
        <v>200.24038461538501</v>
      </c>
      <c r="K29">
        <v>200.24038461538501</v>
      </c>
      <c r="L29">
        <v>200.24038461538501</v>
      </c>
      <c r="M29">
        <v>200.24038461538501</v>
      </c>
      <c r="N29">
        <v>193.08894230769201</v>
      </c>
      <c r="O29">
        <v>181.730769230769</v>
      </c>
      <c r="P29">
        <v>181.730769230769</v>
      </c>
      <c r="Q29">
        <v>167.75147928994099</v>
      </c>
      <c r="R29">
        <v>145.38461538461499</v>
      </c>
      <c r="S29">
        <v>135</v>
      </c>
      <c r="T29">
        <v>122.727272727273</v>
      </c>
      <c r="U29">
        <v>109.09090909090899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</row>
    <row r="30" spans="1:31" x14ac:dyDescent="0.3">
      <c r="A30" t="s">
        <v>260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 x14ac:dyDescent="0.3">
      <c r="A31" t="s">
        <v>260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260</v>
      </c>
      <c r="B32" t="s">
        <v>182</v>
      </c>
      <c r="C32" t="s">
        <v>0</v>
      </c>
      <c r="D32" t="s">
        <v>183</v>
      </c>
      <c r="E32" t="s">
        <v>123</v>
      </c>
      <c r="F32">
        <v>233.57209592027399</v>
      </c>
      <c r="G32">
        <v>233.57209592027399</v>
      </c>
      <c r="H32">
        <v>233.57209592027399</v>
      </c>
      <c r="I32">
        <v>233.57209592027399</v>
      </c>
      <c r="J32">
        <v>233.57209592027399</v>
      </c>
      <c r="K32">
        <v>233.57209592027399</v>
      </c>
      <c r="L32">
        <v>233.57209592027399</v>
      </c>
      <c r="M32">
        <v>233.57209592027399</v>
      </c>
      <c r="N32">
        <v>224.22921208346301</v>
      </c>
      <c r="O32">
        <v>214.03697517057799</v>
      </c>
      <c r="P32">
        <v>203.33512641204899</v>
      </c>
      <c r="Q32">
        <v>186.390532544379</v>
      </c>
      <c r="R32">
        <v>161.53846153846101</v>
      </c>
      <c r="S32">
        <v>150</v>
      </c>
      <c r="T32">
        <v>140</v>
      </c>
      <c r="U32">
        <v>118.461538461538</v>
      </c>
      <c r="V32">
        <v>107.69230769230801</v>
      </c>
      <c r="W32">
        <v>107.69230769230801</v>
      </c>
      <c r="X32">
        <v>107.69230769230801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</row>
    <row r="33" spans="1:31" x14ac:dyDescent="0.3">
      <c r="A33" t="s">
        <v>260</v>
      </c>
      <c r="B33" t="s">
        <v>184</v>
      </c>
      <c r="C33" t="s">
        <v>0</v>
      </c>
      <c r="D33" t="s">
        <v>185</v>
      </c>
      <c r="E33" t="s">
        <v>123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>
        <v>0</v>
      </c>
      <c r="Q33">
        <v>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260</v>
      </c>
      <c r="B34" t="s">
        <v>186</v>
      </c>
      <c r="C34" t="s">
        <v>0</v>
      </c>
      <c r="D34" t="s">
        <v>187</v>
      </c>
      <c r="E34" t="s">
        <v>123</v>
      </c>
      <c r="F34">
        <v>159.107142857143</v>
      </c>
      <c r="G34">
        <v>159.107142857143</v>
      </c>
      <c r="H34">
        <v>159.107142857143</v>
      </c>
      <c r="I34">
        <v>159.107142857143</v>
      </c>
      <c r="J34">
        <v>159.107142857143</v>
      </c>
      <c r="K34">
        <v>159.107142857143</v>
      </c>
      <c r="L34">
        <v>159.107142857143</v>
      </c>
      <c r="M34">
        <v>159.107142857143</v>
      </c>
      <c r="N34">
        <v>159.107142857143</v>
      </c>
      <c r="O34">
        <v>148.5</v>
      </c>
      <c r="P34">
        <v>148.5</v>
      </c>
      <c r="Q34">
        <v>135</v>
      </c>
      <c r="R34">
        <v>123.75</v>
      </c>
      <c r="S34">
        <v>112.5</v>
      </c>
      <c r="T34">
        <v>112.5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</row>
    <row r="35" spans="1:31" x14ac:dyDescent="0.3">
      <c r="A35" t="s">
        <v>260</v>
      </c>
      <c r="B35" t="s">
        <v>188</v>
      </c>
      <c r="C35" t="s">
        <v>0</v>
      </c>
      <c r="D35" t="s">
        <v>189</v>
      </c>
      <c r="E35" t="s">
        <v>123</v>
      </c>
      <c r="F35">
        <v>237.16417650323501</v>
      </c>
      <c r="G35">
        <v>229.258703953127</v>
      </c>
      <c r="H35">
        <v>223.52723635429899</v>
      </c>
      <c r="I35">
        <v>218.77133770846299</v>
      </c>
      <c r="J35">
        <v>214.72001663978699</v>
      </c>
      <c r="K35">
        <v>214.72001663978699</v>
      </c>
      <c r="L35">
        <v>210.33797548387301</v>
      </c>
      <c r="M35">
        <v>203.55287950052301</v>
      </c>
      <c r="N35">
        <v>196.53381469016</v>
      </c>
      <c r="O35">
        <v>183.28434403689101</v>
      </c>
      <c r="P35">
        <v>180.328144939521</v>
      </c>
      <c r="Q35">
        <v>172.487790811716</v>
      </c>
      <c r="R35">
        <v>152.774900433234</v>
      </c>
      <c r="S35">
        <v>136.693331966578</v>
      </c>
      <c r="T35">
        <v>126.44133206908499</v>
      </c>
      <c r="U35">
        <v>110.636165560449</v>
      </c>
      <c r="V35">
        <v>104.81320947832</v>
      </c>
      <c r="W35">
        <v>102.974381241858</v>
      </c>
      <c r="X35">
        <v>104.08163265306101</v>
      </c>
      <c r="Y35">
        <v>100</v>
      </c>
      <c r="Z35">
        <v>100</v>
      </c>
      <c r="AA35">
        <v>99.152542372881399</v>
      </c>
      <c r="AB35">
        <v>99.152542372881399</v>
      </c>
      <c r="AC35">
        <v>98.487089068365407</v>
      </c>
      <c r="AD35">
        <v>98.487089068365407</v>
      </c>
      <c r="AE35">
        <v>96.774270128045998</v>
      </c>
    </row>
    <row r="36" spans="1:31" x14ac:dyDescent="0.3">
      <c r="A36" t="s">
        <v>260</v>
      </c>
      <c r="B36" t="s">
        <v>190</v>
      </c>
      <c r="C36" t="s">
        <v>0</v>
      </c>
      <c r="D36" t="s">
        <v>191</v>
      </c>
      <c r="E36" t="s">
        <v>123</v>
      </c>
      <c r="F36">
        <v>160.71428571428601</v>
      </c>
      <c r="G36">
        <v>160.71428571428601</v>
      </c>
      <c r="H36">
        <v>160.71428571428601</v>
      </c>
      <c r="I36">
        <v>160.71428571428601</v>
      </c>
      <c r="J36">
        <v>160.71428571428601</v>
      </c>
      <c r="K36">
        <v>160.71428571428601</v>
      </c>
      <c r="L36">
        <v>160.71428571428601</v>
      </c>
      <c r="M36">
        <v>160.71428571428601</v>
      </c>
      <c r="N36">
        <v>160.71428571428601</v>
      </c>
      <c r="O36">
        <v>160.71428571428601</v>
      </c>
      <c r="P36">
        <v>160.71428571428601</v>
      </c>
      <c r="Q36">
        <v>160.71428571428601</v>
      </c>
      <c r="R36">
        <v>142.857142857143</v>
      </c>
      <c r="S36">
        <v>125</v>
      </c>
      <c r="T36">
        <v>111.111111111111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3">
      <c r="A37" t="s">
        <v>260</v>
      </c>
      <c r="B37" t="s">
        <v>192</v>
      </c>
      <c r="C37" t="s">
        <v>0</v>
      </c>
      <c r="D37" t="s">
        <v>193</v>
      </c>
      <c r="E37" t="s">
        <v>123</v>
      </c>
      <c r="F37">
        <v>255.74040180486799</v>
      </c>
      <c r="G37">
        <v>244.115838086465</v>
      </c>
      <c r="H37">
        <v>235.397415297663</v>
      </c>
      <c r="I37">
        <v>228.67177486058699</v>
      </c>
      <c r="J37">
        <v>223.47468906830099</v>
      </c>
      <c r="K37">
        <v>223.47468906830099</v>
      </c>
      <c r="L37">
        <v>217.434832606995</v>
      </c>
      <c r="M37">
        <v>207.98114423277801</v>
      </c>
      <c r="N37">
        <v>196.42663621984599</v>
      </c>
      <c r="O37">
        <v>182.192822001016</v>
      </c>
      <c r="P37">
        <v>178.47460114385299</v>
      </c>
      <c r="Q37">
        <v>169.55087108666001</v>
      </c>
      <c r="R37">
        <v>149.60370978234701</v>
      </c>
      <c r="S37">
        <v>133.68842150762899</v>
      </c>
      <c r="T37">
        <v>127.32230619774199</v>
      </c>
      <c r="U37">
        <v>110.998933608288</v>
      </c>
      <c r="V37">
        <v>104.900091102338</v>
      </c>
      <c r="W37">
        <v>102.59459459459499</v>
      </c>
      <c r="X37">
        <v>104</v>
      </c>
      <c r="Y37">
        <v>100</v>
      </c>
      <c r="Z37">
        <v>100</v>
      </c>
      <c r="AA37">
        <v>98.863636363636402</v>
      </c>
      <c r="AB37">
        <v>98.863636363636402</v>
      </c>
      <c r="AC37">
        <v>97.948232323232304</v>
      </c>
      <c r="AD37">
        <v>97.948232323232304</v>
      </c>
      <c r="AE37">
        <v>96.0646124708625</v>
      </c>
    </row>
    <row r="38" spans="1:31" x14ac:dyDescent="0.3">
      <c r="A38" t="s">
        <v>260</v>
      </c>
      <c r="B38" t="s">
        <v>194</v>
      </c>
      <c r="C38" t="s">
        <v>0</v>
      </c>
      <c r="D38" t="s">
        <v>195</v>
      </c>
      <c r="E38" t="s">
        <v>123</v>
      </c>
      <c r="F38">
        <v>201.432575521644</v>
      </c>
      <c r="G38">
        <v>201.432575521644</v>
      </c>
      <c r="H38">
        <v>201.432575521644</v>
      </c>
      <c r="I38">
        <v>201.432575521644</v>
      </c>
      <c r="J38">
        <v>201.432575521644</v>
      </c>
      <c r="K38">
        <v>201.432575521644</v>
      </c>
      <c r="L38">
        <v>201.432575521644</v>
      </c>
      <c r="M38">
        <v>201.432575521644</v>
      </c>
      <c r="N38">
        <v>201.432575521644</v>
      </c>
      <c r="O38">
        <v>188.84303955154201</v>
      </c>
      <c r="P38">
        <v>188.84303955154201</v>
      </c>
      <c r="Q38">
        <v>180.25926502647201</v>
      </c>
      <c r="R38">
        <v>160.23045780130801</v>
      </c>
      <c r="S38">
        <v>144.97041420118299</v>
      </c>
      <c r="T38">
        <v>130.473372781065</v>
      </c>
      <c r="U38">
        <v>113.07692307692299</v>
      </c>
      <c r="V38">
        <v>105</v>
      </c>
      <c r="W38">
        <v>105</v>
      </c>
      <c r="X38">
        <v>105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</row>
    <row r="39" spans="1:31" x14ac:dyDescent="0.3">
      <c r="A39" t="s">
        <v>260</v>
      </c>
      <c r="B39" t="s">
        <v>196</v>
      </c>
      <c r="C39" t="s">
        <v>0</v>
      </c>
      <c r="D39" t="s">
        <v>197</v>
      </c>
      <c r="E39" t="s">
        <v>123</v>
      </c>
      <c r="F39">
        <v>170</v>
      </c>
      <c r="G39">
        <v>170</v>
      </c>
      <c r="H39">
        <v>170</v>
      </c>
      <c r="I39">
        <v>170</v>
      </c>
      <c r="J39">
        <v>170</v>
      </c>
      <c r="K39">
        <v>170</v>
      </c>
      <c r="L39">
        <v>170</v>
      </c>
      <c r="M39">
        <v>170</v>
      </c>
      <c r="N39">
        <v>170</v>
      </c>
      <c r="O39">
        <v>170</v>
      </c>
      <c r="P39">
        <v>170</v>
      </c>
      <c r="Q39">
        <v>154.54545454545499</v>
      </c>
      <c r="R39">
        <v>136.363636363636</v>
      </c>
      <c r="S39">
        <v>122.727272727273</v>
      </c>
      <c r="T39">
        <v>112.5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</row>
    <row r="40" spans="1:31" x14ac:dyDescent="0.3">
      <c r="A40" t="s">
        <v>260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124.444444444444</v>
      </c>
      <c r="J40">
        <v>124.444444444444</v>
      </c>
      <c r="K40">
        <v>124.444444444444</v>
      </c>
      <c r="L40">
        <v>124.444444444444</v>
      </c>
      <c r="M40">
        <v>124.444444444444</v>
      </c>
      <c r="N40">
        <v>124.444444444444</v>
      </c>
      <c r="O40">
        <v>124.444444444444</v>
      </c>
      <c r="P40">
        <v>124.444444444444</v>
      </c>
      <c r="Q40">
        <v>124.444444444444</v>
      </c>
      <c r="R40">
        <v>106.666666666667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</row>
    <row r="41" spans="1:31" x14ac:dyDescent="0.3">
      <c r="A41" t="s">
        <v>260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260</v>
      </c>
      <c r="B42" t="s">
        <v>202</v>
      </c>
      <c r="C42" t="s">
        <v>0</v>
      </c>
      <c r="D42" t="s">
        <v>203</v>
      </c>
      <c r="E42" t="s">
        <v>123</v>
      </c>
      <c r="F42">
        <v>150.423</v>
      </c>
      <c r="G42">
        <v>150.423</v>
      </c>
      <c r="H42">
        <v>150.423</v>
      </c>
      <c r="I42">
        <v>150.423</v>
      </c>
      <c r="J42">
        <v>150.423</v>
      </c>
      <c r="K42">
        <v>150.423</v>
      </c>
      <c r="L42">
        <v>150.423</v>
      </c>
      <c r="M42">
        <v>150.423</v>
      </c>
      <c r="N42">
        <v>150.423</v>
      </c>
      <c r="O42">
        <v>150.423</v>
      </c>
      <c r="P42">
        <v>150.423</v>
      </c>
      <c r="Q42">
        <v>144.63749999999999</v>
      </c>
      <c r="R42">
        <v>124.6875</v>
      </c>
      <c r="S42">
        <v>111.5625</v>
      </c>
      <c r="T42">
        <v>111.5625</v>
      </c>
      <c r="U42">
        <v>105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</row>
    <row r="43" spans="1:31" x14ac:dyDescent="0.3">
      <c r="A43" t="s">
        <v>260</v>
      </c>
      <c r="B43" t="s">
        <v>204</v>
      </c>
      <c r="C43" t="s">
        <v>0</v>
      </c>
      <c r="D43" t="s">
        <v>205</v>
      </c>
      <c r="E43" t="s">
        <v>123</v>
      </c>
      <c r="F43">
        <v>148.049303675331</v>
      </c>
      <c r="G43">
        <v>148.049303675331</v>
      </c>
      <c r="H43">
        <v>148.049303675331</v>
      </c>
      <c r="I43">
        <v>148.049303675331</v>
      </c>
      <c r="J43">
        <v>148.049303675331</v>
      </c>
      <c r="K43">
        <v>148.049303675331</v>
      </c>
      <c r="L43">
        <v>148.049303675331</v>
      </c>
      <c r="M43">
        <v>148.049303675331</v>
      </c>
      <c r="N43">
        <v>148.049303675331</v>
      </c>
      <c r="O43">
        <v>144.047971143566</v>
      </c>
      <c r="P43">
        <v>144.047971143566</v>
      </c>
      <c r="Q43">
        <v>138.16846211729799</v>
      </c>
      <c r="R43">
        <v>123.095538977229</v>
      </c>
      <c r="S43">
        <v>112.97809741745699</v>
      </c>
      <c r="T43">
        <v>109.83981693363801</v>
      </c>
      <c r="U43">
        <v>104.347826086957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</row>
    <row r="44" spans="1:31" x14ac:dyDescent="0.3">
      <c r="A44" t="s">
        <v>260</v>
      </c>
      <c r="B44" t="s">
        <v>206</v>
      </c>
      <c r="C44" t="s">
        <v>0</v>
      </c>
      <c r="D44" t="s">
        <v>207</v>
      </c>
      <c r="E44" t="s">
        <v>123</v>
      </c>
      <c r="F44">
        <v>186.70566215407101</v>
      </c>
      <c r="G44">
        <v>185.14978163612</v>
      </c>
      <c r="H44">
        <v>180.447564959647</v>
      </c>
      <c r="I44">
        <v>179.01164269206399</v>
      </c>
      <c r="J44">
        <v>176.79065456933401</v>
      </c>
      <c r="K44">
        <v>176.79065456933401</v>
      </c>
      <c r="L44">
        <v>174.86378095004901</v>
      </c>
      <c r="M44">
        <v>174.04666047832001</v>
      </c>
      <c r="N44">
        <v>170.46729471012799</v>
      </c>
      <c r="O44">
        <v>162.151816919391</v>
      </c>
      <c r="P44">
        <v>159.36980045263601</v>
      </c>
      <c r="Q44">
        <v>152.859133649065</v>
      </c>
      <c r="R44">
        <v>135.662481113545</v>
      </c>
      <c r="S44">
        <v>124.1292154281</v>
      </c>
      <c r="T44">
        <v>118.612361409073</v>
      </c>
      <c r="U44">
        <v>105.977566389411</v>
      </c>
      <c r="V44">
        <v>102.407795732083</v>
      </c>
      <c r="W44">
        <v>101.986364473927</v>
      </c>
      <c r="X44">
        <v>102.238805970149</v>
      </c>
      <c r="Y44">
        <v>100</v>
      </c>
      <c r="Z44">
        <v>100</v>
      </c>
      <c r="AA44">
        <v>99.799599198396805</v>
      </c>
      <c r="AB44">
        <v>99.616816049681802</v>
      </c>
      <c r="AC44">
        <v>99.219144129323794</v>
      </c>
      <c r="AD44">
        <v>99.219144129323794</v>
      </c>
      <c r="AE44">
        <v>98.523682838697695</v>
      </c>
    </row>
    <row r="45" spans="1:31" x14ac:dyDescent="0.3">
      <c r="A45" t="s">
        <v>260</v>
      </c>
      <c r="B45" t="s">
        <v>208</v>
      </c>
      <c r="C45" t="s">
        <v>0</v>
      </c>
      <c r="D45" t="s">
        <v>209</v>
      </c>
      <c r="E45" t="s">
        <v>123</v>
      </c>
      <c r="F45">
        <v>187.46141364885</v>
      </c>
      <c r="G45">
        <v>185.84536697946299</v>
      </c>
      <c r="H45">
        <v>180.938558610369</v>
      </c>
      <c r="I45">
        <v>179.44319862185301</v>
      </c>
      <c r="J45">
        <v>177.12481104275901</v>
      </c>
      <c r="K45">
        <v>177.12481104275901</v>
      </c>
      <c r="L45">
        <v>175.134644626549</v>
      </c>
      <c r="M45">
        <v>174.28858354139601</v>
      </c>
      <c r="N45">
        <v>170.570427092513</v>
      </c>
      <c r="O45">
        <v>162.62011057548901</v>
      </c>
      <c r="P45">
        <v>159.72356916574799</v>
      </c>
      <c r="Q45">
        <v>153.08045507748</v>
      </c>
      <c r="R45">
        <v>135.80762516746799</v>
      </c>
      <c r="S45">
        <v>124.325347820947</v>
      </c>
      <c r="T45">
        <v>118.68584750741999</v>
      </c>
      <c r="U45">
        <v>106.082040692473</v>
      </c>
      <c r="V45">
        <v>102.455304258542</v>
      </c>
      <c r="W45">
        <v>102.02662097712501</v>
      </c>
      <c r="X45">
        <v>102.284263959391</v>
      </c>
      <c r="Y45">
        <v>100</v>
      </c>
      <c r="Z45">
        <v>100</v>
      </c>
      <c r="AA45">
        <v>99.796334012219901</v>
      </c>
      <c r="AB45">
        <v>99.610838967587597</v>
      </c>
      <c r="AC45">
        <v>99.206738200984802</v>
      </c>
      <c r="AD45">
        <v>99.206738200984802</v>
      </c>
      <c r="AE45">
        <v>98.498118642406297</v>
      </c>
    </row>
    <row r="46" spans="1:31" x14ac:dyDescent="0.3">
      <c r="A46" t="s">
        <v>260</v>
      </c>
      <c r="B46" t="s">
        <v>210</v>
      </c>
      <c r="C46" t="s">
        <v>0</v>
      </c>
      <c r="D46" t="s">
        <v>211</v>
      </c>
      <c r="E46" t="s">
        <v>123</v>
      </c>
      <c r="F46">
        <v>143.60642153179799</v>
      </c>
      <c r="G46">
        <v>143.60642153179799</v>
      </c>
      <c r="H46">
        <v>143.60642153179799</v>
      </c>
      <c r="I46">
        <v>143.60642153179799</v>
      </c>
      <c r="J46">
        <v>143.60642153179799</v>
      </c>
      <c r="K46">
        <v>143.60642153179799</v>
      </c>
      <c r="L46">
        <v>143.60642153179799</v>
      </c>
      <c r="M46">
        <v>143.60642153179799</v>
      </c>
      <c r="N46">
        <v>143.60642153179799</v>
      </c>
      <c r="O46">
        <v>135.62828700225401</v>
      </c>
      <c r="P46">
        <v>135.62828700225401</v>
      </c>
      <c r="Q46">
        <v>129.73140495867801</v>
      </c>
      <c r="R46">
        <v>119.75206611570199</v>
      </c>
      <c r="S46">
        <v>112.90909090909101</v>
      </c>
      <c r="T46">
        <v>108.566433566434</v>
      </c>
      <c r="U46">
        <v>103.846153846154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</row>
    <row r="47" spans="1:31" x14ac:dyDescent="0.3">
      <c r="A47" t="s">
        <v>260</v>
      </c>
      <c r="B47" t="s">
        <v>212</v>
      </c>
      <c r="C47" t="s">
        <v>0</v>
      </c>
      <c r="D47" t="s">
        <v>213</v>
      </c>
      <c r="E47" t="s">
        <v>123</v>
      </c>
      <c r="F47">
        <v>131.017369727047</v>
      </c>
      <c r="G47">
        <v>131.017369727047</v>
      </c>
      <c r="H47">
        <v>131.017369727047</v>
      </c>
      <c r="I47">
        <v>131.017369727047</v>
      </c>
      <c r="J47">
        <v>131.017369727047</v>
      </c>
      <c r="K47">
        <v>131.017369727047</v>
      </c>
      <c r="L47">
        <v>131.017369727047</v>
      </c>
      <c r="M47">
        <v>131.017369727047</v>
      </c>
      <c r="N47">
        <v>131.017369727047</v>
      </c>
      <c r="O47">
        <v>123.07692307692299</v>
      </c>
      <c r="P47">
        <v>123.07692307692299</v>
      </c>
      <c r="Q47">
        <v>123.07692307692299</v>
      </c>
      <c r="R47">
        <v>114.28571428571399</v>
      </c>
      <c r="S47">
        <v>114.28571428571399</v>
      </c>
      <c r="T47">
        <v>114.28571428571399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</row>
    <row r="48" spans="1:31" x14ac:dyDescent="0.3">
      <c r="A48" t="s">
        <v>260</v>
      </c>
      <c r="B48" t="s">
        <v>214</v>
      </c>
      <c r="C48" t="s">
        <v>0</v>
      </c>
      <c r="D48" t="s">
        <v>215</v>
      </c>
      <c r="E48" t="s">
        <v>123</v>
      </c>
      <c r="F48">
        <v>161.80094009892099</v>
      </c>
      <c r="G48">
        <v>161.80094009892099</v>
      </c>
      <c r="H48">
        <v>161.80094009892099</v>
      </c>
      <c r="I48">
        <v>161.80094009892099</v>
      </c>
      <c r="J48">
        <v>161.80094009892099</v>
      </c>
      <c r="K48">
        <v>161.80094009892099</v>
      </c>
      <c r="L48">
        <v>161.80094009892099</v>
      </c>
      <c r="M48">
        <v>161.80094009892099</v>
      </c>
      <c r="N48">
        <v>159.699629188545</v>
      </c>
      <c r="O48">
        <v>148.29251281793501</v>
      </c>
      <c r="P48">
        <v>146.50585603699599</v>
      </c>
      <c r="Q48">
        <v>142.932542475118</v>
      </c>
      <c r="R48">
        <v>127.726952850106</v>
      </c>
      <c r="S48">
        <v>119.211822660099</v>
      </c>
      <c r="T48">
        <v>113.793103448276</v>
      </c>
      <c r="U48">
        <v>100</v>
      </c>
      <c r="V48">
        <v>100</v>
      </c>
      <c r="W48">
        <v>100</v>
      </c>
      <c r="X48">
        <v>100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100</v>
      </c>
    </row>
    <row r="49" spans="1:31" x14ac:dyDescent="0.3">
      <c r="A49" t="s">
        <v>260</v>
      </c>
      <c r="B49" t="s">
        <v>216</v>
      </c>
      <c r="C49" t="s">
        <v>0</v>
      </c>
      <c r="D49" t="s">
        <v>217</v>
      </c>
      <c r="E49" t="s">
        <v>123</v>
      </c>
      <c r="F49">
        <v>137.34039240112099</v>
      </c>
      <c r="G49">
        <v>137.34039240112099</v>
      </c>
      <c r="H49">
        <v>137.34039240112099</v>
      </c>
      <c r="I49">
        <v>137.34039240112099</v>
      </c>
      <c r="J49">
        <v>137.34039240112099</v>
      </c>
      <c r="K49">
        <v>137.34039240112099</v>
      </c>
      <c r="L49">
        <v>137.34039240112099</v>
      </c>
      <c r="M49">
        <v>137.34039240112099</v>
      </c>
      <c r="N49">
        <v>137.34039240112099</v>
      </c>
      <c r="O49">
        <v>124.26035502958599</v>
      </c>
      <c r="P49">
        <v>124.26035502958599</v>
      </c>
      <c r="Q49">
        <v>115.976331360947</v>
      </c>
      <c r="R49">
        <v>107.69230769230801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</row>
    <row r="50" spans="1:31" x14ac:dyDescent="0.3">
      <c r="A50" t="s">
        <v>260</v>
      </c>
      <c r="B50" t="s">
        <v>218</v>
      </c>
      <c r="C50" t="s">
        <v>0</v>
      </c>
      <c r="D50" t="s">
        <v>219</v>
      </c>
      <c r="E50" t="s">
        <v>123</v>
      </c>
      <c r="F50">
        <v>190.73468173706101</v>
      </c>
      <c r="G50">
        <v>190.73468173706101</v>
      </c>
      <c r="H50">
        <v>190.73468173706101</v>
      </c>
      <c r="I50">
        <v>190.73468173706101</v>
      </c>
      <c r="J50">
        <v>190.73468173706101</v>
      </c>
      <c r="K50">
        <v>190.73468173706101</v>
      </c>
      <c r="L50">
        <v>190.73468173706101</v>
      </c>
      <c r="M50">
        <v>190.73468173706101</v>
      </c>
      <c r="N50">
        <v>185.12483815655901</v>
      </c>
      <c r="O50">
        <v>172.50269010042999</v>
      </c>
      <c r="P50">
        <v>168.39548319327699</v>
      </c>
      <c r="Q50">
        <v>168.39548319327699</v>
      </c>
      <c r="R50">
        <v>141.806722689076</v>
      </c>
      <c r="S50">
        <v>126.05042016806701</v>
      </c>
      <c r="T50">
        <v>117.64705882352899</v>
      </c>
      <c r="U50">
        <v>100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</row>
    <row r="51" spans="1:31" x14ac:dyDescent="0.3">
      <c r="A51" t="s">
        <v>260</v>
      </c>
      <c r="B51" t="s">
        <v>220</v>
      </c>
      <c r="C51" t="s">
        <v>0</v>
      </c>
      <c r="D51" t="s">
        <v>221</v>
      </c>
      <c r="E51" t="s">
        <v>123</v>
      </c>
      <c r="F51">
        <v>194.77066532258101</v>
      </c>
      <c r="G51">
        <v>194.77066532258101</v>
      </c>
      <c r="H51">
        <v>194.77066532258101</v>
      </c>
      <c r="I51">
        <v>194.77066532258101</v>
      </c>
      <c r="J51">
        <v>194.77066532258101</v>
      </c>
      <c r="K51">
        <v>194.77066532258101</v>
      </c>
      <c r="L51">
        <v>194.77066532258101</v>
      </c>
      <c r="M51">
        <v>194.77066532258101</v>
      </c>
      <c r="N51">
        <v>188.68408203125</v>
      </c>
      <c r="O51">
        <v>174.8779296875</v>
      </c>
      <c r="P51">
        <v>170.393880208333</v>
      </c>
      <c r="Q51">
        <v>170.393880208333</v>
      </c>
      <c r="R51">
        <v>143.489583333333</v>
      </c>
      <c r="S51">
        <v>127.54629629629601</v>
      </c>
      <c r="T51">
        <v>118.75</v>
      </c>
      <c r="U51">
        <v>100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</row>
    <row r="52" spans="1:31" x14ac:dyDescent="0.3">
      <c r="A52" t="s">
        <v>260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 t="e">
        <v>#NUM!</v>
      </c>
      <c r="I52" t="e">
        <v>#NUM!</v>
      </c>
      <c r="J52" t="e">
        <v>#NUM!</v>
      </c>
      <c r="K52">
        <v>0</v>
      </c>
      <c r="L52" t="e">
        <v>#NUM!</v>
      </c>
      <c r="M52">
        <v>0</v>
      </c>
      <c r="N52" t="e">
        <v>#NUM!</v>
      </c>
      <c r="O52" t="e">
        <v>#NUM!</v>
      </c>
      <c r="P52" t="e">
        <v>#NUM!</v>
      </c>
      <c r="Q52">
        <v>0</v>
      </c>
      <c r="R52">
        <v>0</v>
      </c>
      <c r="S52">
        <v>0</v>
      </c>
      <c r="T52" t="e">
        <v>#NUM!</v>
      </c>
      <c r="U52" t="e">
        <v>#NUM!</v>
      </c>
      <c r="V52">
        <v>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260</v>
      </c>
      <c r="B53" t="s">
        <v>224</v>
      </c>
      <c r="C53" t="s">
        <v>0</v>
      </c>
      <c r="D53" t="s">
        <v>225</v>
      </c>
      <c r="E53" t="s">
        <v>123</v>
      </c>
      <c r="F53">
        <v>145.894736842105</v>
      </c>
      <c r="G53">
        <v>145.894736842105</v>
      </c>
      <c r="H53">
        <v>145.894736842105</v>
      </c>
      <c r="I53">
        <v>145.894736842105</v>
      </c>
      <c r="J53">
        <v>145.894736842105</v>
      </c>
      <c r="K53">
        <v>145.894736842105</v>
      </c>
      <c r="L53">
        <v>145.894736842105</v>
      </c>
      <c r="M53">
        <v>145.894736842105</v>
      </c>
      <c r="N53">
        <v>145.894736842105</v>
      </c>
      <c r="O53">
        <v>145.894736842105</v>
      </c>
      <c r="P53">
        <v>145.894736842105</v>
      </c>
      <c r="Q53">
        <v>145.894736842105</v>
      </c>
      <c r="R53">
        <v>132</v>
      </c>
      <c r="S53">
        <v>116.470588235294</v>
      </c>
      <c r="T53">
        <v>110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</row>
    <row r="54" spans="1:31" x14ac:dyDescent="0.3">
      <c r="A54" t="s">
        <v>260</v>
      </c>
      <c r="B54" t="s">
        <v>226</v>
      </c>
      <c r="C54" t="s">
        <v>0</v>
      </c>
      <c r="D54" t="s">
        <v>227</v>
      </c>
      <c r="E54" t="s">
        <v>123</v>
      </c>
      <c r="F54">
        <v>144</v>
      </c>
      <c r="G54">
        <v>144</v>
      </c>
      <c r="H54">
        <v>144</v>
      </c>
      <c r="I54">
        <v>144</v>
      </c>
      <c r="J54">
        <v>144</v>
      </c>
      <c r="K54">
        <v>144</v>
      </c>
      <c r="L54">
        <v>144</v>
      </c>
      <c r="M54">
        <v>144</v>
      </c>
      <c r="N54">
        <v>144</v>
      </c>
      <c r="O54">
        <v>144</v>
      </c>
      <c r="P54">
        <v>144</v>
      </c>
      <c r="Q54">
        <v>144</v>
      </c>
      <c r="R54">
        <v>128.57142857142901</v>
      </c>
      <c r="S54">
        <v>117.39130434782599</v>
      </c>
      <c r="T54">
        <v>112.5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</row>
    <row r="55" spans="1:31" x14ac:dyDescent="0.3">
      <c r="A55" t="s">
        <v>260</v>
      </c>
      <c r="B55" t="s">
        <v>228</v>
      </c>
      <c r="C55" t="s">
        <v>0</v>
      </c>
      <c r="D55" t="s">
        <v>229</v>
      </c>
      <c r="E55" t="s">
        <v>123</v>
      </c>
      <c r="F55">
        <v>136.111111111111</v>
      </c>
      <c r="G55">
        <v>136.111111111111</v>
      </c>
      <c r="H55">
        <v>136.111111111111</v>
      </c>
      <c r="I55">
        <v>136.111111111111</v>
      </c>
      <c r="J55">
        <v>136.111111111111</v>
      </c>
      <c r="K55">
        <v>136.111111111111</v>
      </c>
      <c r="L55">
        <v>136.111111111111</v>
      </c>
      <c r="M55">
        <v>136.111111111111</v>
      </c>
      <c r="N55">
        <v>136.111111111111</v>
      </c>
      <c r="O55">
        <v>136.111111111111</v>
      </c>
      <c r="P55">
        <v>136.111111111111</v>
      </c>
      <c r="Q55">
        <v>136.111111111111</v>
      </c>
      <c r="R55">
        <v>116.666666666667</v>
      </c>
      <c r="S55">
        <v>116.666666666667</v>
      </c>
      <c r="T55">
        <v>116.666666666667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</row>
    <row r="56" spans="1:31" x14ac:dyDescent="0.3">
      <c r="A56" t="s">
        <v>260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260</v>
      </c>
      <c r="B57" t="s">
        <v>232</v>
      </c>
      <c r="C57" t="s">
        <v>0</v>
      </c>
      <c r="D57" t="s">
        <v>233</v>
      </c>
      <c r="E57" t="s">
        <v>123</v>
      </c>
      <c r="F57">
        <v>183.80190747336499</v>
      </c>
      <c r="G57">
        <v>182.460287710785</v>
      </c>
      <c r="H57">
        <v>178.38296284574</v>
      </c>
      <c r="I57">
        <v>177.14131809275301</v>
      </c>
      <c r="J57">
        <v>175.26878830318901</v>
      </c>
      <c r="K57">
        <v>175.26878830318901</v>
      </c>
      <c r="L57">
        <v>173.657121284309</v>
      </c>
      <c r="M57">
        <v>172.98403166692799</v>
      </c>
      <c r="N57">
        <v>169.671571486072</v>
      </c>
      <c r="O57">
        <v>160.83154003049501</v>
      </c>
      <c r="P57">
        <v>158.24270236400801</v>
      </c>
      <c r="Q57">
        <v>152.01675997591599</v>
      </c>
      <c r="R57">
        <v>134.92960478482499</v>
      </c>
      <c r="S57">
        <v>123.670578160396</v>
      </c>
      <c r="T57">
        <v>118.23450879070801</v>
      </c>
      <c r="U57">
        <v>105.600579423959</v>
      </c>
      <c r="V57">
        <v>102.24151526733201</v>
      </c>
      <c r="W57">
        <v>101.84599683302901</v>
      </c>
      <c r="X57">
        <v>102.078521939954</v>
      </c>
      <c r="Y57">
        <v>100</v>
      </c>
      <c r="Z57">
        <v>100</v>
      </c>
      <c r="AA57">
        <v>99.811676082862505</v>
      </c>
      <c r="AB57">
        <v>99.638391922996405</v>
      </c>
      <c r="AC57">
        <v>99.2623979912115</v>
      </c>
      <c r="AD57">
        <v>99.2623979912115</v>
      </c>
      <c r="AE57">
        <v>98.6064790617542</v>
      </c>
    </row>
    <row r="58" spans="1:31" x14ac:dyDescent="0.3">
      <c r="A58" t="s">
        <v>260</v>
      </c>
      <c r="B58" t="s">
        <v>234</v>
      </c>
      <c r="C58" t="s">
        <v>0</v>
      </c>
      <c r="D58" t="s">
        <v>235</v>
      </c>
      <c r="E58" t="s">
        <v>123</v>
      </c>
      <c r="F58">
        <v>183.80190747336499</v>
      </c>
      <c r="G58">
        <v>182.460287710785</v>
      </c>
      <c r="H58">
        <v>178.38296284574</v>
      </c>
      <c r="I58">
        <v>177.14131809275301</v>
      </c>
      <c r="J58">
        <v>175.26878830318901</v>
      </c>
      <c r="K58">
        <v>175.26878830318901</v>
      </c>
      <c r="L58">
        <v>173.657121284309</v>
      </c>
      <c r="M58">
        <v>172.98403166692799</v>
      </c>
      <c r="N58">
        <v>169.671571486072</v>
      </c>
      <c r="O58">
        <v>160.83154003049501</v>
      </c>
      <c r="P58">
        <v>158.24270236400801</v>
      </c>
      <c r="Q58">
        <v>152.01675997591599</v>
      </c>
      <c r="R58">
        <v>134.92960478482499</v>
      </c>
      <c r="S58">
        <v>123.670578160396</v>
      </c>
      <c r="T58">
        <v>118.23450879070801</v>
      </c>
      <c r="U58">
        <v>105.600579423959</v>
      </c>
      <c r="V58">
        <v>102.24151526733201</v>
      </c>
      <c r="W58">
        <v>101.84599683302901</v>
      </c>
      <c r="X58">
        <v>102.078521939954</v>
      </c>
      <c r="Y58">
        <v>100</v>
      </c>
      <c r="Z58">
        <v>100</v>
      </c>
      <c r="AA58">
        <v>99.811676082862505</v>
      </c>
      <c r="AB58">
        <v>99.638391922996405</v>
      </c>
      <c r="AC58">
        <v>99.2623979912115</v>
      </c>
      <c r="AD58">
        <v>99.2623979912115</v>
      </c>
      <c r="AE58">
        <v>98.6064790617542</v>
      </c>
    </row>
    <row r="59" spans="1:31" x14ac:dyDescent="0.3">
      <c r="A59" t="s">
        <v>260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261</v>
      </c>
      <c r="B2" t="s">
        <v>121</v>
      </c>
      <c r="C2" t="s">
        <v>0</v>
      </c>
      <c r="D2" t="s">
        <v>122</v>
      </c>
      <c r="E2" t="s">
        <v>123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</row>
    <row r="3" spans="1:31" x14ac:dyDescent="0.3">
      <c r="A3" t="s">
        <v>261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</row>
    <row r="4" spans="1:31" x14ac:dyDescent="0.3">
      <c r="A4" t="s">
        <v>261</v>
      </c>
      <c r="B4" t="s">
        <v>126</v>
      </c>
      <c r="C4" t="s">
        <v>0</v>
      </c>
      <c r="D4" t="s">
        <v>127</v>
      </c>
      <c r="E4" t="s">
        <v>123</v>
      </c>
      <c r="F4">
        <v>87.983145833360098</v>
      </c>
      <c r="G4">
        <v>87.983145833360098</v>
      </c>
      <c r="H4">
        <v>87.983145833360098</v>
      </c>
      <c r="I4">
        <v>87.700241827465106</v>
      </c>
      <c r="J4">
        <v>87.191834628465301</v>
      </c>
      <c r="K4">
        <v>87.191834628465301</v>
      </c>
      <c r="L4">
        <v>86.649146861068203</v>
      </c>
      <c r="M4">
        <v>85.789105701156899</v>
      </c>
      <c r="N4">
        <v>84.810522746390802</v>
      </c>
      <c r="O4">
        <v>87.449854367129106</v>
      </c>
      <c r="P4">
        <v>87.740868857535503</v>
      </c>
      <c r="Q4">
        <v>89.7993056635774</v>
      </c>
      <c r="R4">
        <v>90.984340489049899</v>
      </c>
      <c r="S4">
        <v>93.248958041485906</v>
      </c>
      <c r="T4">
        <v>93.492427905824002</v>
      </c>
      <c r="U4">
        <v>93.847013599524999</v>
      </c>
      <c r="V4">
        <v>95.364440436333197</v>
      </c>
      <c r="W4">
        <v>96.763429782587494</v>
      </c>
      <c r="X4">
        <v>97.978033503707906</v>
      </c>
      <c r="Y4">
        <v>99.171270718231995</v>
      </c>
      <c r="Z4">
        <v>100</v>
      </c>
      <c r="AA4">
        <v>100.441826215022</v>
      </c>
      <c r="AB4">
        <v>101.238983565935</v>
      </c>
      <c r="AC4">
        <v>101.96644931610901</v>
      </c>
      <c r="AD4">
        <v>102.555170155117</v>
      </c>
      <c r="AE4">
        <v>103.46374309115301</v>
      </c>
    </row>
    <row r="5" spans="1:31" x14ac:dyDescent="0.3">
      <c r="A5" t="s">
        <v>261</v>
      </c>
      <c r="B5" t="s">
        <v>128</v>
      </c>
      <c r="C5" t="s">
        <v>0</v>
      </c>
      <c r="D5" t="s">
        <v>129</v>
      </c>
      <c r="E5" t="s">
        <v>123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</row>
    <row r="6" spans="1:31" x14ac:dyDescent="0.3">
      <c r="A6" t="s">
        <v>261</v>
      </c>
      <c r="B6" t="s">
        <v>130</v>
      </c>
      <c r="C6" t="s">
        <v>0</v>
      </c>
      <c r="D6" t="s">
        <v>131</v>
      </c>
      <c r="E6" t="s">
        <v>123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</row>
    <row r="7" spans="1:31" x14ac:dyDescent="0.3">
      <c r="A7" t="s">
        <v>261</v>
      </c>
      <c r="B7" t="s">
        <v>132</v>
      </c>
      <c r="C7" t="s">
        <v>0</v>
      </c>
      <c r="D7" t="s">
        <v>133</v>
      </c>
      <c r="E7" t="s">
        <v>123</v>
      </c>
      <c r="F7">
        <v>88.368137152027998</v>
      </c>
      <c r="G7">
        <v>88.368137152027998</v>
      </c>
      <c r="H7">
        <v>88.368137152027998</v>
      </c>
      <c r="I7">
        <v>87.277172495830101</v>
      </c>
      <c r="J7">
        <v>86.186207839632203</v>
      </c>
      <c r="K7">
        <v>86.186207839632203</v>
      </c>
      <c r="L7">
        <v>85.037058401770494</v>
      </c>
      <c r="M7">
        <v>83.607864142917194</v>
      </c>
      <c r="N7">
        <v>82.202689955641304</v>
      </c>
      <c r="O7">
        <v>84.596943061145396</v>
      </c>
      <c r="P7">
        <v>85.122389912456796</v>
      </c>
      <c r="Q7">
        <v>87.6137769342848</v>
      </c>
      <c r="R7">
        <v>89.298657259944207</v>
      </c>
      <c r="S7">
        <v>91.568962105536002</v>
      </c>
      <c r="T7">
        <v>92.267961816265299</v>
      </c>
      <c r="U7">
        <v>93.024256585251095</v>
      </c>
      <c r="V7">
        <v>94.903534496064196</v>
      </c>
      <c r="W7">
        <v>96.598240469208207</v>
      </c>
      <c r="X7">
        <v>98.387096774193594</v>
      </c>
      <c r="Y7">
        <v>100</v>
      </c>
      <c r="Z7">
        <v>100</v>
      </c>
      <c r="AA7">
        <v>100</v>
      </c>
      <c r="AB7">
        <v>101.369863013699</v>
      </c>
      <c r="AC7">
        <v>101.369863013699</v>
      </c>
      <c r="AD7">
        <v>102.50885023857199</v>
      </c>
      <c r="AE7">
        <v>103.416008205285</v>
      </c>
    </row>
    <row r="8" spans="1:31" x14ac:dyDescent="0.3">
      <c r="A8" t="s">
        <v>261</v>
      </c>
      <c r="B8" t="s">
        <v>134</v>
      </c>
      <c r="C8" t="s">
        <v>0</v>
      </c>
      <c r="D8" t="s">
        <v>135</v>
      </c>
      <c r="E8" t="s">
        <v>123</v>
      </c>
      <c r="F8">
        <v>95.652173913043498</v>
      </c>
      <c r="G8">
        <v>95.652173913043498</v>
      </c>
      <c r="H8">
        <v>95.652173913043498</v>
      </c>
      <c r="I8">
        <v>95.652173913043498</v>
      </c>
      <c r="J8">
        <v>95.652173913043498</v>
      </c>
      <c r="K8">
        <v>95.652173913043498</v>
      </c>
      <c r="L8">
        <v>95.652173913043498</v>
      </c>
      <c r="M8">
        <v>95.652173913043498</v>
      </c>
      <c r="N8">
        <v>95.652173913043498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102.173913043478</v>
      </c>
      <c r="AD8">
        <v>104.101722723544</v>
      </c>
      <c r="AE8">
        <v>106.841241742585</v>
      </c>
    </row>
    <row r="9" spans="1:31" x14ac:dyDescent="0.3">
      <c r="A9" t="s">
        <v>261</v>
      </c>
      <c r="B9" t="s">
        <v>136</v>
      </c>
      <c r="C9" t="s">
        <v>0</v>
      </c>
      <c r="D9" t="s">
        <v>137</v>
      </c>
      <c r="E9" t="s">
        <v>123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</row>
    <row r="10" spans="1:31" x14ac:dyDescent="0.3">
      <c r="A10" t="s">
        <v>261</v>
      </c>
      <c r="B10" t="s">
        <v>138</v>
      </c>
      <c r="C10" t="s">
        <v>0</v>
      </c>
      <c r="D10" t="s">
        <v>139</v>
      </c>
      <c r="E10" t="s">
        <v>123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">
      <c r="A11" t="s">
        <v>261</v>
      </c>
      <c r="B11" t="s">
        <v>140</v>
      </c>
      <c r="C11" t="s">
        <v>0</v>
      </c>
      <c r="D11" t="s">
        <v>141</v>
      </c>
      <c r="E11" t="s">
        <v>123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</row>
    <row r="12" spans="1:31" x14ac:dyDescent="0.3">
      <c r="A12" t="s">
        <v>261</v>
      </c>
      <c r="B12" t="s">
        <v>142</v>
      </c>
      <c r="C12" t="s">
        <v>0</v>
      </c>
      <c r="D12" t="s">
        <v>143</v>
      </c>
      <c r="E12" t="s">
        <v>123</v>
      </c>
      <c r="F12">
        <v>95.270270270270203</v>
      </c>
      <c r="G12">
        <v>95.270270270270203</v>
      </c>
      <c r="H12">
        <v>95.270270270270203</v>
      </c>
      <c r="I12">
        <v>95.270270270270302</v>
      </c>
      <c r="J12">
        <v>95.270270270270302</v>
      </c>
      <c r="K12">
        <v>95.270270270270302</v>
      </c>
      <c r="L12">
        <v>95.270270270270302</v>
      </c>
      <c r="M12">
        <v>95.270270270270302</v>
      </c>
      <c r="N12">
        <v>95.270270270270302</v>
      </c>
      <c r="O12">
        <v>95.270270270270302</v>
      </c>
      <c r="P12">
        <v>95.270270270270302</v>
      </c>
      <c r="Q12">
        <v>97.297297297297305</v>
      </c>
      <c r="R12">
        <v>97.297297297297305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</row>
    <row r="13" spans="1:31" x14ac:dyDescent="0.3">
      <c r="A13" t="s">
        <v>261</v>
      </c>
      <c r="B13" t="s">
        <v>144</v>
      </c>
      <c r="C13" t="s">
        <v>0</v>
      </c>
      <c r="D13" t="s">
        <v>145</v>
      </c>
      <c r="E13" t="s">
        <v>123</v>
      </c>
      <c r="F13">
        <v>93.151521555367694</v>
      </c>
      <c r="G13">
        <v>93.151521555367694</v>
      </c>
      <c r="H13">
        <v>93.151521555367694</v>
      </c>
      <c r="I13">
        <v>93.151521555367694</v>
      </c>
      <c r="J13">
        <v>93.151521555367694</v>
      </c>
      <c r="K13">
        <v>93.151521555367694</v>
      </c>
      <c r="L13">
        <v>93.151521555367694</v>
      </c>
      <c r="M13">
        <v>93.151521555367694</v>
      </c>
      <c r="N13">
        <v>91.325021132713502</v>
      </c>
      <c r="O13">
        <v>93.448858833474205</v>
      </c>
      <c r="P13">
        <v>93.448858833474205</v>
      </c>
      <c r="Q13">
        <v>95.281189398836503</v>
      </c>
      <c r="R13">
        <v>96.769957983193294</v>
      </c>
      <c r="S13">
        <v>98.529411764705898</v>
      </c>
      <c r="T13">
        <v>98.529411764705898</v>
      </c>
      <c r="U13">
        <v>98.529411764705898</v>
      </c>
      <c r="V13">
        <v>98.529411764705898</v>
      </c>
      <c r="W13">
        <v>98.529411764705898</v>
      </c>
      <c r="X13">
        <v>98.529411764705898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</row>
    <row r="14" spans="1:31" x14ac:dyDescent="0.3">
      <c r="A14" t="s">
        <v>261</v>
      </c>
      <c r="B14" t="s">
        <v>146</v>
      </c>
      <c r="C14" t="s">
        <v>0</v>
      </c>
      <c r="D14" t="s">
        <v>147</v>
      </c>
      <c r="E14" t="s">
        <v>123</v>
      </c>
      <c r="F14">
        <v>83.249773676918807</v>
      </c>
      <c r="G14">
        <v>83.249773676918807</v>
      </c>
      <c r="H14">
        <v>83.249773676918807</v>
      </c>
      <c r="I14">
        <v>83.249773676918807</v>
      </c>
      <c r="J14">
        <v>82.221998693253099</v>
      </c>
      <c r="K14">
        <v>82.221998693253099</v>
      </c>
      <c r="L14">
        <v>81.4314025519719</v>
      </c>
      <c r="M14">
        <v>80.292501816979197</v>
      </c>
      <c r="N14">
        <v>78.686651780639707</v>
      </c>
      <c r="O14">
        <v>83.528907274832804</v>
      </c>
      <c r="P14">
        <v>84.060938531360506</v>
      </c>
      <c r="Q14">
        <v>86.772581709791396</v>
      </c>
      <c r="R14">
        <v>88.275137237233693</v>
      </c>
      <c r="S14">
        <v>90.960312514411896</v>
      </c>
      <c r="T14">
        <v>91.279471505690594</v>
      </c>
      <c r="U14">
        <v>91.844669471670102</v>
      </c>
      <c r="V14">
        <v>93.6012615107458</v>
      </c>
      <c r="W14">
        <v>95.534030922472098</v>
      </c>
      <c r="X14">
        <v>97.136950904392705</v>
      </c>
      <c r="Y14">
        <v>98.6666666666667</v>
      </c>
      <c r="Z14">
        <v>100</v>
      </c>
      <c r="AA14">
        <v>101.020408163265</v>
      </c>
      <c r="AB14">
        <v>101.951471832973</v>
      </c>
      <c r="AC14">
        <v>102.936510208171</v>
      </c>
      <c r="AD14">
        <v>103.93106586235599</v>
      </c>
      <c r="AE14">
        <v>105.78697775275501</v>
      </c>
    </row>
    <row r="15" spans="1:31" x14ac:dyDescent="0.3">
      <c r="A15" t="s">
        <v>261</v>
      </c>
      <c r="B15" t="s">
        <v>148</v>
      </c>
      <c r="C15" t="s">
        <v>0</v>
      </c>
      <c r="D15" t="s">
        <v>149</v>
      </c>
      <c r="E15" t="s">
        <v>123</v>
      </c>
      <c r="F15">
        <v>84.054949180447096</v>
      </c>
      <c r="G15">
        <v>84.054949180447096</v>
      </c>
      <c r="H15">
        <v>84.054949180447096</v>
      </c>
      <c r="I15">
        <v>84.054949180447096</v>
      </c>
      <c r="J15">
        <v>83.214399688642601</v>
      </c>
      <c r="K15">
        <v>83.214399688642601</v>
      </c>
      <c r="L15">
        <v>82.509192911620204</v>
      </c>
      <c r="M15">
        <v>81.401686966497806</v>
      </c>
      <c r="N15">
        <v>79.965186608265498</v>
      </c>
      <c r="O15">
        <v>84.407696975391303</v>
      </c>
      <c r="P15">
        <v>84.892798682146505</v>
      </c>
      <c r="Q15">
        <v>87.379198643548193</v>
      </c>
      <c r="R15">
        <v>88.760687950165604</v>
      </c>
      <c r="S15">
        <v>91.450405766837306</v>
      </c>
      <c r="T15">
        <v>91.730070616277203</v>
      </c>
      <c r="U15">
        <v>92.242529111340204</v>
      </c>
      <c r="V15">
        <v>94.092003379236701</v>
      </c>
      <c r="W15">
        <v>95.872122362087097</v>
      </c>
      <c r="X15">
        <v>97.389086323512601</v>
      </c>
      <c r="Y15">
        <v>98.770491803278702</v>
      </c>
      <c r="Z15">
        <v>100</v>
      </c>
      <c r="AA15">
        <v>100.93023255814001</v>
      </c>
      <c r="AB15">
        <v>101.747481404764</v>
      </c>
      <c r="AC15">
        <v>102.595377083137</v>
      </c>
      <c r="AD15">
        <v>103.432890365448</v>
      </c>
      <c r="AE15">
        <v>104.98438372093</v>
      </c>
    </row>
    <row r="16" spans="1:31" x14ac:dyDescent="0.3">
      <c r="A16" t="s">
        <v>261</v>
      </c>
      <c r="B16" t="s">
        <v>150</v>
      </c>
      <c r="C16" t="s">
        <v>0</v>
      </c>
      <c r="D16" t="s">
        <v>151</v>
      </c>
      <c r="E16" t="s">
        <v>123</v>
      </c>
      <c r="F16">
        <v>94.285714285714306</v>
      </c>
      <c r="G16">
        <v>94.285714285714306</v>
      </c>
      <c r="H16">
        <v>94.285714285714306</v>
      </c>
      <c r="I16">
        <v>94.285714285714306</v>
      </c>
      <c r="J16">
        <v>94.285714285714306</v>
      </c>
      <c r="K16">
        <v>94.285714285714306</v>
      </c>
      <c r="L16">
        <v>94.285714285714306</v>
      </c>
      <c r="M16">
        <v>94.285714285714306</v>
      </c>
      <c r="N16">
        <v>94.285714285714306</v>
      </c>
      <c r="O16">
        <v>94.285714285714306</v>
      </c>
      <c r="P16">
        <v>94.285714285714306</v>
      </c>
      <c r="Q16">
        <v>94.285714285714306</v>
      </c>
      <c r="R16">
        <v>94.285714285714306</v>
      </c>
      <c r="S16">
        <v>97.058823529411796</v>
      </c>
      <c r="T16">
        <v>97.058823529411796</v>
      </c>
      <c r="U16">
        <v>97.058823529411796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</row>
    <row r="17" spans="1:31" x14ac:dyDescent="0.3">
      <c r="A17" t="s">
        <v>261</v>
      </c>
      <c r="B17" t="s">
        <v>152</v>
      </c>
      <c r="C17" t="s">
        <v>0</v>
      </c>
      <c r="D17" t="s">
        <v>153</v>
      </c>
      <c r="E17" t="s">
        <v>123</v>
      </c>
      <c r="F17">
        <v>81.027578723384096</v>
      </c>
      <c r="G17">
        <v>81.027578723384096</v>
      </c>
      <c r="H17">
        <v>81.027578723384096</v>
      </c>
      <c r="I17">
        <v>81.027578723384096</v>
      </c>
      <c r="J17">
        <v>81.027578723384096</v>
      </c>
      <c r="K17">
        <v>81.027578723384096</v>
      </c>
      <c r="L17">
        <v>81.027578723384096</v>
      </c>
      <c r="M17">
        <v>81.027578723384096</v>
      </c>
      <c r="N17">
        <v>81.027578723384096</v>
      </c>
      <c r="O17">
        <v>83.684220648741004</v>
      </c>
      <c r="P17">
        <v>83.684220648740904</v>
      </c>
      <c r="Q17">
        <v>85.2057519332635</v>
      </c>
      <c r="R17">
        <v>86.2981333683054</v>
      </c>
      <c r="S17">
        <v>89.6172923440094</v>
      </c>
      <c r="T17">
        <v>89.6172923440094</v>
      </c>
      <c r="U17">
        <v>89.6172923440094</v>
      </c>
      <c r="V17">
        <v>92.083823325954597</v>
      </c>
      <c r="W17">
        <v>94.5070818345324</v>
      </c>
      <c r="X17">
        <v>96.591796875</v>
      </c>
      <c r="Y17">
        <v>98.4375</v>
      </c>
      <c r="Z17">
        <v>100</v>
      </c>
      <c r="AA17">
        <v>100.66225165562901</v>
      </c>
      <c r="AB17">
        <v>102.47055557758701</v>
      </c>
      <c r="AC17">
        <v>103.920610609345</v>
      </c>
      <c r="AD17">
        <v>104.50443426445401</v>
      </c>
      <c r="AE17">
        <v>105.99027930138899</v>
      </c>
    </row>
    <row r="18" spans="1:31" x14ac:dyDescent="0.3">
      <c r="A18" t="s">
        <v>261</v>
      </c>
      <c r="B18" t="s">
        <v>154</v>
      </c>
      <c r="C18" t="s">
        <v>0</v>
      </c>
      <c r="D18" t="s">
        <v>155</v>
      </c>
      <c r="E18" t="s">
        <v>123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</row>
    <row r="19" spans="1:31" x14ac:dyDescent="0.3">
      <c r="A19" t="s">
        <v>261</v>
      </c>
      <c r="B19" t="s">
        <v>156</v>
      </c>
      <c r="C19" t="s">
        <v>0</v>
      </c>
      <c r="D19" t="s">
        <v>157</v>
      </c>
      <c r="E19" t="s">
        <v>123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</row>
    <row r="20" spans="1:31" x14ac:dyDescent="0.3">
      <c r="A20" t="s">
        <v>261</v>
      </c>
      <c r="B20" t="s">
        <v>158</v>
      </c>
      <c r="C20" t="s">
        <v>0</v>
      </c>
      <c r="D20" t="s">
        <v>159</v>
      </c>
      <c r="E20" t="s">
        <v>123</v>
      </c>
      <c r="F20">
        <v>82.829429786079999</v>
      </c>
      <c r="G20">
        <v>82.829429786079999</v>
      </c>
      <c r="H20">
        <v>82.829429786079999</v>
      </c>
      <c r="I20">
        <v>82.829429786079999</v>
      </c>
      <c r="J20">
        <v>82.829429786079999</v>
      </c>
      <c r="K20">
        <v>82.829429786079999</v>
      </c>
      <c r="L20">
        <v>82.829429786079999</v>
      </c>
      <c r="M20">
        <v>82.829429786079999</v>
      </c>
      <c r="N20">
        <v>82.829429786079999</v>
      </c>
      <c r="O20">
        <v>85.897186444823703</v>
      </c>
      <c r="P20">
        <v>85.897186444823703</v>
      </c>
      <c r="Q20">
        <v>87.942357550652801</v>
      </c>
      <c r="R20">
        <v>89.941047494985796</v>
      </c>
      <c r="S20">
        <v>91.814819317797998</v>
      </c>
      <c r="T20">
        <v>91.814819317797998</v>
      </c>
      <c r="U20">
        <v>91.814819317797998</v>
      </c>
      <c r="V20">
        <v>93.145468873128394</v>
      </c>
      <c r="W20">
        <v>95.697399527186704</v>
      </c>
      <c r="X20">
        <v>97.7777777777778</v>
      </c>
      <c r="Y20">
        <v>98.8888888888889</v>
      </c>
      <c r="Z20">
        <v>100</v>
      </c>
      <c r="AA20">
        <v>101.020408163265</v>
      </c>
      <c r="AB20">
        <v>102.095093356492</v>
      </c>
      <c r="AC20">
        <v>102.967700992017</v>
      </c>
      <c r="AD20">
        <v>103.840308627543</v>
      </c>
      <c r="AE20">
        <v>105.585523898594</v>
      </c>
    </row>
    <row r="21" spans="1:31" x14ac:dyDescent="0.3">
      <c r="A21" t="s">
        <v>261</v>
      </c>
      <c r="B21" t="s">
        <v>160</v>
      </c>
      <c r="C21" t="s">
        <v>0</v>
      </c>
      <c r="D21" t="s">
        <v>161</v>
      </c>
      <c r="E21" t="s">
        <v>123</v>
      </c>
      <c r="F21">
        <v>83.821221714193101</v>
      </c>
      <c r="G21">
        <v>83.821221714193101</v>
      </c>
      <c r="H21">
        <v>83.821221714193101</v>
      </c>
      <c r="I21">
        <v>83.821221714193101</v>
      </c>
      <c r="J21">
        <v>83.821221714193101</v>
      </c>
      <c r="K21">
        <v>83.821221714193101</v>
      </c>
      <c r="L21">
        <v>83.821221714193101</v>
      </c>
      <c r="M21">
        <v>83.821221714193101</v>
      </c>
      <c r="N21">
        <v>83.821221714193101</v>
      </c>
      <c r="O21">
        <v>86.711608669854897</v>
      </c>
      <c r="P21">
        <v>86.711608669854897</v>
      </c>
      <c r="Q21">
        <v>88.682327048715194</v>
      </c>
      <c r="R21">
        <v>90.529875528896795</v>
      </c>
      <c r="S21">
        <v>92.304971127502597</v>
      </c>
      <c r="T21">
        <v>92.304971127502597</v>
      </c>
      <c r="U21">
        <v>92.304971127502597</v>
      </c>
      <c r="V21">
        <v>93.586984615384594</v>
      </c>
      <c r="W21">
        <v>96.049800000000005</v>
      </c>
      <c r="X21">
        <v>98.01</v>
      </c>
      <c r="Y21">
        <v>99</v>
      </c>
      <c r="Z21">
        <v>100</v>
      </c>
      <c r="AA21">
        <v>100.934579439252</v>
      </c>
      <c r="AB21">
        <v>101.89586114819799</v>
      </c>
      <c r="AC21">
        <v>102.69819076353799</v>
      </c>
      <c r="AD21">
        <v>103.488176846334</v>
      </c>
      <c r="AE21">
        <v>105.10517960955799</v>
      </c>
    </row>
    <row r="22" spans="1:31" x14ac:dyDescent="0.3">
      <c r="A22" t="s">
        <v>261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</row>
    <row r="23" spans="1:31" x14ac:dyDescent="0.3">
      <c r="A23" t="s">
        <v>261</v>
      </c>
      <c r="B23" t="s">
        <v>164</v>
      </c>
      <c r="C23" t="s">
        <v>0</v>
      </c>
      <c r="D23" t="s">
        <v>165</v>
      </c>
      <c r="E23" t="s">
        <v>123</v>
      </c>
      <c r="F23">
        <v>88.025408554922507</v>
      </c>
      <c r="G23">
        <v>88.025408554922507</v>
      </c>
      <c r="H23">
        <v>88.025408554922507</v>
      </c>
      <c r="I23">
        <v>88.025408554922507</v>
      </c>
      <c r="J23">
        <v>88.025408554922507</v>
      </c>
      <c r="K23">
        <v>88.025408554922507</v>
      </c>
      <c r="L23">
        <v>88.025408554922393</v>
      </c>
      <c r="M23">
        <v>88.025408554922507</v>
      </c>
      <c r="N23">
        <v>88.025408554922507</v>
      </c>
      <c r="O23">
        <v>90.540420227920293</v>
      </c>
      <c r="P23">
        <v>90.540420227920194</v>
      </c>
      <c r="Q23">
        <v>92.646011396011403</v>
      </c>
      <c r="R23">
        <v>92.646011396011403</v>
      </c>
      <c r="S23">
        <v>95.840701444149701</v>
      </c>
      <c r="T23">
        <v>95.840701444149701</v>
      </c>
      <c r="U23">
        <v>95.840701444149701</v>
      </c>
      <c r="V23">
        <v>95.840701444149701</v>
      </c>
      <c r="W23">
        <v>97.583259652225195</v>
      </c>
      <c r="X23">
        <v>97.583259652225195</v>
      </c>
      <c r="Y23">
        <v>98.850574712643706</v>
      </c>
      <c r="Z23">
        <v>100</v>
      </c>
      <c r="AA23">
        <v>101.098901098901</v>
      </c>
      <c r="AB23">
        <v>101.864801864802</v>
      </c>
      <c r="AC23">
        <v>102.94846996974699</v>
      </c>
      <c r="AD23">
        <v>103.84367405643999</v>
      </c>
      <c r="AE23">
        <v>104.832661428406</v>
      </c>
    </row>
    <row r="24" spans="1:31" x14ac:dyDescent="0.3">
      <c r="A24" t="s">
        <v>261</v>
      </c>
      <c r="B24" t="s">
        <v>166</v>
      </c>
      <c r="C24" t="s">
        <v>0</v>
      </c>
      <c r="D24" t="s">
        <v>167</v>
      </c>
      <c r="E24" t="s">
        <v>123</v>
      </c>
      <c r="F24">
        <v>85.289489947573401</v>
      </c>
      <c r="G24">
        <v>85.289489947573401</v>
      </c>
      <c r="H24">
        <v>85.289489947573401</v>
      </c>
      <c r="I24">
        <v>85.289489947573401</v>
      </c>
      <c r="J24">
        <v>84.362430274230206</v>
      </c>
      <c r="K24">
        <v>84.362430274230206</v>
      </c>
      <c r="L24">
        <v>83.230048659811004</v>
      </c>
      <c r="M24">
        <v>81.795047820848794</v>
      </c>
      <c r="N24">
        <v>80.203704478030701</v>
      </c>
      <c r="O24">
        <v>83.411852657151897</v>
      </c>
      <c r="P24">
        <v>83.771386504812099</v>
      </c>
      <c r="Q24">
        <v>86.284528099956404</v>
      </c>
      <c r="R24">
        <v>87.976381592112403</v>
      </c>
      <c r="S24">
        <v>90.884691727388898</v>
      </c>
      <c r="T24">
        <v>91.266560180024996</v>
      </c>
      <c r="U24">
        <v>91.675827266034005</v>
      </c>
      <c r="V24">
        <v>93.546762516361298</v>
      </c>
      <c r="W24">
        <v>95.8283908704189</v>
      </c>
      <c r="X24">
        <v>97.349476439790607</v>
      </c>
      <c r="Y24">
        <v>98.952879581151805</v>
      </c>
      <c r="Z24">
        <v>100</v>
      </c>
      <c r="AA24">
        <v>100.833333333333</v>
      </c>
      <c r="AB24">
        <v>101.908888888889</v>
      </c>
      <c r="AC24">
        <v>103.130818012257</v>
      </c>
      <c r="AD24">
        <v>103.88359770577701</v>
      </c>
      <c r="AE24">
        <v>105.663188244634</v>
      </c>
    </row>
    <row r="25" spans="1:31" x14ac:dyDescent="0.3">
      <c r="A25" t="s">
        <v>261</v>
      </c>
      <c r="B25" t="s">
        <v>168</v>
      </c>
      <c r="C25" t="s">
        <v>0</v>
      </c>
      <c r="D25" t="s">
        <v>169</v>
      </c>
      <c r="E25" t="s">
        <v>123</v>
      </c>
      <c r="F25">
        <v>85.527272727272802</v>
      </c>
      <c r="G25">
        <v>85.527272727272802</v>
      </c>
      <c r="H25">
        <v>85.527272727272802</v>
      </c>
      <c r="I25">
        <v>85.527272727272802</v>
      </c>
      <c r="J25">
        <v>85.527272727272802</v>
      </c>
      <c r="K25">
        <v>85.527272727272802</v>
      </c>
      <c r="L25">
        <v>85.527272727272802</v>
      </c>
      <c r="M25">
        <v>85.527272727272802</v>
      </c>
      <c r="N25">
        <v>85.527272727272802</v>
      </c>
      <c r="O25">
        <v>91.636363636363697</v>
      </c>
      <c r="P25">
        <v>91.636363636363697</v>
      </c>
      <c r="Q25">
        <v>91.636363636363697</v>
      </c>
      <c r="R25">
        <v>91.636363636363697</v>
      </c>
      <c r="S25">
        <v>96</v>
      </c>
      <c r="T25">
        <v>96</v>
      </c>
      <c r="U25">
        <v>96</v>
      </c>
      <c r="V25">
        <v>96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102.325581395349</v>
      </c>
      <c r="AD25">
        <v>102.325581395349</v>
      </c>
      <c r="AE25">
        <v>104.651162790698</v>
      </c>
    </row>
    <row r="26" spans="1:31" x14ac:dyDescent="0.3">
      <c r="A26" t="s">
        <v>261</v>
      </c>
      <c r="B26" t="s">
        <v>170</v>
      </c>
      <c r="C26" t="s">
        <v>0</v>
      </c>
      <c r="D26" t="s">
        <v>171</v>
      </c>
      <c r="E26" t="s">
        <v>123</v>
      </c>
      <c r="F26">
        <v>85.056260749722099</v>
      </c>
      <c r="G26">
        <v>85.056260749722099</v>
      </c>
      <c r="H26">
        <v>85.056260749722099</v>
      </c>
      <c r="I26">
        <v>85.056260749722099</v>
      </c>
      <c r="J26">
        <v>83.727256675507704</v>
      </c>
      <c r="K26">
        <v>83.727256675507704</v>
      </c>
      <c r="L26">
        <v>82.190976736507494</v>
      </c>
      <c r="M26">
        <v>80.916698027414398</v>
      </c>
      <c r="N26">
        <v>79.2983640668661</v>
      </c>
      <c r="O26">
        <v>82.064586069198597</v>
      </c>
      <c r="P26">
        <v>82.544495929252406</v>
      </c>
      <c r="Q26">
        <v>85.471605713977695</v>
      </c>
      <c r="R26">
        <v>87.399536669932104</v>
      </c>
      <c r="S26">
        <v>90.097053233818897</v>
      </c>
      <c r="T26">
        <v>90.633345217353494</v>
      </c>
      <c r="U26">
        <v>91.271608211841894</v>
      </c>
      <c r="V26">
        <v>93.357816399541207</v>
      </c>
      <c r="W26">
        <v>95.460469922053406</v>
      </c>
      <c r="X26">
        <v>97.019008206495101</v>
      </c>
      <c r="Y26">
        <v>98.884758364312304</v>
      </c>
      <c r="Z26">
        <v>100</v>
      </c>
      <c r="AA26">
        <v>100.862068965517</v>
      </c>
      <c r="AB26">
        <v>102.008228840125</v>
      </c>
      <c r="AC26">
        <v>103.133319599391</v>
      </c>
      <c r="AD26">
        <v>103.961699676495</v>
      </c>
      <c r="AE26">
        <v>105.70018963763999</v>
      </c>
    </row>
    <row r="27" spans="1:31" x14ac:dyDescent="0.3">
      <c r="A27" t="s">
        <v>261</v>
      </c>
      <c r="B27" t="s">
        <v>172</v>
      </c>
      <c r="C27" t="s">
        <v>0</v>
      </c>
      <c r="D27" t="s">
        <v>173</v>
      </c>
      <c r="E27" t="s">
        <v>123</v>
      </c>
      <c r="F27">
        <v>85.761173650543597</v>
      </c>
      <c r="G27">
        <v>85.761173650543597</v>
      </c>
      <c r="H27">
        <v>85.761173650543597</v>
      </c>
      <c r="I27">
        <v>85.761173650543597</v>
      </c>
      <c r="J27">
        <v>85.761173650543597</v>
      </c>
      <c r="K27">
        <v>85.761173650543498</v>
      </c>
      <c r="L27">
        <v>85.761173650543498</v>
      </c>
      <c r="M27">
        <v>83.081136973964107</v>
      </c>
      <c r="N27">
        <v>81.054767779477103</v>
      </c>
      <c r="O27">
        <v>85.211422537399002</v>
      </c>
      <c r="P27">
        <v>85.211422537399002</v>
      </c>
      <c r="Q27">
        <v>87.105009704896801</v>
      </c>
      <c r="R27">
        <v>88.748500454045796</v>
      </c>
      <c r="S27">
        <v>91.756924198250701</v>
      </c>
      <c r="T27">
        <v>91.756924198250701</v>
      </c>
      <c r="U27">
        <v>91.756924198250701</v>
      </c>
      <c r="V27">
        <v>93.456126498218396</v>
      </c>
      <c r="W27">
        <v>95.735544217687107</v>
      </c>
      <c r="X27">
        <v>97.476190476190496</v>
      </c>
      <c r="Y27">
        <v>98.8888888888889</v>
      </c>
      <c r="Z27">
        <v>100</v>
      </c>
      <c r="AA27">
        <v>100.990099009901</v>
      </c>
      <c r="AB27">
        <v>102.192362093352</v>
      </c>
      <c r="AC27">
        <v>103.194247996228</v>
      </c>
      <c r="AD27">
        <v>104.033225622214</v>
      </c>
      <c r="AE27">
        <v>105.711180874185</v>
      </c>
    </row>
    <row r="28" spans="1:31" x14ac:dyDescent="0.3">
      <c r="A28" t="s">
        <v>261</v>
      </c>
      <c r="B28" t="s">
        <v>174</v>
      </c>
      <c r="C28" t="s">
        <v>0</v>
      </c>
      <c r="D28" t="s">
        <v>175</v>
      </c>
      <c r="E28" t="s">
        <v>123</v>
      </c>
      <c r="F28">
        <v>85.960074241060198</v>
      </c>
      <c r="G28">
        <v>85.960074241060198</v>
      </c>
      <c r="H28">
        <v>85.960074241060198</v>
      </c>
      <c r="I28">
        <v>85.960074241060198</v>
      </c>
      <c r="J28">
        <v>85.960074241060198</v>
      </c>
      <c r="K28">
        <v>85.960074241060198</v>
      </c>
      <c r="L28">
        <v>85.960074241060198</v>
      </c>
      <c r="M28">
        <v>85.960074241060198</v>
      </c>
      <c r="N28">
        <v>85.960074241060198</v>
      </c>
      <c r="O28">
        <v>89.504819570588396</v>
      </c>
      <c r="P28">
        <v>89.504819570588396</v>
      </c>
      <c r="Q28">
        <v>91.493815561045906</v>
      </c>
      <c r="R28">
        <v>91.493815561045906</v>
      </c>
      <c r="S28">
        <v>95.012808467240006</v>
      </c>
      <c r="T28">
        <v>95.012808467240006</v>
      </c>
      <c r="U28">
        <v>95.012808467240006</v>
      </c>
      <c r="V28">
        <v>96.045556385362204</v>
      </c>
      <c r="W28">
        <v>97.928802588996803</v>
      </c>
      <c r="X28">
        <v>99.029126213592207</v>
      </c>
      <c r="Y28">
        <v>100</v>
      </c>
      <c r="Z28">
        <v>100</v>
      </c>
      <c r="AA28">
        <v>100</v>
      </c>
      <c r="AB28">
        <v>100</v>
      </c>
      <c r="AC28">
        <v>100.68027210884399</v>
      </c>
      <c r="AD28">
        <v>100.68027210884399</v>
      </c>
      <c r="AE28">
        <v>101.29417620706801</v>
      </c>
    </row>
    <row r="29" spans="1:31" x14ac:dyDescent="0.3">
      <c r="A29" t="s">
        <v>261</v>
      </c>
      <c r="B29" t="s">
        <v>176</v>
      </c>
      <c r="C29" t="s">
        <v>0</v>
      </c>
      <c r="D29" t="s">
        <v>177</v>
      </c>
      <c r="E29" t="s">
        <v>123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</row>
    <row r="30" spans="1:31" x14ac:dyDescent="0.3">
      <c r="A30" t="s">
        <v>261</v>
      </c>
      <c r="B30" t="s">
        <v>178</v>
      </c>
      <c r="C30" t="s">
        <v>0</v>
      </c>
      <c r="D30" t="s">
        <v>179</v>
      </c>
      <c r="E30" t="s">
        <v>123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 x14ac:dyDescent="0.3">
      <c r="A31" t="s">
        <v>261</v>
      </c>
      <c r="B31" t="s">
        <v>180</v>
      </c>
      <c r="C31" t="s">
        <v>0</v>
      </c>
      <c r="D31" t="s">
        <v>181</v>
      </c>
      <c r="E31" t="s">
        <v>123</v>
      </c>
      <c r="F31">
        <v>88.268336776859499</v>
      </c>
      <c r="G31">
        <v>88.268336776859499</v>
      </c>
      <c r="H31">
        <v>88.268336776859499</v>
      </c>
      <c r="I31">
        <v>88.268336776859499</v>
      </c>
      <c r="J31">
        <v>88.268336776859499</v>
      </c>
      <c r="K31">
        <v>88.268336776859499</v>
      </c>
      <c r="L31">
        <v>88.268336776859499</v>
      </c>
      <c r="M31">
        <v>88.268336776859499</v>
      </c>
      <c r="N31">
        <v>88.268336776859499</v>
      </c>
      <c r="O31">
        <v>92.471590909090907</v>
      </c>
      <c r="P31">
        <v>92.471590909090907</v>
      </c>
      <c r="Q31">
        <v>95.454545454545496</v>
      </c>
      <c r="R31">
        <v>95.454545454545496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102.272727272727</v>
      </c>
      <c r="AD31">
        <v>102.272727272727</v>
      </c>
      <c r="AE31">
        <v>102.272727272727</v>
      </c>
    </row>
    <row r="32" spans="1:31" x14ac:dyDescent="0.3">
      <c r="A32" t="s">
        <v>261</v>
      </c>
      <c r="B32" t="s">
        <v>182</v>
      </c>
      <c r="C32" t="s">
        <v>0</v>
      </c>
      <c r="D32" t="s">
        <v>183</v>
      </c>
      <c r="E32" t="s">
        <v>123</v>
      </c>
      <c r="F32">
        <v>86.066459627329195</v>
      </c>
      <c r="G32">
        <v>86.066459627329195</v>
      </c>
      <c r="H32">
        <v>86.066459627329195</v>
      </c>
      <c r="I32">
        <v>86.066459627329195</v>
      </c>
      <c r="J32">
        <v>86.066459627329195</v>
      </c>
      <c r="K32">
        <v>86.066459627329195</v>
      </c>
      <c r="L32">
        <v>86.066459627329195</v>
      </c>
      <c r="M32">
        <v>86.066459627329195</v>
      </c>
      <c r="N32">
        <v>86.066459627329195</v>
      </c>
      <c r="O32">
        <v>90.596273291925499</v>
      </c>
      <c r="P32">
        <v>90.596273291925499</v>
      </c>
      <c r="Q32">
        <v>90.596273291925499</v>
      </c>
      <c r="R32">
        <v>90.596273291925499</v>
      </c>
      <c r="S32">
        <v>94.714285714285694</v>
      </c>
      <c r="T32">
        <v>94.714285714285694</v>
      </c>
      <c r="U32">
        <v>94.714285714285694</v>
      </c>
      <c r="V32">
        <v>97.142857142857096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101.369863013699</v>
      </c>
    </row>
    <row r="33" spans="1:31" x14ac:dyDescent="0.3">
      <c r="A33" t="s">
        <v>261</v>
      </c>
      <c r="B33" t="s">
        <v>184</v>
      </c>
      <c r="C33" t="s">
        <v>0</v>
      </c>
      <c r="D33" t="s">
        <v>185</v>
      </c>
      <c r="E33" t="s">
        <v>123</v>
      </c>
      <c r="F33">
        <v>76.218593267746897</v>
      </c>
      <c r="G33">
        <v>76.218593267746897</v>
      </c>
      <c r="H33">
        <v>76.218593267746897</v>
      </c>
      <c r="I33">
        <v>76.218593267746897</v>
      </c>
      <c r="J33">
        <v>76.218593267746897</v>
      </c>
      <c r="K33">
        <v>76.218593267746897</v>
      </c>
      <c r="L33">
        <v>76.218593267746897</v>
      </c>
      <c r="M33">
        <v>76.218593267746897</v>
      </c>
      <c r="N33">
        <v>76.218593267746897</v>
      </c>
      <c r="O33">
        <v>81.299832818930099</v>
      </c>
      <c r="P33">
        <v>81.299832818930099</v>
      </c>
      <c r="Q33">
        <v>86.082175925925895</v>
      </c>
      <c r="R33">
        <v>86.082175925925895</v>
      </c>
      <c r="S33">
        <v>91.1458333333334</v>
      </c>
      <c r="T33">
        <v>91.1458333333333</v>
      </c>
      <c r="U33">
        <v>91.1458333333333</v>
      </c>
      <c r="V33">
        <v>91.1458333333333</v>
      </c>
      <c r="W33">
        <v>93.75</v>
      </c>
      <c r="X33">
        <v>96.774193548387103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261</v>
      </c>
      <c r="B34" t="s">
        <v>186</v>
      </c>
      <c r="C34" t="s">
        <v>0</v>
      </c>
      <c r="D34" t="s">
        <v>187</v>
      </c>
      <c r="E34" t="s">
        <v>123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</row>
    <row r="35" spans="1:31" x14ac:dyDescent="0.3">
      <c r="A35" t="s">
        <v>261</v>
      </c>
      <c r="B35" t="s">
        <v>188</v>
      </c>
      <c r="C35" t="s">
        <v>0</v>
      </c>
      <c r="D35" t="s">
        <v>189</v>
      </c>
      <c r="E35" t="s">
        <v>123</v>
      </c>
      <c r="F35">
        <v>86.591435807684803</v>
      </c>
      <c r="G35">
        <v>86.591435807684803</v>
      </c>
      <c r="H35">
        <v>86.591435807684803</v>
      </c>
      <c r="I35">
        <v>85.366085300972301</v>
      </c>
      <c r="J35">
        <v>84.329250256830903</v>
      </c>
      <c r="K35">
        <v>84.329250256830903</v>
      </c>
      <c r="L35">
        <v>83.5435740122021</v>
      </c>
      <c r="M35">
        <v>82.151181111998696</v>
      </c>
      <c r="N35">
        <v>80.452965481776502</v>
      </c>
      <c r="O35">
        <v>84.297134480905797</v>
      </c>
      <c r="P35">
        <v>83.501878495236795</v>
      </c>
      <c r="Q35">
        <v>85.945835914609603</v>
      </c>
      <c r="R35">
        <v>87.570862223919406</v>
      </c>
      <c r="S35">
        <v>90.4623529577281</v>
      </c>
      <c r="T35">
        <v>90.868013733323295</v>
      </c>
      <c r="U35">
        <v>91.741744634605297</v>
      </c>
      <c r="V35">
        <v>93.643127943094498</v>
      </c>
      <c r="W35">
        <v>95.453906660226195</v>
      </c>
      <c r="X35">
        <v>97.132217106999406</v>
      </c>
      <c r="Y35">
        <v>98.880597014925399</v>
      </c>
      <c r="Z35">
        <v>100</v>
      </c>
      <c r="AA35">
        <v>100.88809946713999</v>
      </c>
      <c r="AB35">
        <v>102.16285884668901</v>
      </c>
      <c r="AC35">
        <v>103.429340567929</v>
      </c>
      <c r="AD35">
        <v>104.40246608402499</v>
      </c>
      <c r="AE35">
        <v>106.22343932967701</v>
      </c>
    </row>
    <row r="36" spans="1:31" x14ac:dyDescent="0.3">
      <c r="A36" t="s">
        <v>261</v>
      </c>
      <c r="B36" t="s">
        <v>190</v>
      </c>
      <c r="C36" t="s">
        <v>0</v>
      </c>
      <c r="D36" t="s">
        <v>191</v>
      </c>
      <c r="E36" t="s">
        <v>123</v>
      </c>
      <c r="F36">
        <v>81.678349871311497</v>
      </c>
      <c r="G36">
        <v>81.678349871311497</v>
      </c>
      <c r="H36">
        <v>81.678349871311497</v>
      </c>
      <c r="I36">
        <v>81.678349871311497</v>
      </c>
      <c r="J36">
        <v>81.678349871311497</v>
      </c>
      <c r="K36">
        <v>81.678349871311497</v>
      </c>
      <c r="L36">
        <v>81.678349871311497</v>
      </c>
      <c r="M36">
        <v>81.678349871311497</v>
      </c>
      <c r="N36">
        <v>79.902733569761196</v>
      </c>
      <c r="O36">
        <v>84.1832371538556</v>
      </c>
      <c r="P36">
        <v>84.1832371538556</v>
      </c>
      <c r="Q36">
        <v>85.802145560660506</v>
      </c>
      <c r="R36">
        <v>86.835906350548001</v>
      </c>
      <c r="S36">
        <v>90.666902218954505</v>
      </c>
      <c r="T36">
        <v>90.666902218954505</v>
      </c>
      <c r="U36">
        <v>91.555793417179601</v>
      </c>
      <c r="V36">
        <v>93.405405405405403</v>
      </c>
      <c r="W36">
        <v>95.119266055045898</v>
      </c>
      <c r="X36">
        <v>97.100917431192698</v>
      </c>
      <c r="Y36">
        <v>99.082568807339499</v>
      </c>
      <c r="Z36">
        <v>100</v>
      </c>
      <c r="AA36">
        <v>100.847457627119</v>
      </c>
      <c r="AB36">
        <v>101.764252696456</v>
      </c>
      <c r="AC36">
        <v>103.26078582434501</v>
      </c>
      <c r="AD36">
        <v>104.043064504833</v>
      </c>
      <c r="AE36">
        <v>105.540087015693</v>
      </c>
    </row>
    <row r="37" spans="1:31" x14ac:dyDescent="0.3">
      <c r="A37" t="s">
        <v>261</v>
      </c>
      <c r="B37" t="s">
        <v>192</v>
      </c>
      <c r="C37" t="s">
        <v>0</v>
      </c>
      <c r="D37" t="s">
        <v>193</v>
      </c>
      <c r="E37" t="s">
        <v>123</v>
      </c>
      <c r="F37">
        <v>90.959091558907204</v>
      </c>
      <c r="G37">
        <v>90.959091558907204</v>
      </c>
      <c r="H37">
        <v>90.959091558907204</v>
      </c>
      <c r="I37">
        <v>89.537855753299297</v>
      </c>
      <c r="J37">
        <v>88.276759193393701</v>
      </c>
      <c r="K37">
        <v>88.276759193393701</v>
      </c>
      <c r="L37">
        <v>87.375975936318198</v>
      </c>
      <c r="M37">
        <v>85.628456417591806</v>
      </c>
      <c r="N37">
        <v>83.637096966019996</v>
      </c>
      <c r="O37">
        <v>87.171058809654596</v>
      </c>
      <c r="P37">
        <v>83.843919160431099</v>
      </c>
      <c r="Q37">
        <v>86.838344844732305</v>
      </c>
      <c r="R37">
        <v>88.685969203130796</v>
      </c>
      <c r="S37">
        <v>91.050928381880993</v>
      </c>
      <c r="T37">
        <v>91.909899404351606</v>
      </c>
      <c r="U37">
        <v>92.919898298904897</v>
      </c>
      <c r="V37">
        <v>94.521965510954999</v>
      </c>
      <c r="W37">
        <v>96.209857752222007</v>
      </c>
      <c r="X37">
        <v>97.546105776558406</v>
      </c>
      <c r="Y37">
        <v>98.765432098765402</v>
      </c>
      <c r="Z37">
        <v>100</v>
      </c>
      <c r="AA37">
        <v>101.07526881720401</v>
      </c>
      <c r="AB37">
        <v>102.78840896664801</v>
      </c>
      <c r="AC37">
        <v>103.630936908998</v>
      </c>
      <c r="AD37">
        <v>104.62738822543101</v>
      </c>
      <c r="AE37">
        <v>105.802976857177</v>
      </c>
    </row>
    <row r="38" spans="1:31" x14ac:dyDescent="0.3">
      <c r="A38" t="s">
        <v>261</v>
      </c>
      <c r="B38" t="s">
        <v>194</v>
      </c>
      <c r="C38" t="s">
        <v>0</v>
      </c>
      <c r="D38" t="s">
        <v>195</v>
      </c>
      <c r="E38" t="s">
        <v>123</v>
      </c>
      <c r="F38">
        <v>85.892068926415007</v>
      </c>
      <c r="G38">
        <v>85.892068926415007</v>
      </c>
      <c r="H38">
        <v>85.892068926415007</v>
      </c>
      <c r="I38">
        <v>84.398293814651296</v>
      </c>
      <c r="J38">
        <v>83.119531787156603</v>
      </c>
      <c r="K38">
        <v>83.119531787156603</v>
      </c>
      <c r="L38">
        <v>82.147373520640102</v>
      </c>
      <c r="M38">
        <v>80.671672199910105</v>
      </c>
      <c r="N38">
        <v>79.239630681568499</v>
      </c>
      <c r="O38">
        <v>83.058408063812706</v>
      </c>
      <c r="P38">
        <v>83.411848098126796</v>
      </c>
      <c r="Q38">
        <v>85.785355970837799</v>
      </c>
      <c r="R38">
        <v>87.487446367084502</v>
      </c>
      <c r="S38">
        <v>90.289535396635301</v>
      </c>
      <c r="T38">
        <v>90.665741794121303</v>
      </c>
      <c r="U38">
        <v>91.478887460436198</v>
      </c>
      <c r="V38">
        <v>93.476243081843194</v>
      </c>
      <c r="W38">
        <v>95.374237865230796</v>
      </c>
      <c r="X38">
        <v>97.035809953475294</v>
      </c>
      <c r="Y38">
        <v>98.843930635838106</v>
      </c>
      <c r="Z38">
        <v>100</v>
      </c>
      <c r="AA38">
        <v>100.852272727273</v>
      </c>
      <c r="AB38">
        <v>102.08972392638</v>
      </c>
      <c r="AC38">
        <v>103.39856654082099</v>
      </c>
      <c r="AD38">
        <v>104.41626896740399</v>
      </c>
      <c r="AE38">
        <v>106.45919596893999</v>
      </c>
    </row>
    <row r="39" spans="1:31" x14ac:dyDescent="0.3">
      <c r="A39" t="s">
        <v>261</v>
      </c>
      <c r="B39" t="s">
        <v>196</v>
      </c>
      <c r="C39" t="s">
        <v>0</v>
      </c>
      <c r="D39" t="s">
        <v>197</v>
      </c>
      <c r="E39" t="s">
        <v>123</v>
      </c>
      <c r="F39">
        <v>87.389751532290305</v>
      </c>
      <c r="G39">
        <v>87.389751532290305</v>
      </c>
      <c r="H39">
        <v>87.389751532290305</v>
      </c>
      <c r="I39">
        <v>86.349397347382094</v>
      </c>
      <c r="J39">
        <v>85.440456322672802</v>
      </c>
      <c r="K39">
        <v>85.440456322672802</v>
      </c>
      <c r="L39">
        <v>84.719439813620696</v>
      </c>
      <c r="M39">
        <v>83.128464418059707</v>
      </c>
      <c r="N39">
        <v>81.571751601242198</v>
      </c>
      <c r="O39">
        <v>84.355770427223106</v>
      </c>
      <c r="P39">
        <v>84.355770427223106</v>
      </c>
      <c r="Q39">
        <v>86.635656114445396</v>
      </c>
      <c r="R39">
        <v>87.8973404267917</v>
      </c>
      <c r="S39">
        <v>90.746880141375897</v>
      </c>
      <c r="T39">
        <v>91.225755498322499</v>
      </c>
      <c r="U39">
        <v>91.951689892208407</v>
      </c>
      <c r="V39">
        <v>93.700770949940605</v>
      </c>
      <c r="W39">
        <v>95.488953601657002</v>
      </c>
      <c r="X39">
        <v>97.270463930046105</v>
      </c>
      <c r="Y39">
        <v>98.8826815642458</v>
      </c>
      <c r="Z39">
        <v>100</v>
      </c>
      <c r="AA39">
        <v>100.826446280992</v>
      </c>
      <c r="AB39">
        <v>101.962518915144</v>
      </c>
      <c r="AC39">
        <v>103.11790156574</v>
      </c>
      <c r="AD39">
        <v>103.891285827483</v>
      </c>
      <c r="AE39">
        <v>105.37544705358999</v>
      </c>
    </row>
    <row r="40" spans="1:31" x14ac:dyDescent="0.3">
      <c r="A40" t="s">
        <v>261</v>
      </c>
      <c r="B40" t="s">
        <v>198</v>
      </c>
      <c r="C40" t="s">
        <v>0</v>
      </c>
      <c r="D40" t="s">
        <v>199</v>
      </c>
      <c r="E40" t="s">
        <v>123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</row>
    <row r="41" spans="1:31" x14ac:dyDescent="0.3">
      <c r="A41" t="s">
        <v>261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261</v>
      </c>
      <c r="B42" t="s">
        <v>202</v>
      </c>
      <c r="C42" t="s">
        <v>0</v>
      </c>
      <c r="D42" t="s">
        <v>203</v>
      </c>
      <c r="E42" t="s">
        <v>123</v>
      </c>
      <c r="F42">
        <v>86.577805481072502</v>
      </c>
      <c r="G42">
        <v>86.577805481072502</v>
      </c>
      <c r="H42">
        <v>86.577805481072502</v>
      </c>
      <c r="I42">
        <v>86.577805481072502</v>
      </c>
      <c r="J42">
        <v>86.577805481072502</v>
      </c>
      <c r="K42">
        <v>86.577805481072502</v>
      </c>
      <c r="L42">
        <v>86.577805481072502</v>
      </c>
      <c r="M42">
        <v>85.467833615930502</v>
      </c>
      <c r="N42">
        <v>84.538835424452998</v>
      </c>
      <c r="O42">
        <v>87.420841177559396</v>
      </c>
      <c r="P42">
        <v>87.420841177559396</v>
      </c>
      <c r="Q42">
        <v>88.303879977332699</v>
      </c>
      <c r="R42">
        <v>88.934621977170806</v>
      </c>
      <c r="S42">
        <v>91.879477009527406</v>
      </c>
      <c r="T42">
        <v>91.879477009527406</v>
      </c>
      <c r="U42">
        <v>91.879477009527406</v>
      </c>
      <c r="V42">
        <v>94.329596396448196</v>
      </c>
      <c r="W42">
        <v>96.4258096497026</v>
      </c>
      <c r="X42">
        <v>98.268341044282906</v>
      </c>
      <c r="Y42">
        <v>99.438202247191001</v>
      </c>
      <c r="Z42">
        <v>100</v>
      </c>
      <c r="AA42">
        <v>100.58139534883701</v>
      </c>
      <c r="AB42">
        <v>101.166170903191</v>
      </c>
      <c r="AC42">
        <v>101.786822258425</v>
      </c>
      <c r="AD42">
        <v>102.57893760674</v>
      </c>
      <c r="AE42">
        <v>103.840154052724</v>
      </c>
    </row>
    <row r="43" spans="1:31" x14ac:dyDescent="0.3">
      <c r="A43" t="s">
        <v>261</v>
      </c>
      <c r="B43" t="s">
        <v>204</v>
      </c>
      <c r="C43" t="s">
        <v>0</v>
      </c>
      <c r="D43" t="s">
        <v>205</v>
      </c>
      <c r="E43" t="s">
        <v>123</v>
      </c>
      <c r="F43">
        <v>89.664821415237896</v>
      </c>
      <c r="G43">
        <v>89.664821415237896</v>
      </c>
      <c r="H43">
        <v>89.664821415237896</v>
      </c>
      <c r="I43">
        <v>89.664821415237896</v>
      </c>
      <c r="J43">
        <v>89.664821415237896</v>
      </c>
      <c r="K43">
        <v>89.664821415237896</v>
      </c>
      <c r="L43">
        <v>89.664821415237896</v>
      </c>
      <c r="M43">
        <v>88.802659670860606</v>
      </c>
      <c r="N43">
        <v>88.097876657599798</v>
      </c>
      <c r="O43">
        <v>90.356796571897206</v>
      </c>
      <c r="P43">
        <v>90.356796571897206</v>
      </c>
      <c r="Q43">
        <v>91.0115559673457</v>
      </c>
      <c r="R43">
        <v>91.520000414090703</v>
      </c>
      <c r="S43">
        <v>93.854694302205203</v>
      </c>
      <c r="T43">
        <v>93.854694302205303</v>
      </c>
      <c r="U43">
        <v>93.854694302205303</v>
      </c>
      <c r="V43">
        <v>95.694982425777894</v>
      </c>
      <c r="W43">
        <v>97.095396802740495</v>
      </c>
      <c r="X43">
        <v>98.401612903225796</v>
      </c>
      <c r="Y43">
        <v>99.596774193548399</v>
      </c>
      <c r="Z43">
        <v>100</v>
      </c>
      <c r="AA43">
        <v>100.377358490566</v>
      </c>
      <c r="AB43">
        <v>100.74104457205399</v>
      </c>
      <c r="AC43">
        <v>101.50423430366</v>
      </c>
      <c r="AD43">
        <v>102.031529027315</v>
      </c>
      <c r="AE43">
        <v>103.476734820903</v>
      </c>
    </row>
    <row r="44" spans="1:31" x14ac:dyDescent="0.3">
      <c r="A44" t="s">
        <v>261</v>
      </c>
      <c r="B44" t="s">
        <v>206</v>
      </c>
      <c r="C44" t="s">
        <v>0</v>
      </c>
      <c r="D44" t="s">
        <v>207</v>
      </c>
      <c r="E44" t="s">
        <v>123</v>
      </c>
      <c r="F44">
        <v>87.463832366973904</v>
      </c>
      <c r="G44">
        <v>87.463832366973904</v>
      </c>
      <c r="H44">
        <v>87.463832366973904</v>
      </c>
      <c r="I44">
        <v>86.940096843818395</v>
      </c>
      <c r="J44">
        <v>86.333185173006399</v>
      </c>
      <c r="K44">
        <v>86.333185173006399</v>
      </c>
      <c r="L44">
        <v>85.754544521712702</v>
      </c>
      <c r="M44">
        <v>84.6996767526323</v>
      </c>
      <c r="N44">
        <v>83.484821951246403</v>
      </c>
      <c r="O44">
        <v>86.440495771880506</v>
      </c>
      <c r="P44">
        <v>86.396030496277703</v>
      </c>
      <c r="Q44">
        <v>88.5137921242505</v>
      </c>
      <c r="R44">
        <v>89.736921448860201</v>
      </c>
      <c r="S44">
        <v>92.367909222507393</v>
      </c>
      <c r="T44">
        <v>92.648540891152194</v>
      </c>
      <c r="U44">
        <v>93.092995295776106</v>
      </c>
      <c r="V44">
        <v>94.687473476072697</v>
      </c>
      <c r="W44">
        <v>96.348657221266905</v>
      </c>
      <c r="X44">
        <v>97.739087758415906</v>
      </c>
      <c r="Y44">
        <v>99.116743471582197</v>
      </c>
      <c r="Z44">
        <v>100</v>
      </c>
      <c r="AA44">
        <v>100.64935064935101</v>
      </c>
      <c r="AB44">
        <v>101.51577260616</v>
      </c>
      <c r="AC44">
        <v>102.480372018211</v>
      </c>
      <c r="AD44">
        <v>103.159663426587</v>
      </c>
      <c r="AE44">
        <v>104.492643634746</v>
      </c>
    </row>
    <row r="45" spans="1:31" x14ac:dyDescent="0.3">
      <c r="A45" t="s">
        <v>261</v>
      </c>
      <c r="B45" t="s">
        <v>208</v>
      </c>
      <c r="C45" t="s">
        <v>0</v>
      </c>
      <c r="D45" t="s">
        <v>209</v>
      </c>
      <c r="E45" t="s">
        <v>123</v>
      </c>
      <c r="F45">
        <v>87.436322477684996</v>
      </c>
      <c r="G45">
        <v>87.436322477684996</v>
      </c>
      <c r="H45">
        <v>87.436322477684996</v>
      </c>
      <c r="I45">
        <v>86.911704542818896</v>
      </c>
      <c r="J45">
        <v>86.303930385176898</v>
      </c>
      <c r="K45">
        <v>86.303930385176898</v>
      </c>
      <c r="L45">
        <v>85.7243203758741</v>
      </c>
      <c r="M45">
        <v>84.667530349485602</v>
      </c>
      <c r="N45">
        <v>83.451042844464197</v>
      </c>
      <c r="O45">
        <v>86.411036274541701</v>
      </c>
      <c r="P45">
        <v>86.366494503266097</v>
      </c>
      <c r="Q45">
        <v>88.489905557285198</v>
      </c>
      <c r="R45">
        <v>89.715527517912406</v>
      </c>
      <c r="S45">
        <v>92.351833706277802</v>
      </c>
      <c r="T45">
        <v>92.633026762364807</v>
      </c>
      <c r="U45">
        <v>93.078572584133994</v>
      </c>
      <c r="V45">
        <v>94.676312166344005</v>
      </c>
      <c r="W45">
        <v>96.340950622015995</v>
      </c>
      <c r="X45">
        <v>97.7348196948451</v>
      </c>
      <c r="Y45">
        <v>99.115044247787594</v>
      </c>
      <c r="Z45">
        <v>100</v>
      </c>
      <c r="AA45">
        <v>100.65059318790701</v>
      </c>
      <c r="AB45">
        <v>101.518582493156</v>
      </c>
      <c r="AC45">
        <v>102.4847915159</v>
      </c>
      <c r="AD45">
        <v>103.16513714455201</v>
      </c>
      <c r="AE45">
        <v>104.5002920129</v>
      </c>
    </row>
    <row r="46" spans="1:31" x14ac:dyDescent="0.3">
      <c r="A46" t="s">
        <v>261</v>
      </c>
      <c r="B46" t="s">
        <v>210</v>
      </c>
      <c r="C46" t="s">
        <v>0</v>
      </c>
      <c r="D46" t="s">
        <v>211</v>
      </c>
      <c r="E46" t="s">
        <v>123</v>
      </c>
      <c r="F46">
        <v>98.749999999999901</v>
      </c>
      <c r="G46">
        <v>98.75</v>
      </c>
      <c r="H46">
        <v>98.749999999999901</v>
      </c>
      <c r="I46">
        <v>98.75</v>
      </c>
      <c r="J46">
        <v>98.75</v>
      </c>
      <c r="K46">
        <v>98.75</v>
      </c>
      <c r="L46">
        <v>98.75</v>
      </c>
      <c r="M46">
        <v>98.75</v>
      </c>
      <c r="N46">
        <v>98.75</v>
      </c>
      <c r="O46">
        <v>98.75</v>
      </c>
      <c r="P46">
        <v>98.75</v>
      </c>
      <c r="Q46">
        <v>98.75</v>
      </c>
      <c r="R46">
        <v>98.75</v>
      </c>
      <c r="S46">
        <v>98.75</v>
      </c>
      <c r="T46">
        <v>98.75</v>
      </c>
      <c r="U46">
        <v>98.75</v>
      </c>
      <c r="V46">
        <v>98.75</v>
      </c>
      <c r="W46">
        <v>98.75</v>
      </c>
      <c r="X46">
        <v>98.75</v>
      </c>
      <c r="Y46">
        <v>100</v>
      </c>
      <c r="Z46">
        <v>100</v>
      </c>
      <c r="AA46">
        <v>100</v>
      </c>
      <c r="AB46">
        <v>100</v>
      </c>
      <c r="AC46">
        <v>100.990099009901</v>
      </c>
      <c r="AD46">
        <v>100.990099009901</v>
      </c>
      <c r="AE46">
        <v>102.84312834953199</v>
      </c>
    </row>
    <row r="47" spans="1:31" x14ac:dyDescent="0.3">
      <c r="A47" t="s">
        <v>261</v>
      </c>
      <c r="B47" t="s">
        <v>212</v>
      </c>
      <c r="C47" t="s">
        <v>0</v>
      </c>
      <c r="D47" t="s">
        <v>213</v>
      </c>
      <c r="E47" t="s">
        <v>123</v>
      </c>
      <c r="F47">
        <v>85.921044190231896</v>
      </c>
      <c r="G47">
        <v>85.921044190231896</v>
      </c>
      <c r="H47">
        <v>85.921044190231896</v>
      </c>
      <c r="I47">
        <v>85.921044190231896</v>
      </c>
      <c r="J47">
        <v>85.921044190231896</v>
      </c>
      <c r="K47">
        <v>85.921044190231896</v>
      </c>
      <c r="L47">
        <v>85.921044190231896</v>
      </c>
      <c r="M47">
        <v>84.400317744387095</v>
      </c>
      <c r="N47">
        <v>82.578728152781594</v>
      </c>
      <c r="O47">
        <v>85.486429848302095</v>
      </c>
      <c r="P47">
        <v>84.331207823325002</v>
      </c>
      <c r="Q47">
        <v>87.477894682404298</v>
      </c>
      <c r="R47">
        <v>88.125879087459197</v>
      </c>
      <c r="S47">
        <v>91.083123352138998</v>
      </c>
      <c r="T47">
        <v>91.083123352138998</v>
      </c>
      <c r="U47">
        <v>91.606589578300699</v>
      </c>
      <c r="V47">
        <v>93.676794992499595</v>
      </c>
      <c r="W47">
        <v>95.400907783772595</v>
      </c>
      <c r="X47">
        <v>97.200924911768297</v>
      </c>
      <c r="Y47">
        <v>98.989898989899004</v>
      </c>
      <c r="Z47">
        <v>100</v>
      </c>
      <c r="AA47">
        <v>100.956937799043</v>
      </c>
      <c r="AB47">
        <v>101.987110633727</v>
      </c>
      <c r="AC47">
        <v>102.881734411216</v>
      </c>
      <c r="AD47">
        <v>103.796238717093</v>
      </c>
      <c r="AE47">
        <v>105.435126696837</v>
      </c>
    </row>
    <row r="48" spans="1:31" x14ac:dyDescent="0.3">
      <c r="A48" t="s">
        <v>261</v>
      </c>
      <c r="B48" t="s">
        <v>214</v>
      </c>
      <c r="C48" t="s">
        <v>0</v>
      </c>
      <c r="D48" t="s">
        <v>215</v>
      </c>
      <c r="E48" t="s">
        <v>123</v>
      </c>
      <c r="F48">
        <v>86.594070648704204</v>
      </c>
      <c r="G48">
        <v>86.594070648704204</v>
      </c>
      <c r="H48">
        <v>86.594070648704204</v>
      </c>
      <c r="I48">
        <v>86.594070648704204</v>
      </c>
      <c r="J48">
        <v>86.594070648704204</v>
      </c>
      <c r="K48">
        <v>86.594070648704204</v>
      </c>
      <c r="L48">
        <v>86.594070648704204</v>
      </c>
      <c r="M48">
        <v>85.604424127004705</v>
      </c>
      <c r="N48">
        <v>84.294152329142406</v>
      </c>
      <c r="O48">
        <v>86.874585563707996</v>
      </c>
      <c r="P48">
        <v>86.043249816686895</v>
      </c>
      <c r="Q48">
        <v>88.525266638321995</v>
      </c>
      <c r="R48">
        <v>89.388927776256907</v>
      </c>
      <c r="S48">
        <v>92.259214447971601</v>
      </c>
      <c r="T48">
        <v>92.259214447971601</v>
      </c>
      <c r="U48">
        <v>92.616808302421106</v>
      </c>
      <c r="V48">
        <v>94.439973820185301</v>
      </c>
      <c r="W48">
        <v>96.235410584827605</v>
      </c>
      <c r="X48">
        <v>98.010971665728405</v>
      </c>
      <c r="Y48">
        <v>99.339933993399299</v>
      </c>
      <c r="Z48">
        <v>100</v>
      </c>
      <c r="AA48">
        <v>100.56657223796</v>
      </c>
      <c r="AB48">
        <v>101.677805080369</v>
      </c>
      <c r="AC48">
        <v>102.68203031573</v>
      </c>
      <c r="AD48">
        <v>103.410271665487</v>
      </c>
      <c r="AE48">
        <v>104.92729276571499</v>
      </c>
    </row>
    <row r="49" spans="1:31" x14ac:dyDescent="0.3">
      <c r="A49" t="s">
        <v>261</v>
      </c>
      <c r="B49" t="s">
        <v>216</v>
      </c>
      <c r="C49" t="s">
        <v>0</v>
      </c>
      <c r="D49" t="s">
        <v>217</v>
      </c>
      <c r="E49" t="s">
        <v>123</v>
      </c>
      <c r="F49">
        <v>93.548387096774107</v>
      </c>
      <c r="G49">
        <v>93.548387096774107</v>
      </c>
      <c r="H49">
        <v>93.548387096774107</v>
      </c>
      <c r="I49">
        <v>93.548387096774107</v>
      </c>
      <c r="J49">
        <v>93.548387096774206</v>
      </c>
      <c r="K49">
        <v>93.548387096774206</v>
      </c>
      <c r="L49">
        <v>93.548387096774206</v>
      </c>
      <c r="M49">
        <v>93.548387096774206</v>
      </c>
      <c r="N49">
        <v>93.548387096774206</v>
      </c>
      <c r="O49">
        <v>93.548387096774206</v>
      </c>
      <c r="P49">
        <v>93.548387096774206</v>
      </c>
      <c r="Q49">
        <v>93.548387096774206</v>
      </c>
      <c r="R49">
        <v>93.548387096774206</v>
      </c>
      <c r="S49">
        <v>93.548387096774206</v>
      </c>
      <c r="T49">
        <v>93.548387096774206</v>
      </c>
      <c r="U49">
        <v>93.548387096774206</v>
      </c>
      <c r="V49">
        <v>93.548387096774206</v>
      </c>
      <c r="W49">
        <v>96.774193548387103</v>
      </c>
      <c r="X49">
        <v>100</v>
      </c>
      <c r="Y49">
        <v>100</v>
      </c>
      <c r="Z49">
        <v>100</v>
      </c>
      <c r="AA49">
        <v>100</v>
      </c>
      <c r="AB49">
        <v>101.58730158730199</v>
      </c>
      <c r="AC49">
        <v>103.252667187093</v>
      </c>
      <c r="AD49">
        <v>103.252667187093</v>
      </c>
      <c r="AE49">
        <v>104.61125491323899</v>
      </c>
    </row>
    <row r="50" spans="1:31" x14ac:dyDescent="0.3">
      <c r="A50" t="s">
        <v>261</v>
      </c>
      <c r="B50" t="s">
        <v>218</v>
      </c>
      <c r="C50" t="s">
        <v>0</v>
      </c>
      <c r="D50" t="s">
        <v>219</v>
      </c>
      <c r="E50" t="s">
        <v>123</v>
      </c>
      <c r="F50">
        <v>84.089605942201004</v>
      </c>
      <c r="G50">
        <v>84.089605942201004</v>
      </c>
      <c r="H50">
        <v>84.089605942201004</v>
      </c>
      <c r="I50">
        <v>84.089605942201004</v>
      </c>
      <c r="J50">
        <v>84.089605942201004</v>
      </c>
      <c r="K50">
        <v>84.089605942201004</v>
      </c>
      <c r="L50">
        <v>84.089605942201004</v>
      </c>
      <c r="M50">
        <v>84.089605942201004</v>
      </c>
      <c r="N50">
        <v>84.089605942200905</v>
      </c>
      <c r="O50">
        <v>86.802173875820301</v>
      </c>
      <c r="P50">
        <v>86.802173875820301</v>
      </c>
      <c r="Q50">
        <v>88.471446450355302</v>
      </c>
      <c r="R50">
        <v>90.206180694479997</v>
      </c>
      <c r="S50">
        <v>94.4018170058511</v>
      </c>
      <c r="T50">
        <v>94.4018170058511</v>
      </c>
      <c r="U50">
        <v>94.4018170058511</v>
      </c>
      <c r="V50">
        <v>96.328384699848101</v>
      </c>
      <c r="W50">
        <v>97.685122512522</v>
      </c>
      <c r="X50">
        <v>98.876404494382001</v>
      </c>
      <c r="Y50">
        <v>100</v>
      </c>
      <c r="Z50">
        <v>100</v>
      </c>
      <c r="AA50">
        <v>100</v>
      </c>
      <c r="AB50">
        <v>100.97087378640801</v>
      </c>
      <c r="AC50">
        <v>101.841312353532</v>
      </c>
      <c r="AD50">
        <v>102.618726951651</v>
      </c>
      <c r="AE50">
        <v>104.053953902023</v>
      </c>
    </row>
    <row r="51" spans="1:31" x14ac:dyDescent="0.3">
      <c r="A51" t="s">
        <v>261</v>
      </c>
      <c r="B51" t="s">
        <v>220</v>
      </c>
      <c r="C51" t="s">
        <v>0</v>
      </c>
      <c r="D51" t="s">
        <v>221</v>
      </c>
      <c r="E51" t="s">
        <v>123</v>
      </c>
      <c r="F51">
        <v>83.285384757782893</v>
      </c>
      <c r="G51">
        <v>83.285384757782893</v>
      </c>
      <c r="H51">
        <v>83.285384757782893</v>
      </c>
      <c r="I51">
        <v>83.285384757782893</v>
      </c>
      <c r="J51">
        <v>83.285384757782893</v>
      </c>
      <c r="K51">
        <v>83.285384757782893</v>
      </c>
      <c r="L51">
        <v>83.285384757782893</v>
      </c>
      <c r="M51">
        <v>83.285384757782893</v>
      </c>
      <c r="N51">
        <v>83.285384757782893</v>
      </c>
      <c r="O51">
        <v>86.259862784846604</v>
      </c>
      <c r="P51">
        <v>86.259862784846604</v>
      </c>
      <c r="Q51">
        <v>87.951232643373004</v>
      </c>
      <c r="R51">
        <v>89.7102572962404</v>
      </c>
      <c r="S51">
        <v>93.982174310347105</v>
      </c>
      <c r="T51">
        <v>93.982174310347105</v>
      </c>
      <c r="U51">
        <v>93.982174310347105</v>
      </c>
      <c r="V51">
        <v>96.070667072799296</v>
      </c>
      <c r="W51">
        <v>97.526283240569001</v>
      </c>
      <c r="X51">
        <v>98.809523809523796</v>
      </c>
      <c r="Y51">
        <v>100</v>
      </c>
      <c r="Z51">
        <v>100</v>
      </c>
      <c r="AA51">
        <v>100</v>
      </c>
      <c r="AB51">
        <v>101.111111111111</v>
      </c>
      <c r="AC51">
        <v>102.07407407407401</v>
      </c>
      <c r="AD51">
        <v>102.96167471819599</v>
      </c>
      <c r="AE51">
        <v>104.63584829085001</v>
      </c>
    </row>
    <row r="52" spans="1:31" x14ac:dyDescent="0.3">
      <c r="A52" t="s">
        <v>261</v>
      </c>
      <c r="B52" t="s">
        <v>222</v>
      </c>
      <c r="C52" t="s">
        <v>0</v>
      </c>
      <c r="D52" t="s">
        <v>223</v>
      </c>
      <c r="E52" t="s">
        <v>123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261</v>
      </c>
      <c r="B53" t="s">
        <v>224</v>
      </c>
      <c r="C53" t="s">
        <v>0</v>
      </c>
      <c r="D53" t="s">
        <v>225</v>
      </c>
      <c r="E53" t="s">
        <v>123</v>
      </c>
      <c r="F53">
        <v>93.473684210526301</v>
      </c>
      <c r="G53">
        <v>93.473684210526301</v>
      </c>
      <c r="H53">
        <v>93.473684210526301</v>
      </c>
      <c r="I53">
        <v>93.473684210526301</v>
      </c>
      <c r="J53">
        <v>93.473684210526301</v>
      </c>
      <c r="K53">
        <v>93.473684210526301</v>
      </c>
      <c r="L53">
        <v>93.473684210526301</v>
      </c>
      <c r="M53">
        <v>93.473684210526301</v>
      </c>
      <c r="N53">
        <v>93.473684210526301</v>
      </c>
      <c r="O53">
        <v>93.473684210526301</v>
      </c>
      <c r="P53">
        <v>93.473684210526301</v>
      </c>
      <c r="Q53">
        <v>96</v>
      </c>
      <c r="R53">
        <v>96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</row>
    <row r="54" spans="1:31" x14ac:dyDescent="0.3">
      <c r="A54" t="s">
        <v>261</v>
      </c>
      <c r="B54" t="s">
        <v>226</v>
      </c>
      <c r="C54" t="s">
        <v>0</v>
      </c>
      <c r="D54" t="s">
        <v>227</v>
      </c>
      <c r="E54" t="s">
        <v>123</v>
      </c>
      <c r="F54">
        <v>94.669051878354196</v>
      </c>
      <c r="G54">
        <v>94.669051878354196</v>
      </c>
      <c r="H54">
        <v>94.669051878354196</v>
      </c>
      <c r="I54">
        <v>94.669051878354196</v>
      </c>
      <c r="J54">
        <v>94.669051878354196</v>
      </c>
      <c r="K54">
        <v>94.669051878354196</v>
      </c>
      <c r="L54">
        <v>94.669051878354196</v>
      </c>
      <c r="M54">
        <v>94.669051878354196</v>
      </c>
      <c r="N54">
        <v>94.669051878354196</v>
      </c>
      <c r="O54">
        <v>94.669051878354196</v>
      </c>
      <c r="P54">
        <v>94.669051878354196</v>
      </c>
      <c r="Q54">
        <v>96.923076923076906</v>
      </c>
      <c r="R54">
        <v>96.923076923076906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</row>
    <row r="55" spans="1:31" x14ac:dyDescent="0.3">
      <c r="A55" t="s">
        <v>261</v>
      </c>
      <c r="B55" t="s">
        <v>228</v>
      </c>
      <c r="C55" t="s">
        <v>0</v>
      </c>
      <c r="D55" t="s">
        <v>229</v>
      </c>
      <c r="E55" t="s">
        <v>123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</row>
    <row r="56" spans="1:31" x14ac:dyDescent="0.3">
      <c r="A56" t="s">
        <v>261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261</v>
      </c>
      <c r="B57" t="s">
        <v>232</v>
      </c>
      <c r="C57" t="s">
        <v>0</v>
      </c>
      <c r="D57" t="s">
        <v>233</v>
      </c>
      <c r="E57" t="s">
        <v>123</v>
      </c>
      <c r="F57">
        <v>87.454579476025302</v>
      </c>
      <c r="G57">
        <v>87.454579476025302</v>
      </c>
      <c r="H57">
        <v>87.454579476025302</v>
      </c>
      <c r="I57">
        <v>86.981425754784397</v>
      </c>
      <c r="J57">
        <v>86.430910401906104</v>
      </c>
      <c r="K57">
        <v>86.430910401906004</v>
      </c>
      <c r="L57">
        <v>85.908984614454894</v>
      </c>
      <c r="M57">
        <v>84.863327530742794</v>
      </c>
      <c r="N57">
        <v>83.639127030556907</v>
      </c>
      <c r="O57">
        <v>86.553543514475706</v>
      </c>
      <c r="P57">
        <v>86.433107229436999</v>
      </c>
      <c r="Q57">
        <v>88.581241390132405</v>
      </c>
      <c r="R57">
        <v>89.771749464254299</v>
      </c>
      <c r="S57">
        <v>92.414253945622406</v>
      </c>
      <c r="T57">
        <v>92.669945557329598</v>
      </c>
      <c r="U57">
        <v>93.101302945494098</v>
      </c>
      <c r="V57">
        <v>94.709017753030096</v>
      </c>
      <c r="W57">
        <v>96.372525090612598</v>
      </c>
      <c r="X57">
        <v>97.790302713597796</v>
      </c>
      <c r="Y57">
        <v>99.148501362397795</v>
      </c>
      <c r="Z57">
        <v>100</v>
      </c>
      <c r="AA57">
        <v>100.63417890520699</v>
      </c>
      <c r="AB57">
        <v>101.520544746461</v>
      </c>
      <c r="AC57">
        <v>102.479931337707</v>
      </c>
      <c r="AD57">
        <v>103.159686785689</v>
      </c>
      <c r="AE57">
        <v>104.50164783715</v>
      </c>
    </row>
    <row r="58" spans="1:31" x14ac:dyDescent="0.3">
      <c r="A58" t="s">
        <v>261</v>
      </c>
      <c r="B58" t="s">
        <v>234</v>
      </c>
      <c r="C58" t="s">
        <v>0</v>
      </c>
      <c r="D58" t="s">
        <v>235</v>
      </c>
      <c r="E58" t="s">
        <v>123</v>
      </c>
      <c r="F58">
        <v>87.454579476025302</v>
      </c>
      <c r="G58">
        <v>87.454579476025302</v>
      </c>
      <c r="H58">
        <v>87.454579476025302</v>
      </c>
      <c r="I58">
        <v>86.981425754784397</v>
      </c>
      <c r="J58">
        <v>86.430910401906104</v>
      </c>
      <c r="K58">
        <v>86.430910401906004</v>
      </c>
      <c r="L58">
        <v>85.908984614454894</v>
      </c>
      <c r="M58">
        <v>84.863327530742794</v>
      </c>
      <c r="N58">
        <v>83.639127030556907</v>
      </c>
      <c r="O58">
        <v>86.553543514475706</v>
      </c>
      <c r="P58">
        <v>86.433107229436999</v>
      </c>
      <c r="Q58">
        <v>88.581241390132405</v>
      </c>
      <c r="R58">
        <v>89.771749464254299</v>
      </c>
      <c r="S58">
        <v>92.414253945622406</v>
      </c>
      <c r="T58">
        <v>92.669945557329598</v>
      </c>
      <c r="U58">
        <v>93.101302945494098</v>
      </c>
      <c r="V58">
        <v>94.709017753030096</v>
      </c>
      <c r="W58">
        <v>96.372525090612598</v>
      </c>
      <c r="X58">
        <v>97.790302713597796</v>
      </c>
      <c r="Y58">
        <v>99.148501362397795</v>
      </c>
      <c r="Z58">
        <v>100</v>
      </c>
      <c r="AA58">
        <v>100.63417890520699</v>
      </c>
      <c r="AB58">
        <v>101.520544746461</v>
      </c>
      <c r="AC58">
        <v>102.479931337707</v>
      </c>
      <c r="AD58">
        <v>103.159686785689</v>
      </c>
      <c r="AE58">
        <v>104.50164783715</v>
      </c>
    </row>
    <row r="59" spans="1:31" x14ac:dyDescent="0.3">
      <c r="A59" t="s">
        <v>261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262</v>
      </c>
      <c r="B2" t="s">
        <v>121</v>
      </c>
      <c r="C2" t="s">
        <v>0</v>
      </c>
      <c r="D2" t="s">
        <v>122</v>
      </c>
      <c r="E2" t="s">
        <v>123</v>
      </c>
      <c r="F2">
        <v>66.990000442471199</v>
      </c>
      <c r="G2">
        <v>65.835000434842399</v>
      </c>
      <c r="H2">
        <v>65.507463119246097</v>
      </c>
      <c r="I2">
        <v>66.211844443109001</v>
      </c>
      <c r="J2">
        <v>69.049494919242207</v>
      </c>
      <c r="K2">
        <v>72.051646872252803</v>
      </c>
      <c r="L2">
        <v>74.144433295928195</v>
      </c>
      <c r="M2">
        <v>76.349472204357198</v>
      </c>
      <c r="N2">
        <v>78.343674836560595</v>
      </c>
      <c r="O2">
        <v>80.801515615746794</v>
      </c>
      <c r="P2">
        <v>83.494899469605002</v>
      </c>
      <c r="Q2">
        <v>90.651605138428295</v>
      </c>
      <c r="R2">
        <v>91.379730480905707</v>
      </c>
      <c r="S2">
        <v>90.762299869548201</v>
      </c>
      <c r="T2">
        <v>91.731292394845894</v>
      </c>
      <c r="U2">
        <v>92.445154592471098</v>
      </c>
      <c r="V2">
        <v>93.765799658077896</v>
      </c>
      <c r="W2">
        <v>98.470893547730498</v>
      </c>
      <c r="X2">
        <v>98.470893547730498</v>
      </c>
      <c r="Y2">
        <v>97.794117647058798</v>
      </c>
      <c r="Z2">
        <v>100</v>
      </c>
      <c r="AA2">
        <v>100</v>
      </c>
      <c r="AB2">
        <v>99.107142857142904</v>
      </c>
      <c r="AC2">
        <v>99.995996156310099</v>
      </c>
      <c r="AD2">
        <v>99.570481279049204</v>
      </c>
      <c r="AE2">
        <v>101.653545740954</v>
      </c>
    </row>
    <row r="3" spans="1:31" x14ac:dyDescent="0.3">
      <c r="A3" t="s">
        <v>262</v>
      </c>
      <c r="B3" t="s">
        <v>124</v>
      </c>
      <c r="C3" t="s">
        <v>0</v>
      </c>
      <c r="D3" t="s">
        <v>125</v>
      </c>
      <c r="E3" t="s">
        <v>123</v>
      </c>
      <c r="F3">
        <v>97.142857142857096</v>
      </c>
      <c r="G3">
        <v>97.142857142857096</v>
      </c>
      <c r="H3">
        <v>97.142857142857096</v>
      </c>
      <c r="I3">
        <v>97.142857142857096</v>
      </c>
      <c r="J3">
        <v>97.142857142857096</v>
      </c>
      <c r="K3">
        <v>97.142857142857096</v>
      </c>
      <c r="L3">
        <v>97.142857142857096</v>
      </c>
      <c r="M3">
        <v>97.142857142857096</v>
      </c>
      <c r="N3">
        <v>97.142857142857096</v>
      </c>
      <c r="O3">
        <v>97.142857142857096</v>
      </c>
      <c r="P3">
        <v>97.142857142857096</v>
      </c>
      <c r="Q3">
        <v>97.142857142857096</v>
      </c>
      <c r="R3">
        <v>97.142857142857096</v>
      </c>
      <c r="S3">
        <v>97.142857142857096</v>
      </c>
      <c r="T3">
        <v>97.142857142857096</v>
      </c>
      <c r="U3">
        <v>97.142857142857096</v>
      </c>
      <c r="V3">
        <v>97.142857142857096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</row>
    <row r="4" spans="1:31" x14ac:dyDescent="0.3">
      <c r="A4" t="s">
        <v>262</v>
      </c>
      <c r="B4" t="s">
        <v>126</v>
      </c>
      <c r="C4" t="s">
        <v>0</v>
      </c>
      <c r="D4" t="s">
        <v>127</v>
      </c>
      <c r="E4" t="s">
        <v>123</v>
      </c>
      <c r="F4">
        <v>94.470649895178198</v>
      </c>
      <c r="G4">
        <v>94.470649895178198</v>
      </c>
      <c r="H4">
        <v>94.470649895178198</v>
      </c>
      <c r="I4">
        <v>94.470649895178198</v>
      </c>
      <c r="J4">
        <v>94.470649895178198</v>
      </c>
      <c r="K4">
        <v>97.169811320754704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</row>
    <row r="5" spans="1:31" x14ac:dyDescent="0.3">
      <c r="A5" t="s">
        <v>262</v>
      </c>
      <c r="B5" t="s">
        <v>128</v>
      </c>
      <c r="C5" t="s">
        <v>0</v>
      </c>
      <c r="D5" t="s">
        <v>129</v>
      </c>
      <c r="E5" t="s">
        <v>123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</row>
    <row r="6" spans="1:31" x14ac:dyDescent="0.3">
      <c r="A6" t="s">
        <v>262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262</v>
      </c>
      <c r="B7" t="s">
        <v>132</v>
      </c>
      <c r="C7" t="s">
        <v>0</v>
      </c>
      <c r="D7" t="s">
        <v>133</v>
      </c>
      <c r="E7" t="s">
        <v>123</v>
      </c>
      <c r="F7">
        <v>85.470085470085493</v>
      </c>
      <c r="G7">
        <v>85.470085470085493</v>
      </c>
      <c r="H7">
        <v>85.470085470085493</v>
      </c>
      <c r="I7">
        <v>85.470085470085493</v>
      </c>
      <c r="J7">
        <v>85.470085470085493</v>
      </c>
      <c r="K7">
        <v>92.307692307692307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</row>
    <row r="8" spans="1:31" x14ac:dyDescent="0.3">
      <c r="A8" t="s">
        <v>262</v>
      </c>
      <c r="B8" t="s">
        <v>134</v>
      </c>
      <c r="C8" t="s">
        <v>0</v>
      </c>
      <c r="D8" t="s">
        <v>135</v>
      </c>
      <c r="E8" t="s">
        <v>123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</row>
    <row r="9" spans="1:31" x14ac:dyDescent="0.3">
      <c r="A9" t="s">
        <v>262</v>
      </c>
      <c r="B9" t="s">
        <v>136</v>
      </c>
      <c r="C9" t="s">
        <v>0</v>
      </c>
      <c r="D9" t="s">
        <v>137</v>
      </c>
      <c r="E9" t="s">
        <v>123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</row>
    <row r="10" spans="1:31" x14ac:dyDescent="0.3">
      <c r="A10" t="s">
        <v>262</v>
      </c>
      <c r="B10" t="s">
        <v>138</v>
      </c>
      <c r="C10" t="s">
        <v>0</v>
      </c>
      <c r="D10" t="s">
        <v>139</v>
      </c>
      <c r="E10" t="s">
        <v>123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">
      <c r="A11" t="s">
        <v>262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 t="e">
        <v>#NUM!</v>
      </c>
      <c r="H11">
        <v>0</v>
      </c>
      <c r="I11" t="e">
        <v>#NUM!</v>
      </c>
      <c r="J11" t="e">
        <v>#NUM!</v>
      </c>
      <c r="K11" t="e">
        <v>#NUM!</v>
      </c>
      <c r="L11">
        <v>0</v>
      </c>
      <c r="M11" t="e">
        <v>#NUM!</v>
      </c>
      <c r="N11" t="e">
        <v>#NUM!</v>
      </c>
      <c r="O11">
        <v>0</v>
      </c>
      <c r="P11" t="e">
        <v>#NUM!</v>
      </c>
      <c r="Q11" t="e">
        <v>#NUM!</v>
      </c>
      <c r="R11">
        <v>0</v>
      </c>
      <c r="S11" t="e">
        <v>#NUM!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262</v>
      </c>
      <c r="B12" t="s">
        <v>142</v>
      </c>
      <c r="C12" t="s">
        <v>0</v>
      </c>
      <c r="D12" t="s">
        <v>143</v>
      </c>
      <c r="E12" t="s">
        <v>123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</row>
    <row r="13" spans="1:31" x14ac:dyDescent="0.3">
      <c r="A13" t="s">
        <v>262</v>
      </c>
      <c r="B13" t="s">
        <v>144</v>
      </c>
      <c r="C13" t="s">
        <v>0</v>
      </c>
      <c r="D13" t="s">
        <v>145</v>
      </c>
      <c r="E13" t="s">
        <v>123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</row>
    <row r="14" spans="1:31" x14ac:dyDescent="0.3">
      <c r="A14" t="s">
        <v>262</v>
      </c>
      <c r="B14" t="s">
        <v>146</v>
      </c>
      <c r="C14" t="s">
        <v>0</v>
      </c>
      <c r="D14" t="s">
        <v>147</v>
      </c>
      <c r="E14" t="s">
        <v>123</v>
      </c>
      <c r="F14">
        <v>85.119047619047606</v>
      </c>
      <c r="G14">
        <v>85.119047619047606</v>
      </c>
      <c r="H14">
        <v>85.119047619047606</v>
      </c>
      <c r="I14">
        <v>85.119047619047606</v>
      </c>
      <c r="J14">
        <v>85.119047619047606</v>
      </c>
      <c r="K14">
        <v>92.857142857142904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</row>
    <row r="15" spans="1:31" x14ac:dyDescent="0.3">
      <c r="A15" t="s">
        <v>262</v>
      </c>
      <c r="B15" t="s">
        <v>148</v>
      </c>
      <c r="C15" t="s">
        <v>0</v>
      </c>
      <c r="D15" t="s">
        <v>149</v>
      </c>
      <c r="E15" t="s">
        <v>123</v>
      </c>
      <c r="F15">
        <v>88.5416666666667</v>
      </c>
      <c r="G15">
        <v>88.5416666666667</v>
      </c>
      <c r="H15">
        <v>88.5416666666667</v>
      </c>
      <c r="I15">
        <v>88.5416666666667</v>
      </c>
      <c r="J15">
        <v>88.5416666666667</v>
      </c>
      <c r="K15">
        <v>94.4444444444444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</row>
    <row r="16" spans="1:31" x14ac:dyDescent="0.3">
      <c r="A16" t="s">
        <v>262</v>
      </c>
      <c r="B16" t="s">
        <v>150</v>
      </c>
      <c r="C16" t="s">
        <v>0</v>
      </c>
      <c r="D16" t="s">
        <v>151</v>
      </c>
      <c r="E16" t="s">
        <v>123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</row>
    <row r="17" spans="1:31" x14ac:dyDescent="0.3">
      <c r="A17" t="s">
        <v>262</v>
      </c>
      <c r="B17" t="s">
        <v>152</v>
      </c>
      <c r="C17" t="s">
        <v>0</v>
      </c>
      <c r="D17" t="s">
        <v>153</v>
      </c>
      <c r="E17" t="s">
        <v>123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</row>
    <row r="18" spans="1:31" x14ac:dyDescent="0.3">
      <c r="A18" t="s">
        <v>262</v>
      </c>
      <c r="B18" t="s">
        <v>154</v>
      </c>
      <c r="C18" t="s">
        <v>0</v>
      </c>
      <c r="D18" t="s">
        <v>155</v>
      </c>
      <c r="E18" t="s">
        <v>123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262</v>
      </c>
      <c r="B19" t="s">
        <v>156</v>
      </c>
      <c r="C19" t="s">
        <v>0</v>
      </c>
      <c r="D19" t="s">
        <v>157</v>
      </c>
      <c r="E19" t="s">
        <v>123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</row>
    <row r="20" spans="1:31" x14ac:dyDescent="0.3">
      <c r="A20" t="s">
        <v>262</v>
      </c>
      <c r="B20" t="s">
        <v>158</v>
      </c>
      <c r="C20" t="s">
        <v>0</v>
      </c>
      <c r="D20" t="s">
        <v>159</v>
      </c>
      <c r="E20" t="s">
        <v>123</v>
      </c>
      <c r="F20">
        <v>80.626653439153401</v>
      </c>
      <c r="G20">
        <v>80.626653439153401</v>
      </c>
      <c r="H20">
        <v>80.626653439153401</v>
      </c>
      <c r="I20">
        <v>80.626653439153401</v>
      </c>
      <c r="J20">
        <v>80.626653439153401</v>
      </c>
      <c r="K20">
        <v>87.956349206349202</v>
      </c>
      <c r="L20">
        <v>95.952380952381006</v>
      </c>
      <c r="M20">
        <v>95.952380952381006</v>
      </c>
      <c r="N20">
        <v>95.952380952381006</v>
      </c>
      <c r="O20">
        <v>95.952380952381006</v>
      </c>
      <c r="P20">
        <v>95.952380952381006</v>
      </c>
      <c r="Q20">
        <v>95.952380952381006</v>
      </c>
      <c r="R20">
        <v>95.952380952381006</v>
      </c>
      <c r="S20">
        <v>95.952380952381006</v>
      </c>
      <c r="T20">
        <v>95.952380952381006</v>
      </c>
      <c r="U20">
        <v>95.952380952381006</v>
      </c>
      <c r="V20">
        <v>95.952380952381006</v>
      </c>
      <c r="W20">
        <v>98.412698412698404</v>
      </c>
      <c r="X20">
        <v>98.412698412698404</v>
      </c>
      <c r="Y20">
        <v>98.412698412698404</v>
      </c>
      <c r="Z20">
        <v>100</v>
      </c>
      <c r="AA20">
        <v>100</v>
      </c>
      <c r="AB20">
        <v>98.387096774193594</v>
      </c>
      <c r="AC20">
        <v>98.387096774193495</v>
      </c>
      <c r="AD20">
        <v>98.387096774193594</v>
      </c>
      <c r="AE20">
        <v>99.900744416873493</v>
      </c>
    </row>
    <row r="21" spans="1:31" x14ac:dyDescent="0.3">
      <c r="A21" t="s">
        <v>262</v>
      </c>
      <c r="B21" t="s">
        <v>160</v>
      </c>
      <c r="C21" t="s">
        <v>0</v>
      </c>
      <c r="D21" t="s">
        <v>161</v>
      </c>
      <c r="E21" t="s">
        <v>123</v>
      </c>
      <c r="F21">
        <v>79.836710195694096</v>
      </c>
      <c r="G21">
        <v>79.836710195694096</v>
      </c>
      <c r="H21">
        <v>81.994459119902004</v>
      </c>
      <c r="I21">
        <v>81.994459119902004</v>
      </c>
      <c r="J21">
        <v>83.541524386315302</v>
      </c>
      <c r="K21">
        <v>90.806004767733995</v>
      </c>
      <c r="L21">
        <v>96.481380065717403</v>
      </c>
      <c r="M21">
        <v>96.481380065717403</v>
      </c>
      <c r="N21">
        <v>96.481380065717403</v>
      </c>
      <c r="O21">
        <v>96.481380065717403</v>
      </c>
      <c r="P21">
        <v>96.481380065717403</v>
      </c>
      <c r="Q21">
        <v>96.481380065717403</v>
      </c>
      <c r="R21">
        <v>96.481380065717403</v>
      </c>
      <c r="S21">
        <v>96.481380065717403</v>
      </c>
      <c r="T21">
        <v>96.481380065717403</v>
      </c>
      <c r="U21">
        <v>96.481380065717403</v>
      </c>
      <c r="V21">
        <v>96.481380065717403</v>
      </c>
      <c r="W21">
        <v>98.863636363636402</v>
      </c>
      <c r="X21">
        <v>98.863636363636402</v>
      </c>
      <c r="Y21">
        <v>98.863636363636402</v>
      </c>
      <c r="Z21">
        <v>100</v>
      </c>
      <c r="AA21">
        <v>100</v>
      </c>
      <c r="AB21">
        <v>98.913043478260903</v>
      </c>
      <c r="AC21">
        <v>98.913043478260903</v>
      </c>
      <c r="AD21">
        <v>98.913043478260903</v>
      </c>
      <c r="AE21">
        <v>100.18115942029</v>
      </c>
    </row>
    <row r="22" spans="1:31" x14ac:dyDescent="0.3">
      <c r="A22" t="s">
        <v>262</v>
      </c>
      <c r="B22" t="s">
        <v>162</v>
      </c>
      <c r="C22" t="s">
        <v>0</v>
      </c>
      <c r="D22" t="s">
        <v>163</v>
      </c>
      <c r="E22" t="s">
        <v>123</v>
      </c>
      <c r="F22">
        <v>80.231802590023804</v>
      </c>
      <c r="G22">
        <v>80.231802590023804</v>
      </c>
      <c r="H22">
        <v>83.317641151178506</v>
      </c>
      <c r="I22">
        <v>83.317641151178506</v>
      </c>
      <c r="J22">
        <v>85.349778740231599</v>
      </c>
      <c r="K22">
        <v>92.665474060822902</v>
      </c>
      <c r="L22">
        <v>97.674418604651194</v>
      </c>
      <c r="M22">
        <v>97.674418604651194</v>
      </c>
      <c r="N22">
        <v>97.674418604651194</v>
      </c>
      <c r="O22">
        <v>97.674418604651194</v>
      </c>
      <c r="P22">
        <v>97.674418604651194</v>
      </c>
      <c r="Q22">
        <v>97.674418604651194</v>
      </c>
      <c r="R22">
        <v>97.674418604651194</v>
      </c>
      <c r="S22">
        <v>97.674418604651194</v>
      </c>
      <c r="T22">
        <v>97.674418604651194</v>
      </c>
      <c r="U22">
        <v>97.674418604651194</v>
      </c>
      <c r="V22">
        <v>97.674418604651194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</row>
    <row r="23" spans="1:31" x14ac:dyDescent="0.3">
      <c r="A23" t="s">
        <v>262</v>
      </c>
      <c r="B23" t="s">
        <v>164</v>
      </c>
      <c r="C23" t="s">
        <v>0</v>
      </c>
      <c r="D23" t="s">
        <v>165</v>
      </c>
      <c r="E23" t="s">
        <v>123</v>
      </c>
      <c r="F23">
        <v>68.785227286169501</v>
      </c>
      <c r="G23">
        <v>70.808322206350994</v>
      </c>
      <c r="H23">
        <v>73.497245834440307</v>
      </c>
      <c r="I23">
        <v>73.497245834440307</v>
      </c>
      <c r="J23">
        <v>74.871026130411096</v>
      </c>
      <c r="K23">
        <v>81.739927610265298</v>
      </c>
      <c r="L23">
        <v>85.595584573013696</v>
      </c>
      <c r="M23">
        <v>87.137847358113007</v>
      </c>
      <c r="N23">
        <v>87.852092008589395</v>
      </c>
      <c r="O23">
        <v>88.512634053766803</v>
      </c>
      <c r="P23">
        <v>89.140383231453001</v>
      </c>
      <c r="Q23">
        <v>90.353177561132696</v>
      </c>
      <c r="R23">
        <v>92.00597958969</v>
      </c>
      <c r="S23">
        <v>91.451726700595501</v>
      </c>
      <c r="T23">
        <v>92.144542811963603</v>
      </c>
      <c r="U23">
        <v>93.099408540585003</v>
      </c>
      <c r="V23">
        <v>94.374742904154701</v>
      </c>
      <c r="W23">
        <v>97.794117647058798</v>
      </c>
      <c r="X23">
        <v>97.794117647058798</v>
      </c>
      <c r="Y23">
        <v>97.794117647058798</v>
      </c>
      <c r="Z23">
        <v>100</v>
      </c>
      <c r="AA23">
        <v>100.68965517241401</v>
      </c>
      <c r="AB23">
        <v>100.68965517241401</v>
      </c>
      <c r="AC23">
        <v>102.32688533781899</v>
      </c>
      <c r="AD23">
        <v>102.32688533781899</v>
      </c>
      <c r="AE23">
        <v>103.622162367412</v>
      </c>
    </row>
    <row r="24" spans="1:31" x14ac:dyDescent="0.3">
      <c r="A24" t="s">
        <v>262</v>
      </c>
      <c r="B24" t="s">
        <v>166</v>
      </c>
      <c r="C24" t="s">
        <v>0</v>
      </c>
      <c r="D24" t="s">
        <v>167</v>
      </c>
      <c r="E24" t="s">
        <v>123</v>
      </c>
      <c r="F24">
        <v>66.178348810885296</v>
      </c>
      <c r="G24">
        <v>68.285939537346593</v>
      </c>
      <c r="H24">
        <v>72.200420147767701</v>
      </c>
      <c r="I24">
        <v>73.630131437822499</v>
      </c>
      <c r="J24">
        <v>75.774698372904794</v>
      </c>
      <c r="K24">
        <v>82.0343473689273</v>
      </c>
      <c r="L24">
        <v>86.824674222587305</v>
      </c>
      <c r="M24">
        <v>88.236457543279798</v>
      </c>
      <c r="N24">
        <v>89.235360836222597</v>
      </c>
      <c r="O24">
        <v>89.924436981675996</v>
      </c>
      <c r="P24">
        <v>89.924436981675996</v>
      </c>
      <c r="Q24">
        <v>91.092286812606901</v>
      </c>
      <c r="R24">
        <v>92.096981152451804</v>
      </c>
      <c r="S24">
        <v>91.480947833706296</v>
      </c>
      <c r="T24">
        <v>92.297742010793002</v>
      </c>
      <c r="U24">
        <v>93.2207194309009</v>
      </c>
      <c r="V24">
        <v>94.761557768601705</v>
      </c>
      <c r="W24">
        <v>98.324022346368693</v>
      </c>
      <c r="X24">
        <v>98.324022346368693</v>
      </c>
      <c r="Y24">
        <v>98.324022346368693</v>
      </c>
      <c r="Z24">
        <v>100</v>
      </c>
      <c r="AA24">
        <v>100</v>
      </c>
      <c r="AB24">
        <v>100</v>
      </c>
      <c r="AC24">
        <v>101.063829787234</v>
      </c>
      <c r="AD24">
        <v>101.063829787234</v>
      </c>
      <c r="AE24">
        <v>101.063829787234</v>
      </c>
    </row>
    <row r="25" spans="1:31" x14ac:dyDescent="0.3">
      <c r="A25" t="s">
        <v>262</v>
      </c>
      <c r="B25" t="s">
        <v>168</v>
      </c>
      <c r="C25" t="s">
        <v>0</v>
      </c>
      <c r="D25" t="s">
        <v>169</v>
      </c>
      <c r="E25" t="s">
        <v>123</v>
      </c>
      <c r="F25">
        <v>72.419936496151493</v>
      </c>
      <c r="G25">
        <v>72.419936496151493</v>
      </c>
      <c r="H25">
        <v>76.040933320959098</v>
      </c>
      <c r="I25">
        <v>76.040933320959098</v>
      </c>
      <c r="J25">
        <v>79.661930145766604</v>
      </c>
      <c r="K25">
        <v>85.951029894116601</v>
      </c>
      <c r="L25">
        <v>90.597031510014801</v>
      </c>
      <c r="M25">
        <v>93.428188744702794</v>
      </c>
      <c r="N25">
        <v>93.428188744702794</v>
      </c>
      <c r="O25">
        <v>93.428188744702794</v>
      </c>
      <c r="P25">
        <v>93.428188744702794</v>
      </c>
      <c r="Q25">
        <v>93.428188744702794</v>
      </c>
      <c r="R25">
        <v>93.428188744702794</v>
      </c>
      <c r="S25">
        <v>93.428188744702794</v>
      </c>
      <c r="T25">
        <v>93.428188744702794</v>
      </c>
      <c r="U25">
        <v>95.296752519596893</v>
      </c>
      <c r="V25">
        <v>97.368421052631604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</row>
    <row r="26" spans="1:31" x14ac:dyDescent="0.3">
      <c r="A26" t="s">
        <v>262</v>
      </c>
      <c r="B26" t="s">
        <v>170</v>
      </c>
      <c r="C26" t="s">
        <v>0</v>
      </c>
      <c r="D26" t="s">
        <v>171</v>
      </c>
      <c r="E26" t="s">
        <v>123</v>
      </c>
      <c r="F26">
        <v>65.499995610101294</v>
      </c>
      <c r="G26">
        <v>68.019226210489805</v>
      </c>
      <c r="H26">
        <v>71.9060391368035</v>
      </c>
      <c r="I26">
        <v>74.020922640827195</v>
      </c>
      <c r="J26">
        <v>76.230502421150305</v>
      </c>
      <c r="K26">
        <v>83.057114578268298</v>
      </c>
      <c r="L26">
        <v>87.671398721505398</v>
      </c>
      <c r="M26">
        <v>88.856147352877102</v>
      </c>
      <c r="N26">
        <v>90.107642386016195</v>
      </c>
      <c r="O26">
        <v>90.742203247889606</v>
      </c>
      <c r="P26">
        <v>90.1491169521518</v>
      </c>
      <c r="Q26">
        <v>91.7446765442252</v>
      </c>
      <c r="R26">
        <v>92.348259942542498</v>
      </c>
      <c r="S26">
        <v>91.763777284678298</v>
      </c>
      <c r="T26">
        <v>92.621382679862194</v>
      </c>
      <c r="U26">
        <v>93.328416135433699</v>
      </c>
      <c r="V26">
        <v>94.994994994994997</v>
      </c>
      <c r="W26">
        <v>98.648648648648603</v>
      </c>
      <c r="X26">
        <v>98.648648648648603</v>
      </c>
      <c r="Y26">
        <v>98.648648648648603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100</v>
      </c>
    </row>
    <row r="27" spans="1:31" x14ac:dyDescent="0.3">
      <c r="A27" t="s">
        <v>262</v>
      </c>
      <c r="B27" t="s">
        <v>172</v>
      </c>
      <c r="C27" t="s">
        <v>0</v>
      </c>
      <c r="D27" t="s">
        <v>173</v>
      </c>
      <c r="E27" t="s">
        <v>123</v>
      </c>
      <c r="F27">
        <v>66.318504276316702</v>
      </c>
      <c r="G27">
        <v>68.328155921053593</v>
      </c>
      <c r="H27">
        <v>72.598665666119501</v>
      </c>
      <c r="I27">
        <v>72.598665666119501</v>
      </c>
      <c r="J27">
        <v>74.022168914474705</v>
      </c>
      <c r="K27">
        <v>79.127146080990201</v>
      </c>
      <c r="L27">
        <v>84.402289153056302</v>
      </c>
      <c r="M27">
        <v>85.681111715981302</v>
      </c>
      <c r="N27">
        <v>86.633124068381093</v>
      </c>
      <c r="O27">
        <v>87.689625581410198</v>
      </c>
      <c r="P27">
        <v>88.674902273336102</v>
      </c>
      <c r="Q27">
        <v>89.783338551752806</v>
      </c>
      <c r="R27">
        <v>91.778523852902893</v>
      </c>
      <c r="S27">
        <v>90.812434128135493</v>
      </c>
      <c r="T27">
        <v>91.868392664509201</v>
      </c>
      <c r="U27">
        <v>92.640395964210896</v>
      </c>
      <c r="V27">
        <v>93.743257820927695</v>
      </c>
      <c r="W27">
        <v>97.530864197530903</v>
      </c>
      <c r="X27">
        <v>97.530864197530903</v>
      </c>
      <c r="Y27">
        <v>97.530864197530903</v>
      </c>
      <c r="Z27">
        <v>100</v>
      </c>
      <c r="AA27">
        <v>100</v>
      </c>
      <c r="AB27">
        <v>100</v>
      </c>
      <c r="AC27">
        <v>102.439024390244</v>
      </c>
      <c r="AD27">
        <v>102.439024390244</v>
      </c>
      <c r="AE27">
        <v>102.439024390244</v>
      </c>
    </row>
    <row r="28" spans="1:31" x14ac:dyDescent="0.3">
      <c r="A28" t="s">
        <v>262</v>
      </c>
      <c r="B28" t="s">
        <v>174</v>
      </c>
      <c r="C28" t="s">
        <v>0</v>
      </c>
      <c r="D28" t="s">
        <v>175</v>
      </c>
      <c r="E28" t="s">
        <v>123</v>
      </c>
      <c r="F28">
        <v>65.337526774402207</v>
      </c>
      <c r="G28">
        <v>67.575113307772099</v>
      </c>
      <c r="H28">
        <v>71.493896399170495</v>
      </c>
      <c r="I28">
        <v>73.531516742641301</v>
      </c>
      <c r="J28">
        <v>75.840477413303901</v>
      </c>
      <c r="K28">
        <v>82.407309922775099</v>
      </c>
      <c r="L28">
        <v>87.102029397163506</v>
      </c>
      <c r="M28">
        <v>88.460639907691103</v>
      </c>
      <c r="N28">
        <v>89.418006140458402</v>
      </c>
      <c r="O28">
        <v>89.9733974829457</v>
      </c>
      <c r="P28">
        <v>89.872868547210601</v>
      </c>
      <c r="Q28">
        <v>89.781904105361093</v>
      </c>
      <c r="R28">
        <v>90.124256456573207</v>
      </c>
      <c r="S28">
        <v>89.499261612907603</v>
      </c>
      <c r="T28">
        <v>90.240456326057995</v>
      </c>
      <c r="U28">
        <v>91.052214553878599</v>
      </c>
      <c r="V28">
        <v>92.288726109548605</v>
      </c>
      <c r="W28">
        <v>94.999778039327296</v>
      </c>
      <c r="X28">
        <v>93.974969214739005</v>
      </c>
      <c r="Y28">
        <v>96.014492753623202</v>
      </c>
      <c r="Z28">
        <v>100</v>
      </c>
      <c r="AA28">
        <v>100.654664484452</v>
      </c>
      <c r="AB28">
        <v>100.849354357729</v>
      </c>
      <c r="AC28">
        <v>101.24062246387</v>
      </c>
      <c r="AD28">
        <v>102.876312792793</v>
      </c>
      <c r="AE28">
        <v>104.26653323593899</v>
      </c>
    </row>
    <row r="29" spans="1:31" x14ac:dyDescent="0.3">
      <c r="A29" t="s">
        <v>262</v>
      </c>
      <c r="B29" t="s">
        <v>176</v>
      </c>
      <c r="C29" t="s">
        <v>0</v>
      </c>
      <c r="D29" t="s">
        <v>177</v>
      </c>
      <c r="E29" t="s">
        <v>123</v>
      </c>
      <c r="F29">
        <v>69.282313903444006</v>
      </c>
      <c r="G29">
        <v>71.630866917120102</v>
      </c>
      <c r="H29">
        <v>75.877026553959695</v>
      </c>
      <c r="I29">
        <v>77.878178902635497</v>
      </c>
      <c r="J29">
        <v>80.468721236195094</v>
      </c>
      <c r="K29">
        <v>87.643040960867907</v>
      </c>
      <c r="L29">
        <v>92.684454821448796</v>
      </c>
      <c r="M29">
        <v>94.162339066893296</v>
      </c>
      <c r="N29">
        <v>95.199369232828303</v>
      </c>
      <c r="O29">
        <v>95.745445920588296</v>
      </c>
      <c r="P29">
        <v>95.575382961581894</v>
      </c>
      <c r="Q29">
        <v>95.793591598480504</v>
      </c>
      <c r="R29">
        <v>96.254137711934703</v>
      </c>
      <c r="S29">
        <v>95.515142412802803</v>
      </c>
      <c r="T29">
        <v>96.217459636426398</v>
      </c>
      <c r="U29">
        <v>97.144856837741301</v>
      </c>
      <c r="V29">
        <v>98.573457673590497</v>
      </c>
      <c r="W29">
        <v>100.133987346523</v>
      </c>
      <c r="X29">
        <v>97.8112917637431</v>
      </c>
      <c r="Y29">
        <v>98.696461824953403</v>
      </c>
      <c r="Z29">
        <v>100</v>
      </c>
      <c r="AA29">
        <v>101.041666666667</v>
      </c>
      <c r="AB29">
        <v>101.97579609655899</v>
      </c>
      <c r="AC29">
        <v>102.636903364608</v>
      </c>
      <c r="AD29">
        <v>102.636903364608</v>
      </c>
      <c r="AE29">
        <v>104.363505477283</v>
      </c>
    </row>
    <row r="30" spans="1:31" x14ac:dyDescent="0.3">
      <c r="A30" t="s">
        <v>262</v>
      </c>
      <c r="B30" t="s">
        <v>178</v>
      </c>
      <c r="C30" t="s">
        <v>0</v>
      </c>
      <c r="D30" t="s">
        <v>179</v>
      </c>
      <c r="E30" t="s">
        <v>123</v>
      </c>
      <c r="F30">
        <v>67.166555393975699</v>
      </c>
      <c r="G30">
        <v>67.166555393975699</v>
      </c>
      <c r="H30">
        <v>71.047289705627605</v>
      </c>
      <c r="I30">
        <v>73.290888327910594</v>
      </c>
      <c r="J30">
        <v>75.405048568138795</v>
      </c>
      <c r="K30">
        <v>82.586481765104395</v>
      </c>
      <c r="L30">
        <v>87.091198952291904</v>
      </c>
      <c r="M30">
        <v>88.317835557253801</v>
      </c>
      <c r="N30">
        <v>88.317835557253801</v>
      </c>
      <c r="O30">
        <v>88.873293642519499</v>
      </c>
      <c r="P30">
        <v>89.860774682992002</v>
      </c>
      <c r="Q30">
        <v>89.4266646603688</v>
      </c>
      <c r="R30">
        <v>89.686625894846699</v>
      </c>
      <c r="S30">
        <v>89.686625894846699</v>
      </c>
      <c r="T30">
        <v>90.705792098197193</v>
      </c>
      <c r="U30">
        <v>90.705792098197193</v>
      </c>
      <c r="V30">
        <v>92.101265822784796</v>
      </c>
      <c r="W30">
        <v>95.1111111111111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100.69930069930101</v>
      </c>
      <c r="AD30">
        <v>101.552684603532</v>
      </c>
      <c r="AE30">
        <v>101.552684603532</v>
      </c>
    </row>
    <row r="31" spans="1:31" x14ac:dyDescent="0.3">
      <c r="A31" t="s">
        <v>262</v>
      </c>
      <c r="B31" t="s">
        <v>180</v>
      </c>
      <c r="C31" t="s">
        <v>0</v>
      </c>
      <c r="D31" t="s">
        <v>181</v>
      </c>
      <c r="E31" t="s">
        <v>123</v>
      </c>
      <c r="F31">
        <v>52.802083320005501</v>
      </c>
      <c r="G31">
        <v>54.914166652805797</v>
      </c>
      <c r="H31">
        <v>57.592906489527998</v>
      </c>
      <c r="I31">
        <v>59.674577808426598</v>
      </c>
      <c r="J31">
        <v>61.539408364939902</v>
      </c>
      <c r="K31">
        <v>66.754612463663605</v>
      </c>
      <c r="L31">
        <v>70.483920422527504</v>
      </c>
      <c r="M31">
        <v>72.203040432833106</v>
      </c>
      <c r="N31">
        <v>72.203040432833106</v>
      </c>
      <c r="O31">
        <v>73.042610670424196</v>
      </c>
      <c r="P31">
        <v>72.712101119879193</v>
      </c>
      <c r="Q31">
        <v>72.447693479443302</v>
      </c>
      <c r="R31">
        <v>72.731802081323494</v>
      </c>
      <c r="S31">
        <v>72.325479164668096</v>
      </c>
      <c r="T31">
        <v>73.031093595542899</v>
      </c>
      <c r="U31">
        <v>73.650001168386495</v>
      </c>
      <c r="V31">
        <v>74.559260442070197</v>
      </c>
      <c r="W31">
        <v>79.676072433192701</v>
      </c>
      <c r="X31">
        <v>76.285601265822805</v>
      </c>
      <c r="Y31">
        <v>84.177215189873394</v>
      </c>
      <c r="Z31">
        <v>100</v>
      </c>
      <c r="AA31">
        <v>99.683544303797504</v>
      </c>
      <c r="AB31">
        <v>98.557176571551196</v>
      </c>
      <c r="AC31">
        <v>97.631757073226694</v>
      </c>
      <c r="AD31">
        <v>102.58209968539001</v>
      </c>
      <c r="AE31">
        <v>103.37119275989301</v>
      </c>
    </row>
    <row r="32" spans="1:31" x14ac:dyDescent="0.3">
      <c r="A32" t="s">
        <v>262</v>
      </c>
      <c r="B32" t="s">
        <v>182</v>
      </c>
      <c r="C32" t="s">
        <v>0</v>
      </c>
      <c r="D32" t="s">
        <v>183</v>
      </c>
      <c r="E32" t="s">
        <v>123</v>
      </c>
      <c r="F32">
        <v>76.365829895248197</v>
      </c>
      <c r="G32">
        <v>76.365829895248197</v>
      </c>
      <c r="H32">
        <v>80.947779688963095</v>
      </c>
      <c r="I32">
        <v>83.106387147335397</v>
      </c>
      <c r="J32">
        <v>83.106387147335397</v>
      </c>
      <c r="K32">
        <v>87.480407523511005</v>
      </c>
      <c r="L32">
        <v>91.646141215106695</v>
      </c>
      <c r="M32">
        <v>91.646141215106695</v>
      </c>
      <c r="N32">
        <v>91.646141215106795</v>
      </c>
      <c r="O32">
        <v>91.646141215106795</v>
      </c>
      <c r="P32">
        <v>91.646141215106695</v>
      </c>
      <c r="Q32">
        <v>91.646141215106695</v>
      </c>
      <c r="R32">
        <v>91.646141215106695</v>
      </c>
      <c r="S32">
        <v>91.646141215106695</v>
      </c>
      <c r="T32">
        <v>91.646141215106695</v>
      </c>
      <c r="U32">
        <v>93.253968253968296</v>
      </c>
      <c r="V32">
        <v>93.253968253968196</v>
      </c>
      <c r="W32">
        <v>97.9166666666667</v>
      </c>
      <c r="X32">
        <v>97.9166666666667</v>
      </c>
      <c r="Y32">
        <v>97.9166666666667</v>
      </c>
      <c r="Z32">
        <v>100</v>
      </c>
      <c r="AA32">
        <v>101.43884892086299</v>
      </c>
      <c r="AB32">
        <v>101.43884892086299</v>
      </c>
      <c r="AC32">
        <v>103.509029511085</v>
      </c>
      <c r="AD32">
        <v>103.509029511085</v>
      </c>
      <c r="AE32">
        <v>105.20589884733199</v>
      </c>
    </row>
    <row r="33" spans="1:31" x14ac:dyDescent="0.3">
      <c r="A33" t="s">
        <v>262</v>
      </c>
      <c r="B33" t="s">
        <v>184</v>
      </c>
      <c r="C33" t="s">
        <v>0</v>
      </c>
      <c r="D33" t="s">
        <v>185</v>
      </c>
      <c r="E33" t="s">
        <v>123</v>
      </c>
      <c r="F33">
        <v>83.660130718954207</v>
      </c>
      <c r="G33">
        <v>83.660130718954207</v>
      </c>
      <c r="H33">
        <v>83.660130718954207</v>
      </c>
      <c r="I33">
        <v>83.660130718954207</v>
      </c>
      <c r="J33">
        <v>83.660130718954207</v>
      </c>
      <c r="K33">
        <v>88.8888888888889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262</v>
      </c>
      <c r="B34" t="s">
        <v>186</v>
      </c>
      <c r="C34" t="s">
        <v>0</v>
      </c>
      <c r="D34" t="s">
        <v>187</v>
      </c>
      <c r="E34" t="s">
        <v>123</v>
      </c>
      <c r="F34">
        <v>83.481481481481495</v>
      </c>
      <c r="G34">
        <v>83.481481481481495</v>
      </c>
      <c r="H34">
        <v>83.481481481481495</v>
      </c>
      <c r="I34">
        <v>83.481481481481495</v>
      </c>
      <c r="J34">
        <v>83.481481481481495</v>
      </c>
      <c r="K34">
        <v>89.4444444444444</v>
      </c>
      <c r="L34">
        <v>95.8333333333333</v>
      </c>
      <c r="M34">
        <v>95.8333333333333</v>
      </c>
      <c r="N34">
        <v>95.8333333333333</v>
      </c>
      <c r="O34">
        <v>95.8333333333333</v>
      </c>
      <c r="P34">
        <v>95.8333333333333</v>
      </c>
      <c r="Q34">
        <v>95.8333333333333</v>
      </c>
      <c r="R34">
        <v>95.8333333333333</v>
      </c>
      <c r="S34">
        <v>95.8333333333333</v>
      </c>
      <c r="T34">
        <v>95.8333333333333</v>
      </c>
      <c r="U34">
        <v>95.8333333333333</v>
      </c>
      <c r="V34">
        <v>95.8333333333333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</row>
    <row r="35" spans="1:31" x14ac:dyDescent="0.3">
      <c r="A35" t="s">
        <v>262</v>
      </c>
      <c r="B35" t="s">
        <v>188</v>
      </c>
      <c r="C35" t="s">
        <v>0</v>
      </c>
      <c r="D35" t="s">
        <v>189</v>
      </c>
      <c r="E35" t="s">
        <v>123</v>
      </c>
      <c r="F35">
        <v>72.649809972644604</v>
      </c>
      <c r="G35">
        <v>72.649809972644604</v>
      </c>
      <c r="H35">
        <v>77.052828758865502</v>
      </c>
      <c r="I35">
        <v>77.052828758865502</v>
      </c>
      <c r="J35">
        <v>77.052828758865502</v>
      </c>
      <c r="K35">
        <v>84.321963547437704</v>
      </c>
      <c r="L35">
        <v>89.094904880311503</v>
      </c>
      <c r="M35">
        <v>90.9131682452159</v>
      </c>
      <c r="N35">
        <v>90.9131682452159</v>
      </c>
      <c r="O35">
        <v>91.946272429820596</v>
      </c>
      <c r="P35">
        <v>91.946272429820596</v>
      </c>
      <c r="Q35">
        <v>91.946272429820596</v>
      </c>
      <c r="R35">
        <v>93.278827102716505</v>
      </c>
      <c r="S35">
        <v>93.278827102716505</v>
      </c>
      <c r="T35">
        <v>94.389289330129799</v>
      </c>
      <c r="U35">
        <v>95.126705653021403</v>
      </c>
      <c r="V35">
        <v>96.825396825396794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</row>
    <row r="36" spans="1:31" x14ac:dyDescent="0.3">
      <c r="A36" t="s">
        <v>262</v>
      </c>
      <c r="B36" t="s">
        <v>190</v>
      </c>
      <c r="C36" t="s">
        <v>0</v>
      </c>
      <c r="D36" t="s">
        <v>191</v>
      </c>
      <c r="E36" t="s">
        <v>123</v>
      </c>
      <c r="F36">
        <v>85.207100591715999</v>
      </c>
      <c r="G36">
        <v>85.207100591715999</v>
      </c>
      <c r="H36">
        <v>85.207100591715999</v>
      </c>
      <c r="I36">
        <v>85.207100591715999</v>
      </c>
      <c r="J36">
        <v>85.207100591715999</v>
      </c>
      <c r="K36">
        <v>92.307692307692307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3">
      <c r="A37" t="s">
        <v>262</v>
      </c>
      <c r="B37" t="s">
        <v>192</v>
      </c>
      <c r="C37" t="s">
        <v>0</v>
      </c>
      <c r="D37" t="s">
        <v>193</v>
      </c>
      <c r="E37" t="s">
        <v>123</v>
      </c>
      <c r="F37">
        <v>72.166160157323901</v>
      </c>
      <c r="G37">
        <v>72.166160157323901</v>
      </c>
      <c r="H37">
        <v>78.180006837100805</v>
      </c>
      <c r="I37">
        <v>78.180006837100805</v>
      </c>
      <c r="J37">
        <v>78.180006837100805</v>
      </c>
      <c r="K37">
        <v>84.978268301196593</v>
      </c>
      <c r="L37">
        <v>89.227181716256396</v>
      </c>
      <c r="M37">
        <v>89.227181716256396</v>
      </c>
      <c r="N37">
        <v>89.227181716256396</v>
      </c>
      <c r="O37">
        <v>90.714301411527401</v>
      </c>
      <c r="P37">
        <v>90.714301411527401</v>
      </c>
      <c r="Q37">
        <v>90.714301411527401</v>
      </c>
      <c r="R37">
        <v>92.305780383659396</v>
      </c>
      <c r="S37">
        <v>92.305780383659396</v>
      </c>
      <c r="T37">
        <v>93.624434389140305</v>
      </c>
      <c r="U37">
        <v>94.570135746606297</v>
      </c>
      <c r="V37">
        <v>97.058823529411796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</row>
    <row r="38" spans="1:31" x14ac:dyDescent="0.3">
      <c r="A38" t="s">
        <v>262</v>
      </c>
      <c r="B38" t="s">
        <v>194</v>
      </c>
      <c r="C38" t="s">
        <v>0</v>
      </c>
      <c r="D38" t="s">
        <v>195</v>
      </c>
      <c r="E38" t="s">
        <v>123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>
        <v>0</v>
      </c>
      <c r="S38" t="e">
        <v>#NUM!</v>
      </c>
      <c r="T38">
        <v>0</v>
      </c>
      <c r="U38">
        <v>93.75</v>
      </c>
      <c r="V38">
        <v>93.75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</row>
    <row r="39" spans="1:31" x14ac:dyDescent="0.3">
      <c r="A39" t="s">
        <v>262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31" x14ac:dyDescent="0.3">
      <c r="A40" t="s">
        <v>262</v>
      </c>
      <c r="B40" t="s">
        <v>198</v>
      </c>
      <c r="C40" t="s">
        <v>0</v>
      </c>
      <c r="D40" t="s">
        <v>199</v>
      </c>
      <c r="E40" t="s">
        <v>123</v>
      </c>
      <c r="F40">
        <v>95.918367346938794</v>
      </c>
      <c r="G40">
        <v>95.918367346938794</v>
      </c>
      <c r="H40">
        <v>95.918367346938695</v>
      </c>
      <c r="I40">
        <v>95.918367346938794</v>
      </c>
      <c r="J40">
        <v>95.918367346938794</v>
      </c>
      <c r="K40">
        <v>95.918367346938794</v>
      </c>
      <c r="L40">
        <v>95.918367346938794</v>
      </c>
      <c r="M40">
        <v>95.918367346938794</v>
      </c>
      <c r="N40">
        <v>95.918367346938794</v>
      </c>
      <c r="O40">
        <v>95.918367346938794</v>
      </c>
      <c r="P40">
        <v>95.918367346938794</v>
      </c>
      <c r="Q40">
        <v>95.918367346938794</v>
      </c>
      <c r="R40">
        <v>95.918367346938794</v>
      </c>
      <c r="S40">
        <v>95.918367346938794</v>
      </c>
      <c r="T40">
        <v>95.918367346938794</v>
      </c>
      <c r="U40">
        <v>95.918367346938794</v>
      </c>
      <c r="V40">
        <v>95.918367346938794</v>
      </c>
      <c r="W40">
        <v>97.9166666666667</v>
      </c>
      <c r="X40">
        <v>97.9166666666667</v>
      </c>
      <c r="Y40">
        <v>97.9166666666667</v>
      </c>
      <c r="Z40">
        <v>100</v>
      </c>
      <c r="AA40">
        <v>98.148148148148195</v>
      </c>
      <c r="AB40">
        <v>95.5653021442495</v>
      </c>
      <c r="AC40">
        <v>95.5653021442495</v>
      </c>
      <c r="AD40">
        <v>95.5653021442495</v>
      </c>
      <c r="AE40">
        <v>95.5653021442495</v>
      </c>
    </row>
    <row r="41" spans="1:31" x14ac:dyDescent="0.3">
      <c r="A41" t="s">
        <v>262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262</v>
      </c>
      <c r="B42" t="s">
        <v>202</v>
      </c>
      <c r="C42" t="s">
        <v>0</v>
      </c>
      <c r="D42" t="s">
        <v>203</v>
      </c>
      <c r="E42" t="s">
        <v>123</v>
      </c>
      <c r="F42">
        <v>84.448051948051997</v>
      </c>
      <c r="G42">
        <v>84.448051948051898</v>
      </c>
      <c r="H42">
        <v>87.575757575757606</v>
      </c>
      <c r="I42">
        <v>87.575757575757606</v>
      </c>
      <c r="J42">
        <v>87.575757575757606</v>
      </c>
      <c r="K42">
        <v>94.4444444444444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</row>
    <row r="43" spans="1:31" x14ac:dyDescent="0.3">
      <c r="A43" t="s">
        <v>262</v>
      </c>
      <c r="B43" t="s">
        <v>204</v>
      </c>
      <c r="C43" t="s">
        <v>0</v>
      </c>
      <c r="D43" t="s">
        <v>205</v>
      </c>
      <c r="E43" t="s">
        <v>123</v>
      </c>
      <c r="F43">
        <v>43.437567825384797</v>
      </c>
      <c r="G43">
        <v>44.024561985187297</v>
      </c>
      <c r="H43">
        <v>46.081784507859602</v>
      </c>
      <c r="I43">
        <v>46.081784507859602</v>
      </c>
      <c r="J43">
        <v>46.486010687753101</v>
      </c>
      <c r="K43">
        <v>61.981347583670697</v>
      </c>
      <c r="L43">
        <v>80.467012652484797</v>
      </c>
      <c r="M43">
        <v>94.151878749846205</v>
      </c>
      <c r="N43">
        <v>95.065974660038904</v>
      </c>
      <c r="O43">
        <v>95.510208186487702</v>
      </c>
      <c r="P43">
        <v>95.061803453217806</v>
      </c>
      <c r="Q43">
        <v>94.791741511589294</v>
      </c>
      <c r="R43">
        <v>95.160580972723906</v>
      </c>
      <c r="S43">
        <v>94.748630405742404</v>
      </c>
      <c r="T43">
        <v>95.376104779290401</v>
      </c>
      <c r="U43">
        <v>95.903044584700794</v>
      </c>
      <c r="V43">
        <v>96.812078182660102</v>
      </c>
      <c r="W43">
        <v>99.565028273162199</v>
      </c>
      <c r="X43">
        <v>99.565028273162199</v>
      </c>
      <c r="Y43">
        <v>99.090909090909093</v>
      </c>
      <c r="Z43">
        <v>100</v>
      </c>
      <c r="AA43">
        <v>99.148936170212806</v>
      </c>
      <c r="AB43">
        <v>99.148936170212806</v>
      </c>
      <c r="AC43">
        <v>99.578152344109796</v>
      </c>
      <c r="AD43">
        <v>99.1296021083255</v>
      </c>
      <c r="AE43">
        <v>100.87894802788399</v>
      </c>
    </row>
    <row r="44" spans="1:31" x14ac:dyDescent="0.3">
      <c r="A44" t="s">
        <v>262</v>
      </c>
      <c r="B44" t="s">
        <v>206</v>
      </c>
      <c r="C44" t="s">
        <v>0</v>
      </c>
      <c r="D44" t="s">
        <v>207</v>
      </c>
      <c r="E44" t="s">
        <v>123</v>
      </c>
      <c r="F44">
        <v>66.575493963200898</v>
      </c>
      <c r="G44">
        <v>67.808373481038004</v>
      </c>
      <c r="H44">
        <v>70.647523801248894</v>
      </c>
      <c r="I44">
        <v>71.898304137168495</v>
      </c>
      <c r="J44">
        <v>73.794801022380994</v>
      </c>
      <c r="K44">
        <v>80.785887435027604</v>
      </c>
      <c r="L44">
        <v>86.106042722669201</v>
      </c>
      <c r="M44">
        <v>88.798573733141893</v>
      </c>
      <c r="N44">
        <v>89.829782976494499</v>
      </c>
      <c r="O44">
        <v>90.634481645308</v>
      </c>
      <c r="P44">
        <v>90.942462893617304</v>
      </c>
      <c r="Q44">
        <v>91.781931781866106</v>
      </c>
      <c r="R44">
        <v>92.333174615390803</v>
      </c>
      <c r="S44">
        <v>91.857676056978207</v>
      </c>
      <c r="T44">
        <v>92.567687079640905</v>
      </c>
      <c r="U44">
        <v>93.278288566946202</v>
      </c>
      <c r="V44">
        <v>94.435826791148202</v>
      </c>
      <c r="W44">
        <v>97.424302322513697</v>
      </c>
      <c r="X44">
        <v>96.929008462205999</v>
      </c>
      <c r="Y44">
        <v>97.516813243662696</v>
      </c>
      <c r="Z44">
        <v>100</v>
      </c>
      <c r="AA44">
        <v>100.308778120865</v>
      </c>
      <c r="AB44">
        <v>100.261260935587</v>
      </c>
      <c r="AC44">
        <v>100.771236830478</v>
      </c>
      <c r="AD44">
        <v>101.61847274844</v>
      </c>
      <c r="AE44">
        <v>102.970809838248</v>
      </c>
    </row>
    <row r="45" spans="1:31" x14ac:dyDescent="0.3">
      <c r="A45" t="s">
        <v>262</v>
      </c>
      <c r="B45" t="s">
        <v>208</v>
      </c>
      <c r="C45" t="s">
        <v>0</v>
      </c>
      <c r="D45" t="s">
        <v>209</v>
      </c>
      <c r="E45" t="s">
        <v>123</v>
      </c>
      <c r="F45">
        <v>66.075154051912094</v>
      </c>
      <c r="G45">
        <v>67.752558624973801</v>
      </c>
      <c r="H45">
        <v>71.107190180268802</v>
      </c>
      <c r="I45">
        <v>72.429431319984602</v>
      </c>
      <c r="J45">
        <v>74.1723855496098</v>
      </c>
      <c r="K45">
        <v>81.877113971042206</v>
      </c>
      <c r="L45">
        <v>87.732948431295497</v>
      </c>
      <c r="M45">
        <v>90.504174075119195</v>
      </c>
      <c r="N45">
        <v>91.280730950958699</v>
      </c>
      <c r="O45">
        <v>91.818827435664303</v>
      </c>
      <c r="P45">
        <v>91.768377530479796</v>
      </c>
      <c r="Q45">
        <v>91.901697207279597</v>
      </c>
      <c r="R45">
        <v>92.431389986572199</v>
      </c>
      <c r="S45">
        <v>91.979279926855298</v>
      </c>
      <c r="T45">
        <v>92.647659266737406</v>
      </c>
      <c r="U45">
        <v>93.3573938397885</v>
      </c>
      <c r="V45">
        <v>94.486261963606907</v>
      </c>
      <c r="W45">
        <v>97.2010785045331</v>
      </c>
      <c r="X45">
        <v>96.617638657567099</v>
      </c>
      <c r="Y45">
        <v>97.471402769416002</v>
      </c>
      <c r="Z45">
        <v>100</v>
      </c>
      <c r="AA45">
        <v>100.34146341463401</v>
      </c>
      <c r="AB45">
        <v>100.39463854098</v>
      </c>
      <c r="AC45">
        <v>100.855428620342</v>
      </c>
      <c r="AD45">
        <v>101.871319899114</v>
      </c>
      <c r="AE45">
        <v>103.088602287752</v>
      </c>
    </row>
    <row r="46" spans="1:31" x14ac:dyDescent="0.3">
      <c r="A46" t="s">
        <v>262</v>
      </c>
      <c r="B46" t="s">
        <v>210</v>
      </c>
      <c r="C46" t="s">
        <v>0</v>
      </c>
      <c r="D46" t="s">
        <v>211</v>
      </c>
      <c r="E46" t="s">
        <v>123</v>
      </c>
      <c r="F46">
        <v>29.3067232607366</v>
      </c>
      <c r="G46">
        <v>30.0581777033196</v>
      </c>
      <c r="H46">
        <v>31.759583988413201</v>
      </c>
      <c r="I46">
        <v>31.759583988413201</v>
      </c>
      <c r="J46">
        <v>32.307163022696201</v>
      </c>
      <c r="K46">
        <v>49.439749474125897</v>
      </c>
      <c r="L46">
        <v>73.767245247108505</v>
      </c>
      <c r="M46">
        <v>92.779421857188098</v>
      </c>
      <c r="N46">
        <v>93.992224757282003</v>
      </c>
      <c r="O46">
        <v>94.5909013480928</v>
      </c>
      <c r="P46">
        <v>94.007006895326796</v>
      </c>
      <c r="Q46">
        <v>93.694691257800699</v>
      </c>
      <c r="R46">
        <v>94.1826844414351</v>
      </c>
      <c r="S46">
        <v>93.597698823786502</v>
      </c>
      <c r="T46">
        <v>94.364893076440495</v>
      </c>
      <c r="U46">
        <v>95.043777199292506</v>
      </c>
      <c r="V46">
        <v>96.262287163386006</v>
      </c>
      <c r="W46">
        <v>99.543956043956001</v>
      </c>
      <c r="X46">
        <v>99.543956043956001</v>
      </c>
      <c r="Y46">
        <v>99</v>
      </c>
      <c r="Z46">
        <v>100</v>
      </c>
      <c r="AA46">
        <v>99.052132701421797</v>
      </c>
      <c r="AB46">
        <v>99.052132701421797</v>
      </c>
      <c r="AC46">
        <v>99.5171661882829</v>
      </c>
      <c r="AD46">
        <v>99.029336942261907</v>
      </c>
      <c r="AE46">
        <v>100.921617265999</v>
      </c>
    </row>
    <row r="47" spans="1:31" x14ac:dyDescent="0.3">
      <c r="A47" t="s">
        <v>262</v>
      </c>
      <c r="B47" t="s">
        <v>212</v>
      </c>
      <c r="C47" t="s">
        <v>0</v>
      </c>
      <c r="D47" t="s">
        <v>213</v>
      </c>
      <c r="E47" t="s">
        <v>123</v>
      </c>
      <c r="F47">
        <v>68.352934500906301</v>
      </c>
      <c r="G47">
        <v>69.871888600926397</v>
      </c>
      <c r="H47">
        <v>74.379752381631405</v>
      </c>
      <c r="I47">
        <v>74.379752381631405</v>
      </c>
      <c r="J47">
        <v>77.296605416205196</v>
      </c>
      <c r="K47">
        <v>83.960105883119397</v>
      </c>
      <c r="L47">
        <v>87.691666144591395</v>
      </c>
      <c r="M47">
        <v>90.389871256732604</v>
      </c>
      <c r="N47">
        <v>90.389871256732604</v>
      </c>
      <c r="O47">
        <v>90.389871256732604</v>
      </c>
      <c r="P47">
        <v>91.579211668005399</v>
      </c>
      <c r="Q47">
        <v>91.579211668005399</v>
      </c>
      <c r="R47">
        <v>91.579211668005399</v>
      </c>
      <c r="S47">
        <v>91.579211668005499</v>
      </c>
      <c r="T47">
        <v>91.579211668005499</v>
      </c>
      <c r="U47">
        <v>92.523327252211701</v>
      </c>
      <c r="V47">
        <v>93.518201738794602</v>
      </c>
      <c r="W47">
        <v>98.338727601619098</v>
      </c>
      <c r="X47">
        <v>99.293472529790193</v>
      </c>
      <c r="Y47">
        <v>98.165137614678898</v>
      </c>
      <c r="Z47">
        <v>100</v>
      </c>
      <c r="AA47">
        <v>100</v>
      </c>
      <c r="AB47">
        <v>98.8888888888889</v>
      </c>
      <c r="AC47">
        <v>98.8888888888889</v>
      </c>
      <c r="AD47">
        <v>97.7390180878553</v>
      </c>
      <c r="AE47">
        <v>100.31109751122</v>
      </c>
    </row>
    <row r="48" spans="1:31" x14ac:dyDescent="0.3">
      <c r="A48" t="s">
        <v>262</v>
      </c>
      <c r="B48" t="s">
        <v>214</v>
      </c>
      <c r="C48" t="s">
        <v>0</v>
      </c>
      <c r="D48" t="s">
        <v>215</v>
      </c>
      <c r="E48" t="s">
        <v>123</v>
      </c>
      <c r="F48">
        <v>74.5403736402519</v>
      </c>
      <c r="G48">
        <v>75.669773240861701</v>
      </c>
      <c r="H48">
        <v>78.637215328738705</v>
      </c>
      <c r="I48">
        <v>78.637215328738705</v>
      </c>
      <c r="J48">
        <v>80.734207737505002</v>
      </c>
      <c r="K48">
        <v>87.462058382297101</v>
      </c>
      <c r="L48">
        <v>91.2647565728318</v>
      </c>
      <c r="M48">
        <v>93.146504131034504</v>
      </c>
      <c r="N48">
        <v>93.146504131034504</v>
      </c>
      <c r="O48">
        <v>93.146504131034504</v>
      </c>
      <c r="P48">
        <v>93.885762100328407</v>
      </c>
      <c r="Q48">
        <v>93.885762100328407</v>
      </c>
      <c r="R48">
        <v>93.885762100328407</v>
      </c>
      <c r="S48">
        <v>93.885762100328407</v>
      </c>
      <c r="T48">
        <v>93.885762100328407</v>
      </c>
      <c r="U48">
        <v>94.479975784507701</v>
      </c>
      <c r="V48">
        <v>95.1015545725637</v>
      </c>
      <c r="W48">
        <v>98.855563305691206</v>
      </c>
      <c r="X48">
        <v>99.505928853754895</v>
      </c>
      <c r="Y48">
        <v>98.757763975155299</v>
      </c>
      <c r="Z48">
        <v>100</v>
      </c>
      <c r="AA48">
        <v>100</v>
      </c>
      <c r="AB48">
        <v>99.1666666666667</v>
      </c>
      <c r="AC48">
        <v>99.1666666666667</v>
      </c>
      <c r="AD48">
        <v>98.304347826086996</v>
      </c>
      <c r="AE48">
        <v>100.456997778483</v>
      </c>
    </row>
    <row r="49" spans="1:31" x14ac:dyDescent="0.3">
      <c r="A49" t="s">
        <v>262</v>
      </c>
      <c r="B49" t="s">
        <v>216</v>
      </c>
      <c r="C49" t="s">
        <v>0</v>
      </c>
      <c r="D49" t="s">
        <v>217</v>
      </c>
      <c r="E49" t="s">
        <v>123</v>
      </c>
      <c r="F49">
        <v>87.698412698412696</v>
      </c>
      <c r="G49">
        <v>87.698412698412696</v>
      </c>
      <c r="H49">
        <v>87.698412698412696</v>
      </c>
      <c r="I49">
        <v>87.698412698412696</v>
      </c>
      <c r="J49">
        <v>87.698412698412696</v>
      </c>
      <c r="K49">
        <v>92.857142857142904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</row>
    <row r="50" spans="1:31" x14ac:dyDescent="0.3">
      <c r="A50" t="s">
        <v>262</v>
      </c>
      <c r="B50" t="s">
        <v>218</v>
      </c>
      <c r="C50" t="s">
        <v>0</v>
      </c>
      <c r="D50" t="s">
        <v>219</v>
      </c>
      <c r="E50" t="s">
        <v>123</v>
      </c>
      <c r="F50">
        <v>87.631578947368396</v>
      </c>
      <c r="G50">
        <v>87.631578947368396</v>
      </c>
      <c r="H50">
        <v>87.631578947368396</v>
      </c>
      <c r="I50">
        <v>87.631578947368396</v>
      </c>
      <c r="J50">
        <v>87.631578947368396</v>
      </c>
      <c r="K50">
        <v>97.368421052631504</v>
      </c>
      <c r="L50">
        <v>97.368421052631504</v>
      </c>
      <c r="M50">
        <v>97.368421052631504</v>
      </c>
      <c r="N50">
        <v>97.368421052631504</v>
      </c>
      <c r="O50">
        <v>97.368421052631504</v>
      </c>
      <c r="P50">
        <v>97.368421052631504</v>
      </c>
      <c r="Q50">
        <v>97.368421052631504</v>
      </c>
      <c r="R50">
        <v>97.368421052631504</v>
      </c>
      <c r="S50">
        <v>97.368421052631504</v>
      </c>
      <c r="T50">
        <v>97.368421052631504</v>
      </c>
      <c r="U50">
        <v>97.368421052631604</v>
      </c>
      <c r="V50">
        <v>97.368421052631604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</row>
    <row r="51" spans="1:31" x14ac:dyDescent="0.3">
      <c r="A51" t="s">
        <v>262</v>
      </c>
      <c r="B51" t="s">
        <v>220</v>
      </c>
      <c r="C51" t="s">
        <v>0</v>
      </c>
      <c r="D51" t="s">
        <v>221</v>
      </c>
      <c r="E51" t="s">
        <v>123</v>
      </c>
      <c r="F51">
        <v>82.142857142857096</v>
      </c>
      <c r="G51">
        <v>82.142857142857096</v>
      </c>
      <c r="H51">
        <v>82.142857142857096</v>
      </c>
      <c r="I51">
        <v>82.142857142857096</v>
      </c>
      <c r="J51">
        <v>82.142857142857096</v>
      </c>
      <c r="K51">
        <v>95.8333333333333</v>
      </c>
      <c r="L51">
        <v>95.8333333333333</v>
      </c>
      <c r="M51">
        <v>95.8333333333333</v>
      </c>
      <c r="N51">
        <v>95.8333333333333</v>
      </c>
      <c r="O51">
        <v>95.8333333333333</v>
      </c>
      <c r="P51">
        <v>95.8333333333333</v>
      </c>
      <c r="Q51">
        <v>95.8333333333333</v>
      </c>
      <c r="R51">
        <v>95.8333333333333</v>
      </c>
      <c r="S51">
        <v>95.8333333333333</v>
      </c>
      <c r="T51">
        <v>95.8333333333333</v>
      </c>
      <c r="U51">
        <v>95.8333333333333</v>
      </c>
      <c r="V51">
        <v>95.8333333333333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</row>
    <row r="52" spans="1:31" x14ac:dyDescent="0.3">
      <c r="A52" t="s">
        <v>262</v>
      </c>
      <c r="B52" t="s">
        <v>222</v>
      </c>
      <c r="C52" t="s">
        <v>0</v>
      </c>
      <c r="D52" t="s">
        <v>223</v>
      </c>
      <c r="E52" t="s">
        <v>123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262</v>
      </c>
      <c r="B53" t="s">
        <v>224</v>
      </c>
      <c r="C53" t="s">
        <v>0</v>
      </c>
      <c r="D53" t="s">
        <v>225</v>
      </c>
      <c r="E53" t="s">
        <v>123</v>
      </c>
      <c r="F53">
        <v>92.307692307692307</v>
      </c>
      <c r="G53">
        <v>92.307692307692307</v>
      </c>
      <c r="H53">
        <v>92.307692307692307</v>
      </c>
      <c r="I53">
        <v>92.307692307692307</v>
      </c>
      <c r="J53">
        <v>92.307692307692307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</row>
    <row r="54" spans="1:31" x14ac:dyDescent="0.3">
      <c r="A54" t="s">
        <v>262</v>
      </c>
      <c r="B54" t="s">
        <v>226</v>
      </c>
      <c r="C54" t="s">
        <v>0</v>
      </c>
      <c r="D54" t="s">
        <v>227</v>
      </c>
      <c r="E54" t="s">
        <v>123</v>
      </c>
      <c r="F54">
        <v>92</v>
      </c>
      <c r="G54">
        <v>92</v>
      </c>
      <c r="H54">
        <v>92</v>
      </c>
      <c r="I54">
        <v>92</v>
      </c>
      <c r="J54">
        <v>92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</row>
    <row r="55" spans="1:31" x14ac:dyDescent="0.3">
      <c r="A55" t="s">
        <v>262</v>
      </c>
      <c r="B55" t="s">
        <v>228</v>
      </c>
      <c r="C55" t="s">
        <v>0</v>
      </c>
      <c r="D55" t="s">
        <v>229</v>
      </c>
      <c r="E55" t="s">
        <v>123</v>
      </c>
      <c r="F55">
        <v>91.6666666666666</v>
      </c>
      <c r="G55">
        <v>91.6666666666666</v>
      </c>
      <c r="H55">
        <v>91.6666666666666</v>
      </c>
      <c r="I55">
        <v>91.6666666666666</v>
      </c>
      <c r="J55">
        <v>91.6666666666667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</row>
    <row r="56" spans="1:31" x14ac:dyDescent="0.3">
      <c r="A56" t="s">
        <v>262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262</v>
      </c>
      <c r="B57" t="s">
        <v>232</v>
      </c>
      <c r="C57" t="s">
        <v>0</v>
      </c>
      <c r="D57" t="s">
        <v>233</v>
      </c>
      <c r="E57" t="s">
        <v>123</v>
      </c>
      <c r="F57">
        <v>67.160865544450999</v>
      </c>
      <c r="G57">
        <v>68.376708799997104</v>
      </c>
      <c r="H57">
        <v>71.216197042193897</v>
      </c>
      <c r="I57">
        <v>72.4253713479455</v>
      </c>
      <c r="J57">
        <v>74.325981316316998</v>
      </c>
      <c r="K57">
        <v>81.271045164561997</v>
      </c>
      <c r="L57">
        <v>86.533819851439105</v>
      </c>
      <c r="M57">
        <v>89.159176670251398</v>
      </c>
      <c r="N57">
        <v>90.120749576221797</v>
      </c>
      <c r="O57">
        <v>90.881769239309804</v>
      </c>
      <c r="P57">
        <v>91.209714279415607</v>
      </c>
      <c r="Q57">
        <v>92.001530732440699</v>
      </c>
      <c r="R57">
        <v>92.5221537842815</v>
      </c>
      <c r="S57">
        <v>92.080040972975297</v>
      </c>
      <c r="T57">
        <v>92.738637600408197</v>
      </c>
      <c r="U57">
        <v>93.425272584955394</v>
      </c>
      <c r="V57">
        <v>94.526466274075602</v>
      </c>
      <c r="W57">
        <v>97.5459452322537</v>
      </c>
      <c r="X57">
        <v>97.141563146997896</v>
      </c>
      <c r="Y57">
        <v>97.619047619047606</v>
      </c>
      <c r="Z57">
        <v>100</v>
      </c>
      <c r="AA57">
        <v>100.242620299232</v>
      </c>
      <c r="AB57">
        <v>100.110082678739</v>
      </c>
      <c r="AC57">
        <v>100.584088752029</v>
      </c>
      <c r="AD57">
        <v>101.327092177713</v>
      </c>
      <c r="AE57">
        <v>102.727121085177</v>
      </c>
    </row>
    <row r="58" spans="1:31" x14ac:dyDescent="0.3">
      <c r="A58" t="s">
        <v>262</v>
      </c>
      <c r="B58" t="s">
        <v>234</v>
      </c>
      <c r="C58" t="s">
        <v>0</v>
      </c>
      <c r="D58" t="s">
        <v>235</v>
      </c>
      <c r="E58" t="s">
        <v>123</v>
      </c>
      <c r="F58">
        <v>67.160865544450999</v>
      </c>
      <c r="G58">
        <v>68.376708799997104</v>
      </c>
      <c r="H58">
        <v>71.216197042193897</v>
      </c>
      <c r="I58">
        <v>72.4253713479455</v>
      </c>
      <c r="J58">
        <v>74.325981316316998</v>
      </c>
      <c r="K58">
        <v>81.271045164561997</v>
      </c>
      <c r="L58">
        <v>86.533819851439105</v>
      </c>
      <c r="M58">
        <v>89.159176670251398</v>
      </c>
      <c r="N58">
        <v>90.120749576221797</v>
      </c>
      <c r="O58">
        <v>90.881769239309804</v>
      </c>
      <c r="P58">
        <v>91.209714279415607</v>
      </c>
      <c r="Q58">
        <v>92.001530732440699</v>
      </c>
      <c r="R58">
        <v>92.5221537842815</v>
      </c>
      <c r="S58">
        <v>92.080040972975297</v>
      </c>
      <c r="T58">
        <v>92.738637600408197</v>
      </c>
      <c r="U58">
        <v>93.425272584955394</v>
      </c>
      <c r="V58">
        <v>94.526466274075602</v>
      </c>
      <c r="W58">
        <v>97.5459452322537</v>
      </c>
      <c r="X58">
        <v>97.141563146997896</v>
      </c>
      <c r="Y58">
        <v>97.619047619047606</v>
      </c>
      <c r="Z58">
        <v>100</v>
      </c>
      <c r="AA58">
        <v>100.242620299232</v>
      </c>
      <c r="AB58">
        <v>100.110082678739</v>
      </c>
      <c r="AC58">
        <v>100.584088752029</v>
      </c>
      <c r="AD58">
        <v>101.327092177713</v>
      </c>
      <c r="AE58">
        <v>102.727121085177</v>
      </c>
    </row>
    <row r="59" spans="1:31" x14ac:dyDescent="0.3">
      <c r="A59" t="s">
        <v>262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263</v>
      </c>
      <c r="B2" t="s">
        <v>121</v>
      </c>
      <c r="C2" t="s">
        <v>0</v>
      </c>
      <c r="D2" t="s">
        <v>122</v>
      </c>
      <c r="E2" t="s">
        <v>123</v>
      </c>
      <c r="F2">
        <v>136.70034640340899</v>
      </c>
      <c r="G2">
        <v>130.98066663757601</v>
      </c>
      <c r="H2">
        <v>124.552167661499</v>
      </c>
      <c r="I2">
        <v>113.86573907515699</v>
      </c>
      <c r="J2">
        <v>103.950464043332</v>
      </c>
      <c r="K2">
        <v>98.428095641029699</v>
      </c>
      <c r="L2">
        <v>97.816741009718996</v>
      </c>
      <c r="M2">
        <v>95.898765695802894</v>
      </c>
      <c r="N2">
        <v>93.591041387615107</v>
      </c>
      <c r="O2">
        <v>91.068371808434193</v>
      </c>
      <c r="P2">
        <v>90.290009656225294</v>
      </c>
      <c r="Q2">
        <v>88.433145704426295</v>
      </c>
      <c r="R2">
        <v>88.231243545283803</v>
      </c>
      <c r="S2">
        <v>91.116188838317598</v>
      </c>
      <c r="T2">
        <v>92.095932804320995</v>
      </c>
      <c r="U2">
        <v>92.363653539217296</v>
      </c>
      <c r="V2">
        <v>94.522803881692496</v>
      </c>
      <c r="W2">
        <v>96.566540181837198</v>
      </c>
      <c r="X2">
        <v>98.083292121866094</v>
      </c>
      <c r="Y2">
        <v>98.870056497175099</v>
      </c>
      <c r="Z2">
        <v>100</v>
      </c>
      <c r="AA2">
        <v>99.681528662420405</v>
      </c>
      <c r="AB2">
        <v>100.83391627701501</v>
      </c>
      <c r="AC2">
        <v>101.97715795816001</v>
      </c>
      <c r="AD2">
        <v>104.532394262351</v>
      </c>
      <c r="AE2">
        <v>105.129722229564</v>
      </c>
    </row>
    <row r="3" spans="1:31" x14ac:dyDescent="0.3">
      <c r="A3" t="s">
        <v>263</v>
      </c>
      <c r="B3" t="s">
        <v>124</v>
      </c>
      <c r="C3" t="s">
        <v>0</v>
      </c>
      <c r="D3" t="s">
        <v>125</v>
      </c>
      <c r="E3" t="s">
        <v>123</v>
      </c>
      <c r="F3">
        <v>89.828133869380594</v>
      </c>
      <c r="G3">
        <v>89.828133869380594</v>
      </c>
      <c r="H3">
        <v>89.828133869380594</v>
      </c>
      <c r="I3">
        <v>89.828133869380594</v>
      </c>
      <c r="J3">
        <v>89.828133869380594</v>
      </c>
      <c r="K3">
        <v>89.828133869380594</v>
      </c>
      <c r="L3">
        <v>89.828133869380594</v>
      </c>
      <c r="M3">
        <v>89.828133869380594</v>
      </c>
      <c r="N3">
        <v>89.828133869380594</v>
      </c>
      <c r="O3">
        <v>89.828133869380594</v>
      </c>
      <c r="P3">
        <v>89.828133869380594</v>
      </c>
      <c r="Q3">
        <v>89.828133869380594</v>
      </c>
      <c r="R3">
        <v>91.149135838047997</v>
      </c>
      <c r="S3">
        <v>93.973475258381896</v>
      </c>
      <c r="T3">
        <v>94.617129198507797</v>
      </c>
      <c r="U3">
        <v>94.617129198507797</v>
      </c>
      <c r="V3">
        <v>96.743356820946104</v>
      </c>
      <c r="W3">
        <v>97.945137651020005</v>
      </c>
      <c r="X3">
        <v>99.242424242424207</v>
      </c>
      <c r="Y3">
        <v>99.242424242424207</v>
      </c>
      <c r="Z3">
        <v>100</v>
      </c>
      <c r="AA3">
        <v>100</v>
      </c>
      <c r="AB3">
        <v>100</v>
      </c>
      <c r="AC3">
        <v>104.31034482758599</v>
      </c>
      <c r="AD3">
        <v>107.787356321839</v>
      </c>
      <c r="AE3">
        <v>108.79002940390301</v>
      </c>
    </row>
    <row r="4" spans="1:31" x14ac:dyDescent="0.3">
      <c r="A4" t="s">
        <v>263</v>
      </c>
      <c r="B4" t="s">
        <v>126</v>
      </c>
      <c r="C4" t="s">
        <v>0</v>
      </c>
      <c r="D4" t="s">
        <v>127</v>
      </c>
      <c r="E4" t="s">
        <v>123</v>
      </c>
      <c r="F4">
        <v>80.246256249733605</v>
      </c>
      <c r="G4">
        <v>82.250796091588299</v>
      </c>
      <c r="H4">
        <v>84.493999621358896</v>
      </c>
      <c r="I4">
        <v>85.148026157314902</v>
      </c>
      <c r="J4">
        <v>85.330122021637607</v>
      </c>
      <c r="K4">
        <v>86.357342253529495</v>
      </c>
      <c r="L4">
        <v>86.630624982179896</v>
      </c>
      <c r="M4">
        <v>86.665912405797897</v>
      </c>
      <c r="N4">
        <v>86.665912405797897</v>
      </c>
      <c r="O4">
        <v>87.315399337176203</v>
      </c>
      <c r="P4">
        <v>88.246439756626899</v>
      </c>
      <c r="Q4">
        <v>88.572416051242399</v>
      </c>
      <c r="R4">
        <v>90.377848992334904</v>
      </c>
      <c r="S4">
        <v>92.824977533201206</v>
      </c>
      <c r="T4">
        <v>93.642578627151906</v>
      </c>
      <c r="U4">
        <v>93.780592744509505</v>
      </c>
      <c r="V4">
        <v>95.952353839645497</v>
      </c>
      <c r="W4">
        <v>97.630820670659702</v>
      </c>
      <c r="X4">
        <v>98.570180715598696</v>
      </c>
      <c r="Y4">
        <v>98.637602179836506</v>
      </c>
      <c r="Z4">
        <v>100</v>
      </c>
      <c r="AA4">
        <v>100</v>
      </c>
      <c r="AB4">
        <v>100.64935064935101</v>
      </c>
      <c r="AC4">
        <v>101.77770659833401</v>
      </c>
      <c r="AD4">
        <v>102.73381469226</v>
      </c>
      <c r="AE4">
        <v>103.208701354936</v>
      </c>
    </row>
    <row r="5" spans="1:31" x14ac:dyDescent="0.3">
      <c r="A5" t="s">
        <v>263</v>
      </c>
      <c r="B5" t="s">
        <v>128</v>
      </c>
      <c r="C5" t="s">
        <v>0</v>
      </c>
      <c r="D5" t="s">
        <v>129</v>
      </c>
      <c r="E5" t="s">
        <v>123</v>
      </c>
      <c r="F5">
        <v>83.735631557921494</v>
      </c>
      <c r="G5">
        <v>85.517240740004993</v>
      </c>
      <c r="H5">
        <v>87.919410423713003</v>
      </c>
      <c r="I5">
        <v>88.322710471528197</v>
      </c>
      <c r="J5">
        <v>88.322710471528197</v>
      </c>
      <c r="K5">
        <v>88.322710471528197</v>
      </c>
      <c r="L5">
        <v>88.322710471528197</v>
      </c>
      <c r="M5">
        <v>88.322710471528197</v>
      </c>
      <c r="N5">
        <v>88.322710471528197</v>
      </c>
      <c r="O5">
        <v>88.322710471528097</v>
      </c>
      <c r="P5">
        <v>88.322710471528097</v>
      </c>
      <c r="Q5">
        <v>88.322710471528197</v>
      </c>
      <c r="R5">
        <v>89.872231707870696</v>
      </c>
      <c r="S5">
        <v>92.147478080221902</v>
      </c>
      <c r="T5">
        <v>92.568242820314197</v>
      </c>
      <c r="U5">
        <v>92.568242820314197</v>
      </c>
      <c r="V5">
        <v>95.479193852399604</v>
      </c>
      <c r="W5">
        <v>96.650717703349301</v>
      </c>
      <c r="X5">
        <v>97.129186602870803</v>
      </c>
      <c r="Y5">
        <v>97.129186602870803</v>
      </c>
      <c r="Z5">
        <v>100</v>
      </c>
      <c r="AA5">
        <v>100</v>
      </c>
      <c r="AB5">
        <v>101.449275362319</v>
      </c>
      <c r="AC5">
        <v>103.580562659847</v>
      </c>
      <c r="AD5">
        <v>103.580562659847</v>
      </c>
      <c r="AE5">
        <v>103.580562659847</v>
      </c>
    </row>
    <row r="6" spans="1:31" x14ac:dyDescent="0.3">
      <c r="A6" t="s">
        <v>263</v>
      </c>
      <c r="B6" t="s">
        <v>130</v>
      </c>
      <c r="C6" t="s">
        <v>0</v>
      </c>
      <c r="D6" t="s">
        <v>131</v>
      </c>
      <c r="E6" t="s">
        <v>123</v>
      </c>
      <c r="F6">
        <v>97.368421052631604</v>
      </c>
      <c r="G6">
        <v>97.368421052631604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</row>
    <row r="7" spans="1:31" x14ac:dyDescent="0.3">
      <c r="A7" t="s">
        <v>263</v>
      </c>
      <c r="B7" t="s">
        <v>132</v>
      </c>
      <c r="C7" t="s">
        <v>0</v>
      </c>
      <c r="D7" t="s">
        <v>133</v>
      </c>
      <c r="E7" t="s">
        <v>123</v>
      </c>
      <c r="F7">
        <v>76.591721522687095</v>
      </c>
      <c r="G7">
        <v>78.849954098294603</v>
      </c>
      <c r="H7">
        <v>81.370272265820006</v>
      </c>
      <c r="I7">
        <v>82.151927138690496</v>
      </c>
      <c r="J7">
        <v>82.471584442732095</v>
      </c>
      <c r="K7">
        <v>84.023469096224403</v>
      </c>
      <c r="L7">
        <v>84.393344968988401</v>
      </c>
      <c r="M7">
        <v>84.5225843946683</v>
      </c>
      <c r="N7">
        <v>84.5225843946683</v>
      </c>
      <c r="O7">
        <v>85.3622127164696</v>
      </c>
      <c r="P7">
        <v>86.988159625354797</v>
      </c>
      <c r="Q7">
        <v>87.434252751638596</v>
      </c>
      <c r="R7">
        <v>89.717983233957597</v>
      </c>
      <c r="S7">
        <v>92.371613723975997</v>
      </c>
      <c r="T7">
        <v>93.113554396457801</v>
      </c>
      <c r="U7">
        <v>93.441419024614305</v>
      </c>
      <c r="V7">
        <v>95.601914262177601</v>
      </c>
      <c r="W7">
        <v>97.415500711595598</v>
      </c>
      <c r="X7">
        <v>98.708626827236202</v>
      </c>
      <c r="Y7">
        <v>99.012345679012398</v>
      </c>
      <c r="Z7">
        <v>100</v>
      </c>
      <c r="AA7">
        <v>99.864682002706402</v>
      </c>
      <c r="AB7">
        <v>100.51881747434</v>
      </c>
      <c r="AC7">
        <v>101.94029570124999</v>
      </c>
      <c r="AD7">
        <v>102.91115566030901</v>
      </c>
      <c r="AE7">
        <v>103.589690752575</v>
      </c>
    </row>
    <row r="8" spans="1:31" x14ac:dyDescent="0.3">
      <c r="A8" t="s">
        <v>263</v>
      </c>
      <c r="B8" t="s">
        <v>134</v>
      </c>
      <c r="C8" t="s">
        <v>0</v>
      </c>
      <c r="D8" t="s">
        <v>135</v>
      </c>
      <c r="E8" t="s">
        <v>123</v>
      </c>
      <c r="F8">
        <v>79.312766834284005</v>
      </c>
      <c r="G8">
        <v>82.485277507655397</v>
      </c>
      <c r="H8">
        <v>84.864660512683898</v>
      </c>
      <c r="I8">
        <v>84.864660512683898</v>
      </c>
      <c r="J8">
        <v>84.864660512683898</v>
      </c>
      <c r="K8">
        <v>84.864660512683898</v>
      </c>
      <c r="L8">
        <v>84.864660512683898</v>
      </c>
      <c r="M8">
        <v>84.864660512683898</v>
      </c>
      <c r="N8">
        <v>84.864660512683898</v>
      </c>
      <c r="O8">
        <v>84.864660512683898</v>
      </c>
      <c r="P8">
        <v>86.150488702270096</v>
      </c>
      <c r="Q8">
        <v>87.182231081937999</v>
      </c>
      <c r="R8">
        <v>89.060483816198698</v>
      </c>
      <c r="S8">
        <v>91.605069068090103</v>
      </c>
      <c r="T8">
        <v>91.605069068090103</v>
      </c>
      <c r="U8">
        <v>91.605069068090103</v>
      </c>
      <c r="V8">
        <v>94.763864553196697</v>
      </c>
      <c r="W8">
        <v>96.157450796626094</v>
      </c>
      <c r="X8">
        <v>97.9381443298969</v>
      </c>
      <c r="Y8">
        <v>97.9381443298969</v>
      </c>
      <c r="Z8">
        <v>100</v>
      </c>
      <c r="AA8">
        <v>100</v>
      </c>
      <c r="AB8">
        <v>100.860215053763</v>
      </c>
      <c r="AC8">
        <v>103.169990971025</v>
      </c>
      <c r="AD8">
        <v>105.31936578292201</v>
      </c>
      <c r="AE8">
        <v>105.31936578292201</v>
      </c>
    </row>
    <row r="9" spans="1:31" x14ac:dyDescent="0.3">
      <c r="A9" t="s">
        <v>263</v>
      </c>
      <c r="B9" t="s">
        <v>136</v>
      </c>
      <c r="C9" t="s">
        <v>0</v>
      </c>
      <c r="D9" t="s">
        <v>137</v>
      </c>
      <c r="E9" t="s">
        <v>123</v>
      </c>
      <c r="F9">
        <v>77.799261875333102</v>
      </c>
      <c r="G9">
        <v>80.481995043448094</v>
      </c>
      <c r="H9">
        <v>82.872549351669306</v>
      </c>
      <c r="I9">
        <v>83.357184143199504</v>
      </c>
      <c r="J9">
        <v>83.822866736178298</v>
      </c>
      <c r="K9">
        <v>85.174848457729595</v>
      </c>
      <c r="L9">
        <v>85.727931889273293</v>
      </c>
      <c r="M9">
        <v>85.727931889273293</v>
      </c>
      <c r="N9">
        <v>85.727931889273293</v>
      </c>
      <c r="O9">
        <v>86.855930993079497</v>
      </c>
      <c r="P9">
        <v>88.171929947520098</v>
      </c>
      <c r="Q9">
        <v>88.171929947520098</v>
      </c>
      <c r="R9">
        <v>89.685611148335894</v>
      </c>
      <c r="S9">
        <v>92.136037682443401</v>
      </c>
      <c r="T9">
        <v>93.126747765050297</v>
      </c>
      <c r="U9">
        <v>93.126747765050297</v>
      </c>
      <c r="V9">
        <v>95.556141185008102</v>
      </c>
      <c r="W9">
        <v>96.931049691267305</v>
      </c>
      <c r="X9">
        <v>98.026315789473699</v>
      </c>
      <c r="Y9">
        <v>98.026315789473699</v>
      </c>
      <c r="Z9">
        <v>100</v>
      </c>
      <c r="AA9">
        <v>99.435028248587599</v>
      </c>
      <c r="AB9">
        <v>99.852822484926193</v>
      </c>
      <c r="AC9">
        <v>100.856368439549</v>
      </c>
      <c r="AD9">
        <v>101.446171763756</v>
      </c>
      <c r="AE9">
        <v>101.446171763756</v>
      </c>
    </row>
    <row r="10" spans="1:31" x14ac:dyDescent="0.3">
      <c r="A10" t="s">
        <v>263</v>
      </c>
      <c r="B10" t="s">
        <v>138</v>
      </c>
      <c r="C10" t="s">
        <v>0</v>
      </c>
      <c r="D10" t="s">
        <v>139</v>
      </c>
      <c r="E10" t="s">
        <v>123</v>
      </c>
      <c r="F10">
        <v>79.536854839830994</v>
      </c>
      <c r="G10">
        <v>81.947062562250096</v>
      </c>
      <c r="H10">
        <v>84.192187563955599</v>
      </c>
      <c r="I10">
        <v>84.6239423719759</v>
      </c>
      <c r="J10">
        <v>85.053505531224502</v>
      </c>
      <c r="K10">
        <v>86.210696082669699</v>
      </c>
      <c r="L10">
        <v>86.736371058783504</v>
      </c>
      <c r="M10">
        <v>86.736371058783504</v>
      </c>
      <c r="N10">
        <v>86.736371058783504</v>
      </c>
      <c r="O10">
        <v>87.775129993619302</v>
      </c>
      <c r="P10">
        <v>88.977529034627807</v>
      </c>
      <c r="Q10">
        <v>88.977529034627807</v>
      </c>
      <c r="R10">
        <v>90.395497624821004</v>
      </c>
      <c r="S10">
        <v>92.678212211306402</v>
      </c>
      <c r="T10">
        <v>93.532389282378404</v>
      </c>
      <c r="U10">
        <v>93.532389282378404</v>
      </c>
      <c r="V10">
        <v>95.626397997655502</v>
      </c>
      <c r="W10">
        <v>97.375661375661394</v>
      </c>
      <c r="X10">
        <v>98.285714285714306</v>
      </c>
      <c r="Y10">
        <v>98.285714285714306</v>
      </c>
      <c r="Z10">
        <v>100</v>
      </c>
      <c r="AA10">
        <v>99.494949494949495</v>
      </c>
      <c r="AB10">
        <v>99.883601641414202</v>
      </c>
      <c r="AC10">
        <v>100.76752731965701</v>
      </c>
      <c r="AD10">
        <v>101.27645422531199</v>
      </c>
      <c r="AE10">
        <v>101.27645422531199</v>
      </c>
    </row>
    <row r="11" spans="1:31" x14ac:dyDescent="0.3">
      <c r="A11" t="s">
        <v>263</v>
      </c>
      <c r="B11" t="s">
        <v>140</v>
      </c>
      <c r="C11" t="s">
        <v>0</v>
      </c>
      <c r="D11" t="s">
        <v>141</v>
      </c>
      <c r="E11" t="s">
        <v>123</v>
      </c>
      <c r="F11">
        <v>96.153846153846203</v>
      </c>
      <c r="G11">
        <v>96.153846153846203</v>
      </c>
      <c r="H11">
        <v>96.153846153846203</v>
      </c>
      <c r="I11">
        <v>96.153846153846203</v>
      </c>
      <c r="J11">
        <v>96.153846153846203</v>
      </c>
      <c r="K11">
        <v>96.153846153846203</v>
      </c>
      <c r="L11">
        <v>96.153846153846203</v>
      </c>
      <c r="M11">
        <v>96.153846153846203</v>
      </c>
      <c r="N11">
        <v>96.153846153846203</v>
      </c>
      <c r="O11">
        <v>96.153846153846203</v>
      </c>
      <c r="P11">
        <v>96.153846153846203</v>
      </c>
      <c r="Q11">
        <v>96.153846153846203</v>
      </c>
      <c r="R11">
        <v>96.153846153846203</v>
      </c>
      <c r="S11">
        <v>96.153846153846203</v>
      </c>
      <c r="T11">
        <v>96.153846153846203</v>
      </c>
      <c r="U11">
        <v>96.153846153846203</v>
      </c>
      <c r="V11">
        <v>96.153846153846203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</row>
    <row r="12" spans="1:31" x14ac:dyDescent="0.3">
      <c r="A12" t="s">
        <v>263</v>
      </c>
      <c r="B12" t="s">
        <v>142</v>
      </c>
      <c r="C12" t="s">
        <v>0</v>
      </c>
      <c r="D12" t="s">
        <v>143</v>
      </c>
      <c r="E12" t="s">
        <v>123</v>
      </c>
      <c r="F12">
        <v>84.609706130808704</v>
      </c>
      <c r="G12">
        <v>86.162177802933698</v>
      </c>
      <c r="H12">
        <v>88.135357447275695</v>
      </c>
      <c r="I12">
        <v>88.601682089853895</v>
      </c>
      <c r="J12">
        <v>88.601682089853895</v>
      </c>
      <c r="K12">
        <v>89.505780886689095</v>
      </c>
      <c r="L12">
        <v>89.505780886689095</v>
      </c>
      <c r="M12">
        <v>89.505780886689095</v>
      </c>
      <c r="N12">
        <v>89.505780886689095</v>
      </c>
      <c r="O12">
        <v>89.505780886689095</v>
      </c>
      <c r="P12">
        <v>90.005813182145502</v>
      </c>
      <c r="Q12">
        <v>90.005813182145403</v>
      </c>
      <c r="R12">
        <v>91.123897817948503</v>
      </c>
      <c r="S12">
        <v>93.953832532791594</v>
      </c>
      <c r="T12">
        <v>94.588655725580793</v>
      </c>
      <c r="U12">
        <v>94.588655725580693</v>
      </c>
      <c r="V12">
        <v>96.895696109131507</v>
      </c>
      <c r="W12">
        <v>97.894620811287496</v>
      </c>
      <c r="X12">
        <v>98.809523809523796</v>
      </c>
      <c r="Y12">
        <v>98.809523809523796</v>
      </c>
      <c r="Z12">
        <v>100</v>
      </c>
      <c r="AA12">
        <v>100</v>
      </c>
      <c r="AB12">
        <v>100</v>
      </c>
      <c r="AC12">
        <v>100.84033613445401</v>
      </c>
      <c r="AD12">
        <v>102.601739385711</v>
      </c>
      <c r="AE12">
        <v>103.015456076782</v>
      </c>
    </row>
    <row r="13" spans="1:31" x14ac:dyDescent="0.3">
      <c r="A13" t="s">
        <v>263</v>
      </c>
      <c r="B13" t="s">
        <v>144</v>
      </c>
      <c r="C13" t="s">
        <v>0</v>
      </c>
      <c r="D13" t="s">
        <v>145</v>
      </c>
      <c r="E13" t="s">
        <v>123</v>
      </c>
      <c r="F13">
        <v>80.279704103006495</v>
      </c>
      <c r="G13">
        <v>81.780259319885104</v>
      </c>
      <c r="H13">
        <v>83.783784603891206</v>
      </c>
      <c r="I13">
        <v>84.615385443632107</v>
      </c>
      <c r="J13">
        <v>84.615385443632107</v>
      </c>
      <c r="K13">
        <v>85.496795708669893</v>
      </c>
      <c r="L13">
        <v>85.738996263085397</v>
      </c>
      <c r="M13">
        <v>85.738996263085397</v>
      </c>
      <c r="N13">
        <v>85.738996263085397</v>
      </c>
      <c r="O13">
        <v>86.515617606048195</v>
      </c>
      <c r="P13">
        <v>87.413703601958701</v>
      </c>
      <c r="Q13">
        <v>87.787266437864503</v>
      </c>
      <c r="R13">
        <v>90.002717956801206</v>
      </c>
      <c r="S13">
        <v>92.496496036208796</v>
      </c>
      <c r="T13">
        <v>93.597644798544593</v>
      </c>
      <c r="U13">
        <v>93.897637249821997</v>
      </c>
      <c r="V13">
        <v>95.790734775019999</v>
      </c>
      <c r="W13">
        <v>97.643553629469096</v>
      </c>
      <c r="X13">
        <v>99.038461538461505</v>
      </c>
      <c r="Y13">
        <v>99.038461538461505</v>
      </c>
      <c r="Z13">
        <v>100</v>
      </c>
      <c r="AA13">
        <v>100.749063670412</v>
      </c>
      <c r="AB13">
        <v>101.086017060614</v>
      </c>
      <c r="AC13">
        <v>101.89686746484399</v>
      </c>
      <c r="AD13">
        <v>103.345638092306</v>
      </c>
      <c r="AE13">
        <v>103.345638092306</v>
      </c>
    </row>
    <row r="14" spans="1:31" x14ac:dyDescent="0.3">
      <c r="A14" t="s">
        <v>263</v>
      </c>
      <c r="B14" t="s">
        <v>146</v>
      </c>
      <c r="C14" t="s">
        <v>0</v>
      </c>
      <c r="D14" t="s">
        <v>147</v>
      </c>
      <c r="E14" t="s">
        <v>123</v>
      </c>
      <c r="F14">
        <v>80.5681579138529</v>
      </c>
      <c r="G14">
        <v>82.8866660552588</v>
      </c>
      <c r="H14">
        <v>85.336518253936404</v>
      </c>
      <c r="I14">
        <v>86.306251415912897</v>
      </c>
      <c r="J14">
        <v>86.549367617084499</v>
      </c>
      <c r="K14">
        <v>88.090959406701799</v>
      </c>
      <c r="L14">
        <v>88.511441313177698</v>
      </c>
      <c r="M14">
        <v>88.511441313177698</v>
      </c>
      <c r="N14">
        <v>88.511441313177698</v>
      </c>
      <c r="O14">
        <v>89.845784649557203</v>
      </c>
      <c r="P14">
        <v>90.825920482097899</v>
      </c>
      <c r="Q14">
        <v>91.448015827865603</v>
      </c>
      <c r="R14">
        <v>92.763814616755795</v>
      </c>
      <c r="S14">
        <v>95.574839302111997</v>
      </c>
      <c r="T14">
        <v>96.866391184573004</v>
      </c>
      <c r="U14">
        <v>96.866391184573004</v>
      </c>
      <c r="V14">
        <v>98.863636363636402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100.88495575221199</v>
      </c>
      <c r="AC14">
        <v>101.810505804985</v>
      </c>
      <c r="AD14">
        <v>102.78012966979399</v>
      </c>
      <c r="AE14">
        <v>104.31416145591101</v>
      </c>
    </row>
    <row r="15" spans="1:31" x14ac:dyDescent="0.3">
      <c r="A15" t="s">
        <v>263</v>
      </c>
      <c r="B15" t="s">
        <v>148</v>
      </c>
      <c r="C15" t="s">
        <v>0</v>
      </c>
      <c r="D15" t="s">
        <v>149</v>
      </c>
      <c r="E15" t="s">
        <v>123</v>
      </c>
      <c r="F15">
        <v>81.657129391470306</v>
      </c>
      <c r="G15">
        <v>83.772599064824504</v>
      </c>
      <c r="H15">
        <v>85.993842221846293</v>
      </c>
      <c r="I15">
        <v>86.761644384541398</v>
      </c>
      <c r="J15">
        <v>86.976400930047703</v>
      </c>
      <c r="K15">
        <v>88.347650494260094</v>
      </c>
      <c r="L15">
        <v>88.721213498464195</v>
      </c>
      <c r="M15">
        <v>88.721213498464195</v>
      </c>
      <c r="N15">
        <v>88.721213498464195</v>
      </c>
      <c r="O15">
        <v>89.863546719474499</v>
      </c>
      <c r="P15">
        <v>90.687982927909999</v>
      </c>
      <c r="Q15">
        <v>91.194619704043603</v>
      </c>
      <c r="R15">
        <v>92.689613469683593</v>
      </c>
      <c r="S15">
        <v>94.950335749432</v>
      </c>
      <c r="T15">
        <v>95.741588547343994</v>
      </c>
      <c r="U15">
        <v>95.741588547343994</v>
      </c>
      <c r="V15">
        <v>97.853535353535406</v>
      </c>
      <c r="W15">
        <v>99.431818181818201</v>
      </c>
      <c r="X15">
        <v>99.431818181818201</v>
      </c>
      <c r="Y15">
        <v>99.431818181818201</v>
      </c>
      <c r="Z15">
        <v>100</v>
      </c>
      <c r="AA15">
        <v>100</v>
      </c>
      <c r="AB15">
        <v>100.59880239521</v>
      </c>
      <c r="AC15">
        <v>101.22754491018</v>
      </c>
      <c r="AD15">
        <v>102.477267686849</v>
      </c>
      <c r="AE15">
        <v>103.655167315433</v>
      </c>
    </row>
    <row r="16" spans="1:31" x14ac:dyDescent="0.3">
      <c r="A16" t="s">
        <v>263</v>
      </c>
      <c r="B16" t="s">
        <v>150</v>
      </c>
      <c r="C16" t="s">
        <v>0</v>
      </c>
      <c r="D16" t="s">
        <v>151</v>
      </c>
      <c r="E16" t="s">
        <v>123</v>
      </c>
      <c r="F16">
        <v>86.547324408072498</v>
      </c>
      <c r="G16">
        <v>88.150052637851601</v>
      </c>
      <c r="H16">
        <v>89.595135467980299</v>
      </c>
      <c r="I16">
        <v>89.595135467980299</v>
      </c>
      <c r="J16">
        <v>89.595135467980299</v>
      </c>
      <c r="K16">
        <v>89.595135467980299</v>
      </c>
      <c r="L16">
        <v>89.595135467980299</v>
      </c>
      <c r="M16">
        <v>89.595135467980299</v>
      </c>
      <c r="N16">
        <v>89.595135467980299</v>
      </c>
      <c r="O16">
        <v>89.595135467980299</v>
      </c>
      <c r="P16">
        <v>89.595135467980299</v>
      </c>
      <c r="Q16">
        <v>89.595135467980299</v>
      </c>
      <c r="R16">
        <v>91.631388546797993</v>
      </c>
      <c r="S16">
        <v>93.238956766917298</v>
      </c>
      <c r="T16">
        <v>93.238956766917298</v>
      </c>
      <c r="U16">
        <v>93.238956766917298</v>
      </c>
      <c r="V16">
        <v>95.629699248120303</v>
      </c>
      <c r="W16">
        <v>98.214285714285694</v>
      </c>
      <c r="X16">
        <v>98.214285714285694</v>
      </c>
      <c r="Y16">
        <v>98.214285714285694</v>
      </c>
      <c r="Z16">
        <v>100</v>
      </c>
      <c r="AA16">
        <v>100</v>
      </c>
      <c r="AB16">
        <v>100</v>
      </c>
      <c r="AC16">
        <v>100</v>
      </c>
      <c r="AD16">
        <v>101.754385964912</v>
      </c>
      <c r="AE16">
        <v>101.754385964912</v>
      </c>
    </row>
    <row r="17" spans="1:31" x14ac:dyDescent="0.3">
      <c r="A17" t="s">
        <v>263</v>
      </c>
      <c r="B17" t="s">
        <v>152</v>
      </c>
      <c r="C17" t="s">
        <v>0</v>
      </c>
      <c r="D17" t="s">
        <v>153</v>
      </c>
      <c r="E17" t="s">
        <v>123</v>
      </c>
      <c r="F17">
        <v>83.4768627486323</v>
      </c>
      <c r="G17">
        <v>85.157604951624904</v>
      </c>
      <c r="H17">
        <v>87.0930050641619</v>
      </c>
      <c r="I17">
        <v>87.0930050641619</v>
      </c>
      <c r="J17">
        <v>87.0930050641619</v>
      </c>
      <c r="K17">
        <v>87.0930050641619</v>
      </c>
      <c r="L17">
        <v>87.0930050641619</v>
      </c>
      <c r="M17">
        <v>87.0930050641619</v>
      </c>
      <c r="N17">
        <v>87.0930050641619</v>
      </c>
      <c r="O17">
        <v>87.0930050641619</v>
      </c>
      <c r="P17">
        <v>87.0930050641619</v>
      </c>
      <c r="Q17">
        <v>87.093005064161801</v>
      </c>
      <c r="R17">
        <v>89.270330190765904</v>
      </c>
      <c r="S17">
        <v>91.792090930618002</v>
      </c>
      <c r="T17">
        <v>93.155339805825193</v>
      </c>
      <c r="U17">
        <v>93.155339805825193</v>
      </c>
      <c r="V17">
        <v>95.606796116504796</v>
      </c>
      <c r="W17">
        <v>98.058252427184399</v>
      </c>
      <c r="X17">
        <v>98.058252427184399</v>
      </c>
      <c r="Y17">
        <v>98.058252427184499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102.752293577982</v>
      </c>
    </row>
    <row r="18" spans="1:31" x14ac:dyDescent="0.3">
      <c r="A18" t="s">
        <v>263</v>
      </c>
      <c r="B18" t="s">
        <v>154</v>
      </c>
      <c r="C18" t="s">
        <v>0</v>
      </c>
      <c r="D18" t="s">
        <v>155</v>
      </c>
      <c r="E18" t="s">
        <v>123</v>
      </c>
      <c r="F18">
        <v>95.341781874039896</v>
      </c>
      <c r="G18">
        <v>95.341781874039896</v>
      </c>
      <c r="H18">
        <v>95.341781874039896</v>
      </c>
      <c r="I18">
        <v>95.341781874039896</v>
      </c>
      <c r="J18">
        <v>95.341781874039896</v>
      </c>
      <c r="K18">
        <v>95.341781874039896</v>
      </c>
      <c r="L18">
        <v>95.341781874039896</v>
      </c>
      <c r="M18">
        <v>95.341781874039896</v>
      </c>
      <c r="N18">
        <v>95.341781874039896</v>
      </c>
      <c r="O18">
        <v>95.341781874039896</v>
      </c>
      <c r="P18">
        <v>95.341781874039995</v>
      </c>
      <c r="Q18">
        <v>95.341781874039995</v>
      </c>
      <c r="R18">
        <v>95.341781874039995</v>
      </c>
      <c r="S18">
        <v>95.341781874039896</v>
      </c>
      <c r="T18">
        <v>95.341781874039995</v>
      </c>
      <c r="U18">
        <v>95.341781874039995</v>
      </c>
      <c r="V18">
        <v>96.904761904761898</v>
      </c>
      <c r="W18">
        <v>99.107142857142904</v>
      </c>
      <c r="X18">
        <v>100</v>
      </c>
      <c r="Y18">
        <v>100</v>
      </c>
      <c r="Z18">
        <v>100</v>
      </c>
      <c r="AA18">
        <v>100</v>
      </c>
      <c r="AB18">
        <v>100.88495575221199</v>
      </c>
      <c r="AC18">
        <v>102.239116232108</v>
      </c>
      <c r="AD18">
        <v>103.63965207090401</v>
      </c>
      <c r="AE18">
        <v>103.63965207090401</v>
      </c>
    </row>
    <row r="19" spans="1:31" x14ac:dyDescent="0.3">
      <c r="A19" t="s">
        <v>263</v>
      </c>
      <c r="B19" t="s">
        <v>156</v>
      </c>
      <c r="C19" t="s">
        <v>0</v>
      </c>
      <c r="D19" t="s">
        <v>157</v>
      </c>
      <c r="E19" t="s">
        <v>123</v>
      </c>
      <c r="F19">
        <v>90.963558564624904</v>
      </c>
      <c r="G19">
        <v>92.144903481048701</v>
      </c>
      <c r="H19">
        <v>93.969555035128806</v>
      </c>
      <c r="I19">
        <v>94.847775175644003</v>
      </c>
      <c r="J19">
        <v>94.847775175644003</v>
      </c>
      <c r="K19">
        <v>94.847775175644003</v>
      </c>
      <c r="L19">
        <v>94.847775175644003</v>
      </c>
      <c r="M19">
        <v>94.847775175644003</v>
      </c>
      <c r="N19">
        <v>94.847775175644003</v>
      </c>
      <c r="O19">
        <v>94.847775175644102</v>
      </c>
      <c r="P19">
        <v>94.847775175644102</v>
      </c>
      <c r="Q19">
        <v>94.847775175644102</v>
      </c>
      <c r="R19">
        <v>95.990519454868704</v>
      </c>
      <c r="S19">
        <v>98.360655737704903</v>
      </c>
      <c r="T19">
        <v>98.360655737704903</v>
      </c>
      <c r="U19">
        <v>98.360655737704903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</row>
    <row r="20" spans="1:31" x14ac:dyDescent="0.3">
      <c r="A20" t="s">
        <v>263</v>
      </c>
      <c r="B20" t="s">
        <v>158</v>
      </c>
      <c r="C20" t="s">
        <v>0</v>
      </c>
      <c r="D20" t="s">
        <v>159</v>
      </c>
      <c r="E20" t="s">
        <v>123</v>
      </c>
      <c r="F20">
        <v>74.448374572757203</v>
      </c>
      <c r="G20">
        <v>76.417908291613202</v>
      </c>
      <c r="H20">
        <v>78.822667643447204</v>
      </c>
      <c r="I20">
        <v>79.703367840580697</v>
      </c>
      <c r="J20">
        <v>80.1749854017676</v>
      </c>
      <c r="K20">
        <v>81.452674412154295</v>
      </c>
      <c r="L20">
        <v>81.803763525999798</v>
      </c>
      <c r="M20">
        <v>81.803763525999798</v>
      </c>
      <c r="N20">
        <v>81.803763525999798</v>
      </c>
      <c r="O20">
        <v>82.880128835552497</v>
      </c>
      <c r="P20">
        <v>84.183275515356698</v>
      </c>
      <c r="Q20">
        <v>84.482860125731705</v>
      </c>
      <c r="R20">
        <v>86.881427132455897</v>
      </c>
      <c r="S20">
        <v>89.590827146981596</v>
      </c>
      <c r="T20">
        <v>90.760420190675802</v>
      </c>
      <c r="U20">
        <v>91.067562052573194</v>
      </c>
      <c r="V20">
        <v>93.407242500564195</v>
      </c>
      <c r="W20">
        <v>95.269180889279795</v>
      </c>
      <c r="X20">
        <v>96.508230929747299</v>
      </c>
      <c r="Y20">
        <v>96.916299559471398</v>
      </c>
      <c r="Z20">
        <v>100</v>
      </c>
      <c r="AA20">
        <v>99.148606811145498</v>
      </c>
      <c r="AB20">
        <v>99.687039897009001</v>
      </c>
      <c r="AC20">
        <v>100.73859095077501</v>
      </c>
      <c r="AD20">
        <v>102.52036194718301</v>
      </c>
      <c r="AE20">
        <v>102.60724360985</v>
      </c>
    </row>
    <row r="21" spans="1:31" x14ac:dyDescent="0.3">
      <c r="A21" t="s">
        <v>263</v>
      </c>
      <c r="B21" t="s">
        <v>160</v>
      </c>
      <c r="C21" t="s">
        <v>0</v>
      </c>
      <c r="D21" t="s">
        <v>161</v>
      </c>
      <c r="E21" t="s">
        <v>123</v>
      </c>
      <c r="F21">
        <v>76.167866412431493</v>
      </c>
      <c r="G21">
        <v>77.830920264231395</v>
      </c>
      <c r="H21">
        <v>79.973055684347798</v>
      </c>
      <c r="I21">
        <v>80.716991086062706</v>
      </c>
      <c r="J21">
        <v>81.092418951579305</v>
      </c>
      <c r="K21">
        <v>82.207091377030494</v>
      </c>
      <c r="L21">
        <v>82.512693947205307</v>
      </c>
      <c r="M21">
        <v>82.512693947205307</v>
      </c>
      <c r="N21">
        <v>82.512693947205307</v>
      </c>
      <c r="O21">
        <v>83.486295055726899</v>
      </c>
      <c r="P21">
        <v>84.620619716810197</v>
      </c>
      <c r="Q21">
        <v>84.873974865662902</v>
      </c>
      <c r="R21">
        <v>86.929034789770995</v>
      </c>
      <c r="S21">
        <v>89.753443862362801</v>
      </c>
      <c r="T21">
        <v>90.888257520392699</v>
      </c>
      <c r="U21">
        <v>91.163676482575696</v>
      </c>
      <c r="V21">
        <v>93.442768394640098</v>
      </c>
      <c r="W21">
        <v>95.415175115371298</v>
      </c>
      <c r="X21">
        <v>96.613858219835706</v>
      </c>
      <c r="Y21">
        <v>96.989422294548405</v>
      </c>
      <c r="Z21">
        <v>100</v>
      </c>
      <c r="AA21">
        <v>99.216524216524206</v>
      </c>
      <c r="AB21">
        <v>99.707001384261304</v>
      </c>
      <c r="AC21">
        <v>100.736838957244</v>
      </c>
      <c r="AD21">
        <v>102.295861464916</v>
      </c>
      <c r="AE21">
        <v>102.373124200161</v>
      </c>
    </row>
    <row r="22" spans="1:31" x14ac:dyDescent="0.3">
      <c r="A22" t="s">
        <v>263</v>
      </c>
      <c r="B22" t="s">
        <v>162</v>
      </c>
      <c r="C22" t="s">
        <v>0</v>
      </c>
      <c r="D22" t="s">
        <v>163</v>
      </c>
      <c r="E22" t="s">
        <v>123</v>
      </c>
      <c r="F22">
        <v>87.140100619737893</v>
      </c>
      <c r="G22">
        <v>87.140100619737893</v>
      </c>
      <c r="H22">
        <v>87.140100619737893</v>
      </c>
      <c r="I22">
        <v>87.140100619737893</v>
      </c>
      <c r="J22">
        <v>87.140100619737893</v>
      </c>
      <c r="K22">
        <v>87.140100619737893</v>
      </c>
      <c r="L22">
        <v>87.140100619737893</v>
      </c>
      <c r="M22">
        <v>87.140100619737893</v>
      </c>
      <c r="N22">
        <v>87.140100619737893</v>
      </c>
      <c r="O22">
        <v>87.140100619737893</v>
      </c>
      <c r="P22">
        <v>87.140100619737893</v>
      </c>
      <c r="Q22">
        <v>87.140100619737893</v>
      </c>
      <c r="R22">
        <v>88.047810001193497</v>
      </c>
      <c r="S22">
        <v>91.666213151927494</v>
      </c>
      <c r="T22">
        <v>92.547619047619094</v>
      </c>
      <c r="U22">
        <v>92.547619047619094</v>
      </c>
      <c r="V22">
        <v>94.516717325228001</v>
      </c>
      <c r="W22">
        <v>96.940222897669699</v>
      </c>
      <c r="X22">
        <v>97.872340425531902</v>
      </c>
      <c r="Y22">
        <v>97.872340425531902</v>
      </c>
      <c r="Z22">
        <v>100</v>
      </c>
      <c r="AA22">
        <v>100</v>
      </c>
      <c r="AB22">
        <v>100</v>
      </c>
      <c r="AC22">
        <v>100.85470085470099</v>
      </c>
      <c r="AD22">
        <v>100.85470085470099</v>
      </c>
      <c r="AE22">
        <v>100.85470085470099</v>
      </c>
    </row>
    <row r="23" spans="1:31" x14ac:dyDescent="0.3">
      <c r="A23" t="s">
        <v>263</v>
      </c>
      <c r="B23" t="s">
        <v>164</v>
      </c>
      <c r="C23" t="s">
        <v>0</v>
      </c>
      <c r="D23" t="s">
        <v>165</v>
      </c>
      <c r="E23" t="s">
        <v>123</v>
      </c>
      <c r="F23">
        <v>77.649999188380804</v>
      </c>
      <c r="G23">
        <v>79.5912491680903</v>
      </c>
      <c r="H23">
        <v>81.674789722228795</v>
      </c>
      <c r="I23">
        <v>82.641355281071796</v>
      </c>
      <c r="J23">
        <v>82.641355281071796</v>
      </c>
      <c r="K23">
        <v>83.769564909482298</v>
      </c>
      <c r="L23">
        <v>83.769564909482298</v>
      </c>
      <c r="M23">
        <v>83.769564909482298</v>
      </c>
      <c r="N23">
        <v>83.769564909482298</v>
      </c>
      <c r="O23">
        <v>84.272685419449203</v>
      </c>
      <c r="P23">
        <v>85.347592121227805</v>
      </c>
      <c r="Q23">
        <v>86.152758084635707</v>
      </c>
      <c r="R23">
        <v>88.098713606054503</v>
      </c>
      <c r="S23">
        <v>90.882501954201203</v>
      </c>
      <c r="T23">
        <v>91.857113235211401</v>
      </c>
      <c r="U23">
        <v>92.449739772212794</v>
      </c>
      <c r="V23">
        <v>94.481602184788898</v>
      </c>
      <c r="W23">
        <v>96.271779910395495</v>
      </c>
      <c r="X23">
        <v>97.524774876691296</v>
      </c>
      <c r="Y23">
        <v>97.959183673469397</v>
      </c>
      <c r="Z23">
        <v>100</v>
      </c>
      <c r="AA23">
        <v>99.646643109540605</v>
      </c>
      <c r="AB23">
        <v>100.11741465179</v>
      </c>
      <c r="AC23">
        <v>100.91094766092</v>
      </c>
      <c r="AD23">
        <v>102.57105725816101</v>
      </c>
      <c r="AE23">
        <v>103.296795870837</v>
      </c>
    </row>
    <row r="24" spans="1:31" x14ac:dyDescent="0.3">
      <c r="A24" t="s">
        <v>263</v>
      </c>
      <c r="B24" t="s">
        <v>166</v>
      </c>
      <c r="C24" t="s">
        <v>0</v>
      </c>
      <c r="D24" t="s">
        <v>167</v>
      </c>
      <c r="E24" t="s">
        <v>123</v>
      </c>
      <c r="F24">
        <v>75.357372563296707</v>
      </c>
      <c r="G24">
        <v>77.241306877379103</v>
      </c>
      <c r="H24">
        <v>79.544373366842194</v>
      </c>
      <c r="I24">
        <v>80.458676508989797</v>
      </c>
      <c r="J24">
        <v>80.827753006737495</v>
      </c>
      <c r="K24">
        <v>82.168497724858696</v>
      </c>
      <c r="L24">
        <v>82.546283921294801</v>
      </c>
      <c r="M24">
        <v>82.546283921294801</v>
      </c>
      <c r="N24">
        <v>82.546283921294901</v>
      </c>
      <c r="O24">
        <v>83.042057398299605</v>
      </c>
      <c r="P24">
        <v>84.205111423485903</v>
      </c>
      <c r="Q24">
        <v>85.012189168758894</v>
      </c>
      <c r="R24">
        <v>86.939903208866795</v>
      </c>
      <c r="S24">
        <v>89.679606041078998</v>
      </c>
      <c r="T24">
        <v>90.836762248060694</v>
      </c>
      <c r="U24">
        <v>91.323822635449702</v>
      </c>
      <c r="V24">
        <v>93.652663285534103</v>
      </c>
      <c r="W24">
        <v>95.603760437315998</v>
      </c>
      <c r="X24">
        <v>96.866451612903205</v>
      </c>
      <c r="Y24">
        <v>97.177419354838705</v>
      </c>
      <c r="Z24">
        <v>100</v>
      </c>
      <c r="AA24">
        <v>99.740259740259702</v>
      </c>
      <c r="AB24">
        <v>100.48737779074899</v>
      </c>
      <c r="AC24">
        <v>101.50012851876301</v>
      </c>
      <c r="AD24">
        <v>102.579917120026</v>
      </c>
      <c r="AE24">
        <v>103.079089466109</v>
      </c>
    </row>
    <row r="25" spans="1:31" x14ac:dyDescent="0.3">
      <c r="A25" t="s">
        <v>263</v>
      </c>
      <c r="B25" t="s">
        <v>168</v>
      </c>
      <c r="C25" t="s">
        <v>0</v>
      </c>
      <c r="D25" t="s">
        <v>169</v>
      </c>
      <c r="E25" t="s">
        <v>123</v>
      </c>
      <c r="F25">
        <v>78.905537614439197</v>
      </c>
      <c r="G25">
        <v>81.097358103729107</v>
      </c>
      <c r="H25">
        <v>82.471889597012705</v>
      </c>
      <c r="I25">
        <v>83.684711502851101</v>
      </c>
      <c r="J25">
        <v>83.684711502851101</v>
      </c>
      <c r="K25">
        <v>85.1030964435774</v>
      </c>
      <c r="L25">
        <v>85.1030964435774</v>
      </c>
      <c r="M25">
        <v>85.1030964435774</v>
      </c>
      <c r="N25">
        <v>85.1030964435774</v>
      </c>
      <c r="O25">
        <v>85.1030964435774</v>
      </c>
      <c r="P25">
        <v>85.1030964435774</v>
      </c>
      <c r="Q25">
        <v>85.1030964435774</v>
      </c>
      <c r="R25">
        <v>87.129360644615005</v>
      </c>
      <c r="S25">
        <v>89.422238556315406</v>
      </c>
      <c r="T25">
        <v>90.912609198920606</v>
      </c>
      <c r="U25">
        <v>90.912609198920606</v>
      </c>
      <c r="V25">
        <v>93.305046283102698</v>
      </c>
      <c r="W25">
        <v>95.500459136822798</v>
      </c>
      <c r="X25">
        <v>96.969696969696997</v>
      </c>
      <c r="Y25">
        <v>96.969696969696997</v>
      </c>
      <c r="Z25">
        <v>100</v>
      </c>
      <c r="AA25">
        <v>100</v>
      </c>
      <c r="AB25">
        <v>101.07526881720401</v>
      </c>
      <c r="AC25">
        <v>101.97772657450101</v>
      </c>
      <c r="AD25">
        <v>103.583675024493</v>
      </c>
      <c r="AE25">
        <v>104.368399835285</v>
      </c>
    </row>
    <row r="26" spans="1:31" x14ac:dyDescent="0.3">
      <c r="A26" t="s">
        <v>263</v>
      </c>
      <c r="B26" t="s">
        <v>170</v>
      </c>
      <c r="C26" t="s">
        <v>0</v>
      </c>
      <c r="D26" t="s">
        <v>171</v>
      </c>
      <c r="E26" t="s">
        <v>123</v>
      </c>
      <c r="F26">
        <v>74.501072773088396</v>
      </c>
      <c r="G26">
        <v>76.411356690347105</v>
      </c>
      <c r="H26">
        <v>78.584191477750295</v>
      </c>
      <c r="I26">
        <v>79.467159921320601</v>
      </c>
      <c r="J26">
        <v>79.960744765552406</v>
      </c>
      <c r="K26">
        <v>81.355408918439906</v>
      </c>
      <c r="L26">
        <v>81.815043997075193</v>
      </c>
      <c r="M26">
        <v>81.815043997075193</v>
      </c>
      <c r="N26">
        <v>81.815043997075193</v>
      </c>
      <c r="O26">
        <v>82.508391827558896</v>
      </c>
      <c r="P26">
        <v>83.787591700854307</v>
      </c>
      <c r="Q26">
        <v>84.708334466797794</v>
      </c>
      <c r="R26">
        <v>86.660139408429103</v>
      </c>
      <c r="S26">
        <v>89.422215564872999</v>
      </c>
      <c r="T26">
        <v>90.724480840089598</v>
      </c>
      <c r="U26">
        <v>91.317451303096703</v>
      </c>
      <c r="V26">
        <v>93.639081420972104</v>
      </c>
      <c r="W26">
        <v>95.537170909235002</v>
      </c>
      <c r="X26">
        <v>96.726430298146695</v>
      </c>
      <c r="Y26">
        <v>97.058823529411796</v>
      </c>
      <c r="Z26">
        <v>100</v>
      </c>
      <c r="AA26">
        <v>99.719887955182102</v>
      </c>
      <c r="AB26">
        <v>100.410787871731</v>
      </c>
      <c r="AC26">
        <v>101.497484710169</v>
      </c>
      <c r="AD26">
        <v>102.492558089681</v>
      </c>
      <c r="AE26">
        <v>103.057255379431</v>
      </c>
    </row>
    <row r="27" spans="1:31" x14ac:dyDescent="0.3">
      <c r="A27" t="s">
        <v>263</v>
      </c>
      <c r="B27" t="s">
        <v>172</v>
      </c>
      <c r="C27" t="s">
        <v>0</v>
      </c>
      <c r="D27" t="s">
        <v>173</v>
      </c>
      <c r="E27" t="s">
        <v>123</v>
      </c>
      <c r="F27">
        <v>74.937340942864395</v>
      </c>
      <c r="G27">
        <v>76.707514350963507</v>
      </c>
      <c r="H27">
        <v>79.480075110636903</v>
      </c>
      <c r="I27">
        <v>80.321134106516695</v>
      </c>
      <c r="J27">
        <v>80.701802988538105</v>
      </c>
      <c r="K27">
        <v>81.969370574745497</v>
      </c>
      <c r="L27">
        <v>82.3854587502518</v>
      </c>
      <c r="M27">
        <v>82.3854587502518</v>
      </c>
      <c r="N27">
        <v>82.3854587502518</v>
      </c>
      <c r="O27">
        <v>82.897169674166406</v>
      </c>
      <c r="P27">
        <v>84.2414481013151</v>
      </c>
      <c r="Q27">
        <v>85.268782834257905</v>
      </c>
      <c r="R27">
        <v>87.142822017428401</v>
      </c>
      <c r="S27">
        <v>89.938848392319201</v>
      </c>
      <c r="T27">
        <v>90.842756416362604</v>
      </c>
      <c r="U27">
        <v>91.436499922351899</v>
      </c>
      <c r="V27">
        <v>93.733899417888296</v>
      </c>
      <c r="W27">
        <v>95.666557137844805</v>
      </c>
      <c r="X27">
        <v>96.947805670940895</v>
      </c>
      <c r="Y27">
        <v>97.345132743362797</v>
      </c>
      <c r="Z27">
        <v>100</v>
      </c>
      <c r="AA27">
        <v>99.658703071672306</v>
      </c>
      <c r="AB27">
        <v>100.383493639466</v>
      </c>
      <c r="AC27">
        <v>101.327539034195</v>
      </c>
      <c r="AD27">
        <v>102.304975102049</v>
      </c>
      <c r="AE27">
        <v>102.61783435312501</v>
      </c>
    </row>
    <row r="28" spans="1:31" x14ac:dyDescent="0.3">
      <c r="A28" t="s">
        <v>263</v>
      </c>
      <c r="B28" t="s">
        <v>174</v>
      </c>
      <c r="C28" t="s">
        <v>0</v>
      </c>
      <c r="D28" t="s">
        <v>175</v>
      </c>
      <c r="E28" t="s">
        <v>123</v>
      </c>
      <c r="F28">
        <v>82.753703044911305</v>
      </c>
      <c r="G28">
        <v>84.759853421757697</v>
      </c>
      <c r="H28">
        <v>86.582645968462103</v>
      </c>
      <c r="I28">
        <v>86.943406993330697</v>
      </c>
      <c r="J28">
        <v>86.943406993330697</v>
      </c>
      <c r="K28">
        <v>87.808515520627594</v>
      </c>
      <c r="L28">
        <v>87.808515520627594</v>
      </c>
      <c r="M28">
        <v>87.808515520627594</v>
      </c>
      <c r="N28">
        <v>87.808515520627594</v>
      </c>
      <c r="O28">
        <v>88.2040493743241</v>
      </c>
      <c r="P28">
        <v>89.514010503645693</v>
      </c>
      <c r="Q28">
        <v>90.043679204850704</v>
      </c>
      <c r="R28">
        <v>91.033170185123794</v>
      </c>
      <c r="S28">
        <v>92.542007260015396</v>
      </c>
      <c r="T28">
        <v>93.313190653848807</v>
      </c>
      <c r="U28">
        <v>93.313190653848807</v>
      </c>
      <c r="V28">
        <v>95.796811697867597</v>
      </c>
      <c r="W28">
        <v>97.293636880646801</v>
      </c>
      <c r="X28">
        <v>98.540991199629502</v>
      </c>
      <c r="Y28">
        <v>98.930481283422495</v>
      </c>
      <c r="Z28">
        <v>100</v>
      </c>
      <c r="AA28">
        <v>99.628252788104106</v>
      </c>
      <c r="AB28">
        <v>99.628252788104106</v>
      </c>
      <c r="AC28">
        <v>100.031606038258</v>
      </c>
      <c r="AD28">
        <v>100.654855920117</v>
      </c>
      <c r="AE28">
        <v>101.406011561312</v>
      </c>
    </row>
    <row r="29" spans="1:31" x14ac:dyDescent="0.3">
      <c r="A29" t="s">
        <v>263</v>
      </c>
      <c r="B29" t="s">
        <v>176</v>
      </c>
      <c r="C29" t="s">
        <v>0</v>
      </c>
      <c r="D29" t="s">
        <v>177</v>
      </c>
      <c r="E29" t="s">
        <v>123</v>
      </c>
      <c r="F29">
        <v>82.313494738768995</v>
      </c>
      <c r="G29">
        <v>84.083677421323202</v>
      </c>
      <c r="H29">
        <v>85.640782558755106</v>
      </c>
      <c r="I29">
        <v>86.223372916297706</v>
      </c>
      <c r="J29">
        <v>86.223372916297706</v>
      </c>
      <c r="K29">
        <v>87.060493041698606</v>
      </c>
      <c r="L29">
        <v>87.060493041698606</v>
      </c>
      <c r="M29">
        <v>87.060493041698606</v>
      </c>
      <c r="N29">
        <v>87.060493041698606</v>
      </c>
      <c r="O29">
        <v>87.700643725828797</v>
      </c>
      <c r="P29">
        <v>89.212723790067201</v>
      </c>
      <c r="Q29">
        <v>90.300683836287504</v>
      </c>
      <c r="R29">
        <v>91.520963347588705</v>
      </c>
      <c r="S29">
        <v>93.427650083996795</v>
      </c>
      <c r="T29">
        <v>94.539884013568198</v>
      </c>
      <c r="U29">
        <v>94.539884013568198</v>
      </c>
      <c r="V29">
        <v>97.165991902833994</v>
      </c>
      <c r="W29">
        <v>98.461538461538495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100.934579439252</v>
      </c>
      <c r="AE29">
        <v>100.934579439252</v>
      </c>
    </row>
    <row r="30" spans="1:31" x14ac:dyDescent="0.3">
      <c r="A30" t="s">
        <v>263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93.086419753086403</v>
      </c>
      <c r="M30">
        <v>93.086419753086403</v>
      </c>
      <c r="N30">
        <v>93.086419753086403</v>
      </c>
      <c r="O30">
        <v>93.086419753086403</v>
      </c>
      <c r="P30">
        <v>93.086419753086403</v>
      </c>
      <c r="Q30">
        <v>93.086419753086403</v>
      </c>
      <c r="R30">
        <v>93.086419753086403</v>
      </c>
      <c r="S30">
        <v>93.086419753086403</v>
      </c>
      <c r="T30">
        <v>93.086419753086403</v>
      </c>
      <c r="U30">
        <v>93.086419753086403</v>
      </c>
      <c r="V30">
        <v>96.6666666666667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 x14ac:dyDescent="0.3">
      <c r="A31" t="s">
        <v>263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>
        <v>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</row>
    <row r="32" spans="1:31" x14ac:dyDescent="0.3">
      <c r="A32" t="s">
        <v>263</v>
      </c>
      <c r="B32" t="s">
        <v>182</v>
      </c>
      <c r="C32" t="s">
        <v>0</v>
      </c>
      <c r="D32" t="s">
        <v>183</v>
      </c>
      <c r="E32" t="s">
        <v>123</v>
      </c>
      <c r="F32">
        <v>80.308449013435606</v>
      </c>
      <c r="G32">
        <v>83.338956523376496</v>
      </c>
      <c r="H32">
        <v>86.672514784311602</v>
      </c>
      <c r="I32">
        <v>86.672514784311602</v>
      </c>
      <c r="J32">
        <v>86.672514784311602</v>
      </c>
      <c r="K32">
        <v>88.005938088685596</v>
      </c>
      <c r="L32">
        <v>88.005938088685596</v>
      </c>
      <c r="M32">
        <v>88.005938088685596</v>
      </c>
      <c r="N32">
        <v>88.005938088685596</v>
      </c>
      <c r="O32">
        <v>88.005938088685596</v>
      </c>
      <c r="P32">
        <v>89.319459552695804</v>
      </c>
      <c r="Q32">
        <v>89.319459552695804</v>
      </c>
      <c r="R32">
        <v>90.510385680065099</v>
      </c>
      <c r="S32">
        <v>92.156029056066302</v>
      </c>
      <c r="T32">
        <v>92.859510193898799</v>
      </c>
      <c r="U32">
        <v>92.859510193898799</v>
      </c>
      <c r="V32">
        <v>95.070450912801107</v>
      </c>
      <c r="W32">
        <v>96.175921272252296</v>
      </c>
      <c r="X32">
        <v>97.727145808901597</v>
      </c>
      <c r="Y32">
        <v>98.425196850393704</v>
      </c>
      <c r="Z32">
        <v>100</v>
      </c>
      <c r="AA32">
        <v>99.393939393939405</v>
      </c>
      <c r="AB32">
        <v>99.393939393939405</v>
      </c>
      <c r="AC32">
        <v>100.124777183601</v>
      </c>
      <c r="AD32">
        <v>100.696918767507</v>
      </c>
      <c r="AE32">
        <v>101.94009060414299</v>
      </c>
    </row>
    <row r="33" spans="1:31" x14ac:dyDescent="0.3">
      <c r="A33" t="s">
        <v>263</v>
      </c>
      <c r="B33" t="s">
        <v>184</v>
      </c>
      <c r="C33" t="s">
        <v>0</v>
      </c>
      <c r="D33" t="s">
        <v>185</v>
      </c>
      <c r="E33" t="s">
        <v>123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263</v>
      </c>
      <c r="B34" t="s">
        <v>186</v>
      </c>
      <c r="C34" t="s">
        <v>0</v>
      </c>
      <c r="D34" t="s">
        <v>187</v>
      </c>
      <c r="E34" t="s">
        <v>123</v>
      </c>
      <c r="F34">
        <v>80.524592028833595</v>
      </c>
      <c r="G34">
        <v>82.275126638155996</v>
      </c>
      <c r="H34">
        <v>84.768312293857704</v>
      </c>
      <c r="I34">
        <v>84.768312293857704</v>
      </c>
      <c r="J34">
        <v>84.768312293857704</v>
      </c>
      <c r="K34">
        <v>84.768312293857704</v>
      </c>
      <c r="L34">
        <v>84.768312293857704</v>
      </c>
      <c r="M34">
        <v>84.768312293857704</v>
      </c>
      <c r="N34">
        <v>84.768312293857704</v>
      </c>
      <c r="O34">
        <v>84.768312293857704</v>
      </c>
      <c r="P34">
        <v>85.913830027558504</v>
      </c>
      <c r="Q34">
        <v>86.857938049839305</v>
      </c>
      <c r="R34">
        <v>87.844960073132995</v>
      </c>
      <c r="S34">
        <v>90.561814508384501</v>
      </c>
      <c r="T34">
        <v>91.708166590769096</v>
      </c>
      <c r="U34">
        <v>91.708166590769096</v>
      </c>
      <c r="V34">
        <v>93.866005804669598</v>
      </c>
      <c r="W34">
        <v>95.801387367652396</v>
      </c>
      <c r="X34">
        <v>96.969696969696997</v>
      </c>
      <c r="Y34">
        <v>96.969696969696997</v>
      </c>
      <c r="Z34">
        <v>100</v>
      </c>
      <c r="AA34">
        <v>100</v>
      </c>
      <c r="AB34">
        <v>100.847457627119</v>
      </c>
      <c r="AC34">
        <v>101.473839351511</v>
      </c>
      <c r="AD34">
        <v>101.473839351511</v>
      </c>
      <c r="AE34">
        <v>102.17365893324499</v>
      </c>
    </row>
    <row r="35" spans="1:31" x14ac:dyDescent="0.3">
      <c r="A35" t="s">
        <v>263</v>
      </c>
      <c r="B35" t="s">
        <v>188</v>
      </c>
      <c r="C35" t="s">
        <v>0</v>
      </c>
      <c r="D35" t="s">
        <v>189</v>
      </c>
      <c r="E35" t="s">
        <v>123</v>
      </c>
      <c r="F35">
        <v>78.437190445438205</v>
      </c>
      <c r="G35">
        <v>80.534441526866999</v>
      </c>
      <c r="H35">
        <v>82.711048054620207</v>
      </c>
      <c r="I35">
        <v>83.3674849439426</v>
      </c>
      <c r="J35">
        <v>83.714849464542397</v>
      </c>
      <c r="K35">
        <v>85.162368475456603</v>
      </c>
      <c r="L35">
        <v>85.579831066022606</v>
      </c>
      <c r="M35">
        <v>85.579831066022606</v>
      </c>
      <c r="N35">
        <v>85.579831066022606</v>
      </c>
      <c r="O35">
        <v>85.987354071098906</v>
      </c>
      <c r="P35">
        <v>86.860322132734396</v>
      </c>
      <c r="Q35">
        <v>87.900565511569596</v>
      </c>
      <c r="R35">
        <v>89.470218467133293</v>
      </c>
      <c r="S35">
        <v>91.570458337253797</v>
      </c>
      <c r="T35">
        <v>92.514483680936905</v>
      </c>
      <c r="U35">
        <v>92.922036472482802</v>
      </c>
      <c r="V35">
        <v>95.0419308406764</v>
      </c>
      <c r="W35">
        <v>96.829553364325506</v>
      </c>
      <c r="X35">
        <v>97.8707313574902</v>
      </c>
      <c r="Y35">
        <v>98.233215547703196</v>
      </c>
      <c r="Z35">
        <v>100</v>
      </c>
      <c r="AA35">
        <v>100</v>
      </c>
      <c r="AB35">
        <v>100.71942446043199</v>
      </c>
      <c r="AC35">
        <v>101.362999057623</v>
      </c>
      <c r="AD35">
        <v>101.020556493239</v>
      </c>
      <c r="AE35">
        <v>102.615617911553</v>
      </c>
    </row>
    <row r="36" spans="1:31" x14ac:dyDescent="0.3">
      <c r="A36" t="s">
        <v>263</v>
      </c>
      <c r="B36" t="s">
        <v>190</v>
      </c>
      <c r="C36" t="s">
        <v>0</v>
      </c>
      <c r="D36" t="s">
        <v>191</v>
      </c>
      <c r="E36" t="s">
        <v>123</v>
      </c>
      <c r="F36">
        <v>93.210361067503896</v>
      </c>
      <c r="G36">
        <v>93.210361067503896</v>
      </c>
      <c r="H36">
        <v>95.695970695970701</v>
      </c>
      <c r="I36">
        <v>95.695970695970701</v>
      </c>
      <c r="J36">
        <v>95.695970695970701</v>
      </c>
      <c r="K36">
        <v>95.695970695970701</v>
      </c>
      <c r="L36">
        <v>95.695970695970701</v>
      </c>
      <c r="M36">
        <v>95.695970695970701</v>
      </c>
      <c r="N36">
        <v>95.695970695970701</v>
      </c>
      <c r="O36">
        <v>95.695970695970701</v>
      </c>
      <c r="P36">
        <v>95.695970695970701</v>
      </c>
      <c r="Q36">
        <v>95.695970695970701</v>
      </c>
      <c r="R36">
        <v>95.695970695970701</v>
      </c>
      <c r="S36">
        <v>95.695970695970701</v>
      </c>
      <c r="T36">
        <v>95.695970695970701</v>
      </c>
      <c r="U36">
        <v>95.695970695970701</v>
      </c>
      <c r="V36">
        <v>98.214285714285694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113.333333333333</v>
      </c>
    </row>
    <row r="37" spans="1:31" x14ac:dyDescent="0.3">
      <c r="A37" t="s">
        <v>263</v>
      </c>
      <c r="B37" t="s">
        <v>192</v>
      </c>
      <c r="C37" t="s">
        <v>0</v>
      </c>
      <c r="D37" t="s">
        <v>193</v>
      </c>
      <c r="E37" t="s">
        <v>123</v>
      </c>
      <c r="F37">
        <v>74.844887384088196</v>
      </c>
      <c r="G37">
        <v>77.360681918007103</v>
      </c>
      <c r="H37">
        <v>79.555311192276903</v>
      </c>
      <c r="I37">
        <v>80.162603644126307</v>
      </c>
      <c r="J37">
        <v>80.700607695429198</v>
      </c>
      <c r="K37">
        <v>82.314619849337703</v>
      </c>
      <c r="L37">
        <v>82.699267605643001</v>
      </c>
      <c r="M37">
        <v>82.699267605643001</v>
      </c>
      <c r="N37">
        <v>82.699267605643001</v>
      </c>
      <c r="O37">
        <v>83.400108856538296</v>
      </c>
      <c r="P37">
        <v>84.369877564172498</v>
      </c>
      <c r="Q37">
        <v>85.465590259811094</v>
      </c>
      <c r="R37">
        <v>87.629276089173402</v>
      </c>
      <c r="S37">
        <v>90.1329696917212</v>
      </c>
      <c r="T37">
        <v>91.411451531320097</v>
      </c>
      <c r="U37">
        <v>92.088573394515095</v>
      </c>
      <c r="V37">
        <v>94.255363356738997</v>
      </c>
      <c r="W37">
        <v>96.000833048530396</v>
      </c>
      <c r="X37">
        <v>97.280844155844207</v>
      </c>
      <c r="Y37">
        <v>97.9166666666667</v>
      </c>
      <c r="Z37">
        <v>100</v>
      </c>
      <c r="AA37">
        <v>100</v>
      </c>
      <c r="AB37">
        <v>101.123595505618</v>
      </c>
      <c r="AC37">
        <v>101.673180263801</v>
      </c>
      <c r="AD37">
        <v>101.14909170574001</v>
      </c>
      <c r="AE37">
        <v>102.277148490562</v>
      </c>
    </row>
    <row r="38" spans="1:31" x14ac:dyDescent="0.3">
      <c r="A38" t="s">
        <v>263</v>
      </c>
      <c r="B38" t="s">
        <v>194</v>
      </c>
      <c r="C38" t="s">
        <v>0</v>
      </c>
      <c r="D38" t="s">
        <v>195</v>
      </c>
      <c r="E38" t="s">
        <v>123</v>
      </c>
      <c r="F38">
        <v>78.3818146502243</v>
      </c>
      <c r="G38">
        <v>81.517087236233294</v>
      </c>
      <c r="H38">
        <v>83.4128334510294</v>
      </c>
      <c r="I38">
        <v>84.826610289182497</v>
      </c>
      <c r="J38">
        <v>84.826610289182497</v>
      </c>
      <c r="K38">
        <v>86.711646073386504</v>
      </c>
      <c r="L38">
        <v>87.339991334787896</v>
      </c>
      <c r="M38">
        <v>87.339991334787896</v>
      </c>
      <c r="N38">
        <v>87.339991334787896</v>
      </c>
      <c r="O38">
        <v>87.339991334787896</v>
      </c>
      <c r="P38">
        <v>88.553046769993301</v>
      </c>
      <c r="Q38">
        <v>89.958650686977293</v>
      </c>
      <c r="R38">
        <v>91.342629928315404</v>
      </c>
      <c r="S38">
        <v>93.206765232974902</v>
      </c>
      <c r="T38">
        <v>93.206765232974902</v>
      </c>
      <c r="U38">
        <v>93.206765232974902</v>
      </c>
      <c r="V38">
        <v>94.901433691756296</v>
      </c>
      <c r="W38">
        <v>96.7622461170848</v>
      </c>
      <c r="X38">
        <v>97.849462365591407</v>
      </c>
      <c r="Y38">
        <v>97.849462365591407</v>
      </c>
      <c r="Z38">
        <v>100</v>
      </c>
      <c r="AA38">
        <v>100</v>
      </c>
      <c r="AB38">
        <v>100</v>
      </c>
      <c r="AC38">
        <v>101.030927835052</v>
      </c>
      <c r="AD38">
        <v>101.030927835052</v>
      </c>
      <c r="AE38">
        <v>102.083333333333</v>
      </c>
    </row>
    <row r="39" spans="1:31" x14ac:dyDescent="0.3">
      <c r="A39" t="s">
        <v>263</v>
      </c>
      <c r="B39" t="s">
        <v>196</v>
      </c>
      <c r="C39" t="s">
        <v>0</v>
      </c>
      <c r="D39" t="s">
        <v>197</v>
      </c>
      <c r="E39" t="s">
        <v>123</v>
      </c>
      <c r="F39">
        <v>95.491253385990206</v>
      </c>
      <c r="G39">
        <v>95.491253385990305</v>
      </c>
      <c r="H39">
        <v>95.491253385990305</v>
      </c>
      <c r="I39">
        <v>95.491253385990305</v>
      </c>
      <c r="J39">
        <v>95.491253385990305</v>
      </c>
      <c r="K39">
        <v>95.491253385990305</v>
      </c>
      <c r="L39">
        <v>95.491253385990305</v>
      </c>
      <c r="M39">
        <v>94.660894660894698</v>
      </c>
      <c r="N39">
        <v>94.660894660894698</v>
      </c>
      <c r="O39">
        <v>94.660894660894698</v>
      </c>
      <c r="P39">
        <v>94.660894660894698</v>
      </c>
      <c r="Q39">
        <v>94.660894660894698</v>
      </c>
      <c r="R39">
        <v>94.660894660894698</v>
      </c>
      <c r="S39">
        <v>96.969696969696997</v>
      </c>
      <c r="T39">
        <v>96.969696969696997</v>
      </c>
      <c r="U39">
        <v>96.969696969696997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</row>
    <row r="40" spans="1:31" x14ac:dyDescent="0.3">
      <c r="A40" t="s">
        <v>263</v>
      </c>
      <c r="B40" t="s">
        <v>198</v>
      </c>
      <c r="C40" t="s">
        <v>0</v>
      </c>
      <c r="D40" t="s">
        <v>199</v>
      </c>
      <c r="E40" t="s">
        <v>123</v>
      </c>
      <c r="F40">
        <v>88.093661340981399</v>
      </c>
      <c r="G40">
        <v>88.093661340981399</v>
      </c>
      <c r="H40">
        <v>88.093661340981399</v>
      </c>
      <c r="I40">
        <v>88.093661340981399</v>
      </c>
      <c r="J40">
        <v>88.093661340981399</v>
      </c>
      <c r="K40">
        <v>88.093661340981399</v>
      </c>
      <c r="L40">
        <v>88.093661340981399</v>
      </c>
      <c r="M40">
        <v>88.093661340981399</v>
      </c>
      <c r="N40">
        <v>88.093661340981399</v>
      </c>
      <c r="O40">
        <v>88.093661340981399</v>
      </c>
      <c r="P40">
        <v>88.873251264352902</v>
      </c>
      <c r="Q40">
        <v>89.659740213594901</v>
      </c>
      <c r="R40">
        <v>90.714560686696103</v>
      </c>
      <c r="S40">
        <v>93.055581607643106</v>
      </c>
      <c r="T40">
        <v>93.671843737494996</v>
      </c>
      <c r="U40">
        <v>93.671843737494996</v>
      </c>
      <c r="V40">
        <v>96.136892256902797</v>
      </c>
      <c r="W40">
        <v>97.295168067226896</v>
      </c>
      <c r="X40">
        <v>98.3193277310924</v>
      </c>
      <c r="Y40">
        <v>98.3193277310924</v>
      </c>
      <c r="Z40">
        <v>100</v>
      </c>
      <c r="AA40">
        <v>100</v>
      </c>
      <c r="AB40">
        <v>100</v>
      </c>
      <c r="AC40">
        <v>100</v>
      </c>
      <c r="AD40">
        <v>99.613899613899605</v>
      </c>
      <c r="AE40">
        <v>100.869537003991</v>
      </c>
    </row>
    <row r="41" spans="1:31" x14ac:dyDescent="0.3">
      <c r="A41" t="s">
        <v>263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263</v>
      </c>
      <c r="B42" t="s">
        <v>202</v>
      </c>
      <c r="C42" t="s">
        <v>0</v>
      </c>
      <c r="D42" t="s">
        <v>203</v>
      </c>
      <c r="E42" t="s">
        <v>123</v>
      </c>
      <c r="F42">
        <v>86.6202048108578</v>
      </c>
      <c r="G42">
        <v>88.166994182480295</v>
      </c>
      <c r="H42">
        <v>89.482919468785994</v>
      </c>
      <c r="I42">
        <v>89.482919468785994</v>
      </c>
      <c r="J42">
        <v>89.482919468785994</v>
      </c>
      <c r="K42">
        <v>89.482919468785994</v>
      </c>
      <c r="L42">
        <v>89.482919468785994</v>
      </c>
      <c r="M42">
        <v>89.482919468785994</v>
      </c>
      <c r="N42">
        <v>89.482919468785994</v>
      </c>
      <c r="O42">
        <v>89.482919468785994</v>
      </c>
      <c r="P42">
        <v>90.067775151588506</v>
      </c>
      <c r="Q42">
        <v>90.067775151588506</v>
      </c>
      <c r="R42">
        <v>91.354457653753997</v>
      </c>
      <c r="S42">
        <v>94.320511473681094</v>
      </c>
      <c r="T42">
        <v>94.320511473681094</v>
      </c>
      <c r="U42">
        <v>94.320511473681094</v>
      </c>
      <c r="V42">
        <v>95.866749366692304</v>
      </c>
      <c r="W42">
        <v>97.2494428671734</v>
      </c>
      <c r="X42">
        <v>98.907103825136602</v>
      </c>
      <c r="Y42">
        <v>98.907103825136602</v>
      </c>
      <c r="Z42">
        <v>100</v>
      </c>
      <c r="AA42">
        <v>100</v>
      </c>
      <c r="AB42">
        <v>100</v>
      </c>
      <c r="AC42">
        <v>100</v>
      </c>
      <c r="AD42">
        <v>99.272727272727295</v>
      </c>
      <c r="AE42">
        <v>101.914967162115</v>
      </c>
    </row>
    <row r="43" spans="1:31" x14ac:dyDescent="0.3">
      <c r="A43" t="s">
        <v>263</v>
      </c>
      <c r="B43" t="s">
        <v>204</v>
      </c>
      <c r="C43" t="s">
        <v>0</v>
      </c>
      <c r="D43" t="s">
        <v>205</v>
      </c>
      <c r="E43" t="s">
        <v>123</v>
      </c>
      <c r="F43">
        <v>106.53149051261499</v>
      </c>
      <c r="G43">
        <v>108.989909524444</v>
      </c>
      <c r="H43">
        <v>111.19618299659901</v>
      </c>
      <c r="I43">
        <v>111.586345042201</v>
      </c>
      <c r="J43">
        <v>111.586345042201</v>
      </c>
      <c r="K43">
        <v>103.194057253512</v>
      </c>
      <c r="L43">
        <v>94.235087652724701</v>
      </c>
      <c r="M43">
        <v>88.450836748209596</v>
      </c>
      <c r="N43">
        <v>88.450836748209596</v>
      </c>
      <c r="O43">
        <v>88.450836748209596</v>
      </c>
      <c r="P43">
        <v>89.194121090631498</v>
      </c>
      <c r="Q43">
        <v>89.475490557794402</v>
      </c>
      <c r="R43">
        <v>90.753711851477206</v>
      </c>
      <c r="S43">
        <v>93.1738108341833</v>
      </c>
      <c r="T43">
        <v>93.8208511871984</v>
      </c>
      <c r="U43">
        <v>93.8208511871984</v>
      </c>
      <c r="V43">
        <v>95.458621656800403</v>
      </c>
      <c r="W43">
        <v>96.973837873574993</v>
      </c>
      <c r="X43">
        <v>98.186010846994705</v>
      </c>
      <c r="Y43">
        <v>98.391420911528101</v>
      </c>
      <c r="Z43">
        <v>100</v>
      </c>
      <c r="AA43">
        <v>99.771167048054906</v>
      </c>
      <c r="AB43">
        <v>99.991899718515199</v>
      </c>
      <c r="AC43">
        <v>100.345853345837</v>
      </c>
      <c r="AD43">
        <v>100.033735606037</v>
      </c>
      <c r="AE43">
        <v>101.895615625777</v>
      </c>
    </row>
    <row r="44" spans="1:31" x14ac:dyDescent="0.3">
      <c r="A44" t="s">
        <v>263</v>
      </c>
      <c r="B44" t="s">
        <v>206</v>
      </c>
      <c r="C44" t="s">
        <v>0</v>
      </c>
      <c r="D44" t="s">
        <v>207</v>
      </c>
      <c r="E44" t="s">
        <v>123</v>
      </c>
      <c r="F44">
        <v>83.934167910026503</v>
      </c>
      <c r="G44">
        <v>85.607671376544999</v>
      </c>
      <c r="H44">
        <v>87.403256009231001</v>
      </c>
      <c r="I44">
        <v>87.492552347613895</v>
      </c>
      <c r="J44">
        <v>87.064239897314096</v>
      </c>
      <c r="K44">
        <v>87.207408226024995</v>
      </c>
      <c r="L44">
        <v>86.9905514382516</v>
      </c>
      <c r="M44">
        <v>86.473841897231097</v>
      </c>
      <c r="N44">
        <v>86.315141942688896</v>
      </c>
      <c r="O44">
        <v>86.620614685684401</v>
      </c>
      <c r="P44">
        <v>87.443613400037705</v>
      </c>
      <c r="Q44">
        <v>87.684781720148194</v>
      </c>
      <c r="R44">
        <v>89.233694747930599</v>
      </c>
      <c r="S44">
        <v>91.755412467510894</v>
      </c>
      <c r="T44">
        <v>92.654424469641995</v>
      </c>
      <c r="U44">
        <v>92.884850792620497</v>
      </c>
      <c r="V44">
        <v>94.988720190336494</v>
      </c>
      <c r="W44">
        <v>96.705170611063494</v>
      </c>
      <c r="X44">
        <v>97.817621615065605</v>
      </c>
      <c r="Y44">
        <v>98.093371347113305</v>
      </c>
      <c r="Z44">
        <v>100</v>
      </c>
      <c r="AA44">
        <v>99.742580254391299</v>
      </c>
      <c r="AB44">
        <v>100.311253146322</v>
      </c>
      <c r="AC44">
        <v>101.266055527456</v>
      </c>
      <c r="AD44">
        <v>102.278569341598</v>
      </c>
      <c r="AE44">
        <v>102.950232434941</v>
      </c>
    </row>
    <row r="45" spans="1:31" x14ac:dyDescent="0.3">
      <c r="A45" t="s">
        <v>263</v>
      </c>
      <c r="B45" t="s">
        <v>208</v>
      </c>
      <c r="C45" t="s">
        <v>0</v>
      </c>
      <c r="D45" t="s">
        <v>209</v>
      </c>
      <c r="E45" t="s">
        <v>123</v>
      </c>
      <c r="F45">
        <v>80.936293545624295</v>
      </c>
      <c r="G45">
        <v>82.850740348162901</v>
      </c>
      <c r="H45">
        <v>85.019114299013793</v>
      </c>
      <c r="I45">
        <v>85.6535853012453</v>
      </c>
      <c r="J45">
        <v>85.839878744384805</v>
      </c>
      <c r="K45">
        <v>86.312045294133895</v>
      </c>
      <c r="L45">
        <v>86.116916329640702</v>
      </c>
      <c r="M45">
        <v>85.691822542739999</v>
      </c>
      <c r="N45">
        <v>85.691822542739999</v>
      </c>
      <c r="O45">
        <v>86.228686973128205</v>
      </c>
      <c r="P45">
        <v>87.175590778674305</v>
      </c>
      <c r="Q45">
        <v>87.615649288410097</v>
      </c>
      <c r="R45">
        <v>89.318301582274003</v>
      </c>
      <c r="S45">
        <v>91.814563456510598</v>
      </c>
      <c r="T45">
        <v>92.7069515263331</v>
      </c>
      <c r="U45">
        <v>92.933865468061995</v>
      </c>
      <c r="V45">
        <v>95.032855745976207</v>
      </c>
      <c r="W45">
        <v>96.7251174829494</v>
      </c>
      <c r="X45">
        <v>97.803836265287103</v>
      </c>
      <c r="Y45">
        <v>98.041080258653494</v>
      </c>
      <c r="Z45">
        <v>100</v>
      </c>
      <c r="AA45">
        <v>99.745627980922094</v>
      </c>
      <c r="AB45">
        <v>100.286217126455</v>
      </c>
      <c r="AC45">
        <v>101.228585338313</v>
      </c>
      <c r="AD45">
        <v>102.137167503219</v>
      </c>
      <c r="AE45">
        <v>102.812380157494</v>
      </c>
    </row>
    <row r="46" spans="1:31" x14ac:dyDescent="0.3">
      <c r="A46" t="s">
        <v>263</v>
      </c>
      <c r="B46" t="s">
        <v>210</v>
      </c>
      <c r="C46" t="s">
        <v>0</v>
      </c>
      <c r="D46" t="s">
        <v>211</v>
      </c>
      <c r="E46" t="s">
        <v>123</v>
      </c>
      <c r="F46">
        <v>129.688412078417</v>
      </c>
      <c r="G46">
        <v>133.19350429675299</v>
      </c>
      <c r="H46">
        <v>136.72961503029501</v>
      </c>
      <c r="I46">
        <v>137.72040934210801</v>
      </c>
      <c r="J46">
        <v>137.72040934210801</v>
      </c>
      <c r="K46">
        <v>119.40291647394599</v>
      </c>
      <c r="L46">
        <v>98.737027084224707</v>
      </c>
      <c r="M46">
        <v>87.611728257833207</v>
      </c>
      <c r="N46">
        <v>87.611728257833207</v>
      </c>
      <c r="O46">
        <v>87.611728257833207</v>
      </c>
      <c r="P46">
        <v>88.470666770164897</v>
      </c>
      <c r="Q46">
        <v>88.9314514929262</v>
      </c>
      <c r="R46">
        <v>90.201900799968001</v>
      </c>
      <c r="S46">
        <v>92.335053859426694</v>
      </c>
      <c r="T46">
        <v>93.338695749203097</v>
      </c>
      <c r="U46">
        <v>93.338695749203097</v>
      </c>
      <c r="V46">
        <v>95.051332368454496</v>
      </c>
      <c r="W46">
        <v>96.683114898385</v>
      </c>
      <c r="X46">
        <v>97.546356995692094</v>
      </c>
      <c r="Y46">
        <v>97.894736842105303</v>
      </c>
      <c r="Z46">
        <v>100</v>
      </c>
      <c r="AA46">
        <v>99.607843137254903</v>
      </c>
      <c r="AB46">
        <v>100</v>
      </c>
      <c r="AC46">
        <v>100.60790273556201</v>
      </c>
      <c r="AD46">
        <v>100.60790273556201</v>
      </c>
      <c r="AE46">
        <v>101.83482837867901</v>
      </c>
    </row>
    <row r="47" spans="1:31" x14ac:dyDescent="0.3">
      <c r="A47" t="s">
        <v>263</v>
      </c>
      <c r="B47" t="s">
        <v>212</v>
      </c>
      <c r="C47" t="s">
        <v>0</v>
      </c>
      <c r="D47" t="s">
        <v>213</v>
      </c>
      <c r="E47" t="s">
        <v>123</v>
      </c>
      <c r="F47">
        <v>84.661920696877601</v>
      </c>
      <c r="G47">
        <v>87.718787535226397</v>
      </c>
      <c r="H47">
        <v>90.5927649046141</v>
      </c>
      <c r="I47">
        <v>91.952702484013599</v>
      </c>
      <c r="J47">
        <v>92.561660778609806</v>
      </c>
      <c r="K47">
        <v>94.399764680596306</v>
      </c>
      <c r="L47">
        <v>90.589131977893402</v>
      </c>
      <c r="M47">
        <v>85.539901670928799</v>
      </c>
      <c r="N47">
        <v>82.170147968740693</v>
      </c>
      <c r="O47">
        <v>83.633117962249401</v>
      </c>
      <c r="P47">
        <v>83.633117962249401</v>
      </c>
      <c r="Q47">
        <v>83.323365673500405</v>
      </c>
      <c r="R47">
        <v>87.150940775109902</v>
      </c>
      <c r="S47">
        <v>87.853770942651096</v>
      </c>
      <c r="T47">
        <v>88.273454561803902</v>
      </c>
      <c r="U47">
        <v>88.607191630090497</v>
      </c>
      <c r="V47">
        <v>91.151654903251895</v>
      </c>
      <c r="W47">
        <v>92.612778841281795</v>
      </c>
      <c r="X47">
        <v>93.767551644789094</v>
      </c>
      <c r="Y47">
        <v>95.446584938704007</v>
      </c>
      <c r="Z47">
        <v>100</v>
      </c>
      <c r="AA47">
        <v>100.15923566879</v>
      </c>
      <c r="AB47">
        <v>100.15923566879</v>
      </c>
      <c r="AC47">
        <v>100.15923566879</v>
      </c>
      <c r="AD47">
        <v>101.560064139682</v>
      </c>
      <c r="AE47">
        <v>101.23688175578501</v>
      </c>
    </row>
    <row r="48" spans="1:31" x14ac:dyDescent="0.3">
      <c r="A48" t="s">
        <v>263</v>
      </c>
      <c r="B48" t="s">
        <v>214</v>
      </c>
      <c r="C48" t="s">
        <v>0</v>
      </c>
      <c r="D48" t="s">
        <v>215</v>
      </c>
      <c r="E48" t="s">
        <v>123</v>
      </c>
      <c r="F48">
        <v>84.021186779989307</v>
      </c>
      <c r="G48">
        <v>86.591246610906595</v>
      </c>
      <c r="H48">
        <v>89.140726006390693</v>
      </c>
      <c r="I48">
        <v>90.180967871815398</v>
      </c>
      <c r="J48">
        <v>90.628294101338298</v>
      </c>
      <c r="K48">
        <v>92.159786148776405</v>
      </c>
      <c r="L48">
        <v>89.858406698977205</v>
      </c>
      <c r="M48">
        <v>86.600700111703105</v>
      </c>
      <c r="N48">
        <v>84.373580227524798</v>
      </c>
      <c r="O48">
        <v>85.390129386892596</v>
      </c>
      <c r="P48">
        <v>85.623223461652103</v>
      </c>
      <c r="Q48">
        <v>85.527980721427795</v>
      </c>
      <c r="R48">
        <v>88.527367930574499</v>
      </c>
      <c r="S48">
        <v>89.828045512658207</v>
      </c>
      <c r="T48">
        <v>90.458101944109799</v>
      </c>
      <c r="U48">
        <v>90.764393485681197</v>
      </c>
      <c r="V48">
        <v>93.107863426721707</v>
      </c>
      <c r="W48">
        <v>94.285512292198007</v>
      </c>
      <c r="X48">
        <v>95.580224496533503</v>
      </c>
      <c r="Y48">
        <v>96.826923076923094</v>
      </c>
      <c r="Z48">
        <v>100</v>
      </c>
      <c r="AA48">
        <v>99.818346957311505</v>
      </c>
      <c r="AB48">
        <v>99.818346957311505</v>
      </c>
      <c r="AC48">
        <v>99.959333323070396</v>
      </c>
      <c r="AD48">
        <v>100.796082410772</v>
      </c>
      <c r="AE48">
        <v>100.29654235477101</v>
      </c>
    </row>
    <row r="49" spans="1:31" x14ac:dyDescent="0.3">
      <c r="A49" t="s">
        <v>263</v>
      </c>
      <c r="B49" t="s">
        <v>216</v>
      </c>
      <c r="C49" t="s">
        <v>0</v>
      </c>
      <c r="D49" t="s">
        <v>217</v>
      </c>
      <c r="E49" t="s">
        <v>123</v>
      </c>
      <c r="F49">
        <v>83.014079503372102</v>
      </c>
      <c r="G49">
        <v>84.331763305012899</v>
      </c>
      <c r="H49">
        <v>86.076558407875197</v>
      </c>
      <c r="I49">
        <v>86.076558407875197</v>
      </c>
      <c r="J49">
        <v>86.076558407875197</v>
      </c>
      <c r="K49">
        <v>87.126272534800506</v>
      </c>
      <c r="L49">
        <v>87.126272534800506</v>
      </c>
      <c r="M49">
        <v>86.707396224537106</v>
      </c>
      <c r="N49">
        <v>86.707396224537106</v>
      </c>
      <c r="O49">
        <v>86.707396224537106</v>
      </c>
      <c r="P49">
        <v>87.887088690176995</v>
      </c>
      <c r="Q49">
        <v>87.887088690176995</v>
      </c>
      <c r="R49">
        <v>89.825774470107405</v>
      </c>
      <c r="S49">
        <v>91.998978691158399</v>
      </c>
      <c r="T49">
        <v>93.193770622212398</v>
      </c>
      <c r="U49">
        <v>93.193770622212398</v>
      </c>
      <c r="V49">
        <v>94.857945097609004</v>
      </c>
      <c r="W49">
        <v>95.450807254469098</v>
      </c>
      <c r="X49">
        <v>97.385620915032703</v>
      </c>
      <c r="Y49">
        <v>98.039215686274503</v>
      </c>
      <c r="Z49">
        <v>100</v>
      </c>
      <c r="AA49">
        <v>99.393939393939405</v>
      </c>
      <c r="AB49">
        <v>99.393939393939405</v>
      </c>
      <c r="AC49">
        <v>99.393939393939405</v>
      </c>
      <c r="AD49">
        <v>98.911444542512498</v>
      </c>
      <c r="AE49">
        <v>97.902144087997101</v>
      </c>
    </row>
    <row r="50" spans="1:31" x14ac:dyDescent="0.3">
      <c r="A50" t="s">
        <v>263</v>
      </c>
      <c r="B50" t="s">
        <v>218</v>
      </c>
      <c r="C50" t="s">
        <v>0</v>
      </c>
      <c r="D50" t="s">
        <v>219</v>
      </c>
      <c r="E50" t="s">
        <v>123</v>
      </c>
      <c r="F50">
        <v>84.840934175949798</v>
      </c>
      <c r="G50">
        <v>85.816117327397507</v>
      </c>
      <c r="H50">
        <v>87.466427276001298</v>
      </c>
      <c r="I50">
        <v>87.466427276001298</v>
      </c>
      <c r="J50">
        <v>87.466427276001298</v>
      </c>
      <c r="K50">
        <v>88.104868351008605</v>
      </c>
      <c r="L50">
        <v>88.104868351008605</v>
      </c>
      <c r="M50">
        <v>87.601411960431406</v>
      </c>
      <c r="N50">
        <v>87.601411960431406</v>
      </c>
      <c r="O50">
        <v>87.601411960431406</v>
      </c>
      <c r="P50">
        <v>88.088086471322697</v>
      </c>
      <c r="Q50">
        <v>88.488486864374195</v>
      </c>
      <c r="R50">
        <v>89.969465724029007</v>
      </c>
      <c r="S50">
        <v>92.819177308047998</v>
      </c>
      <c r="T50">
        <v>93.678614134974396</v>
      </c>
      <c r="U50">
        <v>94.087691052594295</v>
      </c>
      <c r="V50">
        <v>96.373222009337496</v>
      </c>
      <c r="W50">
        <v>97.028822159060894</v>
      </c>
      <c r="X50">
        <v>98.376444689047901</v>
      </c>
      <c r="Y50">
        <v>98.734177215189902</v>
      </c>
      <c r="Z50">
        <v>100</v>
      </c>
      <c r="AA50">
        <v>99.350649350649405</v>
      </c>
      <c r="AB50">
        <v>99.350649350649306</v>
      </c>
      <c r="AC50">
        <v>99.945563418617297</v>
      </c>
      <c r="AD50">
        <v>99.945563418617297</v>
      </c>
      <c r="AE50">
        <v>99.119567026727907</v>
      </c>
    </row>
    <row r="51" spans="1:31" x14ac:dyDescent="0.3">
      <c r="A51" t="s">
        <v>263</v>
      </c>
      <c r="B51" t="s">
        <v>220</v>
      </c>
      <c r="C51" t="s">
        <v>0</v>
      </c>
      <c r="D51" t="s">
        <v>221</v>
      </c>
      <c r="E51" t="s">
        <v>123</v>
      </c>
      <c r="F51">
        <v>83.070920793083204</v>
      </c>
      <c r="G51">
        <v>84.240933761999898</v>
      </c>
      <c r="H51">
        <v>86.133988453280793</v>
      </c>
      <c r="I51">
        <v>86.133988453280793</v>
      </c>
      <c r="J51">
        <v>86.133988453280793</v>
      </c>
      <c r="K51">
        <v>86.8578034823</v>
      </c>
      <c r="L51">
        <v>86.8578034823</v>
      </c>
      <c r="M51">
        <v>86.282586240695295</v>
      </c>
      <c r="N51">
        <v>86.282586240695295</v>
      </c>
      <c r="O51">
        <v>86.282586240695295</v>
      </c>
      <c r="P51">
        <v>86.835679742238199</v>
      </c>
      <c r="Q51">
        <v>87.300041665993504</v>
      </c>
      <c r="R51">
        <v>89.020239531333303</v>
      </c>
      <c r="S51">
        <v>91.8918601613763</v>
      </c>
      <c r="T51">
        <v>92.930186264894701</v>
      </c>
      <c r="U51">
        <v>93.414197651690998</v>
      </c>
      <c r="V51">
        <v>95.6597312490874</v>
      </c>
      <c r="W51">
        <v>96.431180694644596</v>
      </c>
      <c r="X51">
        <v>98.031698216547397</v>
      </c>
      <c r="Y51">
        <v>98.473282442748101</v>
      </c>
      <c r="Z51">
        <v>100</v>
      </c>
      <c r="AA51">
        <v>99.183673469387799</v>
      </c>
      <c r="AB51">
        <v>99.183673469387799</v>
      </c>
      <c r="AC51">
        <v>99.894667544437098</v>
      </c>
      <c r="AD51">
        <v>99.894667544437098</v>
      </c>
      <c r="AE51">
        <v>98.899039628711805</v>
      </c>
    </row>
    <row r="52" spans="1:31" x14ac:dyDescent="0.3">
      <c r="A52" t="s">
        <v>263</v>
      </c>
      <c r="B52" t="s">
        <v>222</v>
      </c>
      <c r="C52" t="s">
        <v>0</v>
      </c>
      <c r="D52" t="s">
        <v>223</v>
      </c>
      <c r="E52" t="s">
        <v>123</v>
      </c>
      <c r="F52">
        <v>94.7916666666666</v>
      </c>
      <c r="G52">
        <v>94.7916666666666</v>
      </c>
      <c r="H52">
        <v>94.7916666666666</v>
      </c>
      <c r="I52">
        <v>94.7916666666666</v>
      </c>
      <c r="J52">
        <v>94.7916666666666</v>
      </c>
      <c r="K52">
        <v>94.7916666666666</v>
      </c>
      <c r="L52">
        <v>94.7916666666666</v>
      </c>
      <c r="M52">
        <v>94.7916666666666</v>
      </c>
      <c r="N52">
        <v>94.7916666666666</v>
      </c>
      <c r="O52">
        <v>94.7916666666666</v>
      </c>
      <c r="P52">
        <v>94.7916666666666</v>
      </c>
      <c r="Q52">
        <v>94.7916666666666</v>
      </c>
      <c r="R52">
        <v>94.7916666666666</v>
      </c>
      <c r="S52">
        <v>97.5</v>
      </c>
      <c r="T52">
        <v>97.5</v>
      </c>
      <c r="U52">
        <v>97.5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263</v>
      </c>
      <c r="B53" t="s">
        <v>224</v>
      </c>
      <c r="C53" t="s">
        <v>0</v>
      </c>
      <c r="D53" t="s">
        <v>225</v>
      </c>
      <c r="E53" t="s">
        <v>123</v>
      </c>
      <c r="F53">
        <v>97.431648715824394</v>
      </c>
      <c r="G53">
        <v>97.431648715824394</v>
      </c>
      <c r="H53">
        <v>98.823529411764696</v>
      </c>
      <c r="I53">
        <v>98.823529411764696</v>
      </c>
      <c r="J53">
        <v>98.823529411764696</v>
      </c>
      <c r="K53">
        <v>98.823529411764696</v>
      </c>
      <c r="L53">
        <v>98.823529411764696</v>
      </c>
      <c r="M53">
        <v>98.823529411764696</v>
      </c>
      <c r="N53">
        <v>98.823529411764696</v>
      </c>
      <c r="O53">
        <v>98.823529411764696</v>
      </c>
      <c r="P53">
        <v>98.823529411764696</v>
      </c>
      <c r="Q53">
        <v>98.823529411764696</v>
      </c>
      <c r="R53">
        <v>98.823529411764696</v>
      </c>
      <c r="S53">
        <v>98.823529411764696</v>
      </c>
      <c r="T53">
        <v>98.823529411764696</v>
      </c>
      <c r="U53">
        <v>98.823529411764696</v>
      </c>
      <c r="V53">
        <v>98.823529411764696</v>
      </c>
      <c r="W53">
        <v>98.823529411764696</v>
      </c>
      <c r="X53">
        <v>98.823529411764696</v>
      </c>
      <c r="Y53">
        <v>98.823529411764696</v>
      </c>
      <c r="Z53">
        <v>100</v>
      </c>
      <c r="AA53">
        <v>100.84033613445401</v>
      </c>
      <c r="AB53">
        <v>100.84033613445401</v>
      </c>
      <c r="AC53">
        <v>100.84033613445401</v>
      </c>
      <c r="AD53">
        <v>100.84033613445401</v>
      </c>
      <c r="AE53">
        <v>101.634354529213</v>
      </c>
    </row>
    <row r="54" spans="1:31" x14ac:dyDescent="0.3">
      <c r="A54" t="s">
        <v>263</v>
      </c>
      <c r="B54" t="s">
        <v>226</v>
      </c>
      <c r="C54" t="s">
        <v>0</v>
      </c>
      <c r="D54" t="s">
        <v>227</v>
      </c>
      <c r="E54" t="s">
        <v>123</v>
      </c>
      <c r="F54">
        <v>95.916308819197397</v>
      </c>
      <c r="G54">
        <v>95.916308819197397</v>
      </c>
      <c r="H54">
        <v>96.6836392897509</v>
      </c>
      <c r="I54">
        <v>96.6836392897509</v>
      </c>
      <c r="J54">
        <v>96.6836392897509</v>
      </c>
      <c r="K54">
        <v>96.6836392897509</v>
      </c>
      <c r="L54">
        <v>96.6836392897509</v>
      </c>
      <c r="M54">
        <v>96.6836392897509</v>
      </c>
      <c r="N54">
        <v>96.683639289751</v>
      </c>
      <c r="O54">
        <v>96.683639289751</v>
      </c>
      <c r="P54">
        <v>96.683639289751</v>
      </c>
      <c r="Q54">
        <v>96.6836392897509</v>
      </c>
      <c r="R54">
        <v>97.384245371560695</v>
      </c>
      <c r="S54">
        <v>98.775448876868793</v>
      </c>
      <c r="T54">
        <v>98.775448876868793</v>
      </c>
      <c r="U54">
        <v>98.775448876868793</v>
      </c>
      <c r="V54">
        <v>99.425287356321803</v>
      </c>
      <c r="W54">
        <v>99.425287356321803</v>
      </c>
      <c r="X54">
        <v>99.425287356321803</v>
      </c>
      <c r="Y54">
        <v>99.425287356321803</v>
      </c>
      <c r="Z54">
        <v>100</v>
      </c>
      <c r="AA54">
        <v>100.490196078431</v>
      </c>
      <c r="AB54">
        <v>100.490196078431</v>
      </c>
      <c r="AC54">
        <v>100.490196078431</v>
      </c>
      <c r="AD54">
        <v>100.490196078431</v>
      </c>
      <c r="AE54">
        <v>101.830065359477</v>
      </c>
    </row>
    <row r="55" spans="1:31" x14ac:dyDescent="0.3">
      <c r="A55" t="s">
        <v>263</v>
      </c>
      <c r="B55" t="s">
        <v>228</v>
      </c>
      <c r="C55" t="s">
        <v>0</v>
      </c>
      <c r="D55" t="s">
        <v>229</v>
      </c>
      <c r="E55" t="s">
        <v>123</v>
      </c>
      <c r="F55">
        <v>95.254617273406595</v>
      </c>
      <c r="G55">
        <v>95.254617273406595</v>
      </c>
      <c r="H55">
        <v>95.254617273406595</v>
      </c>
      <c r="I55">
        <v>95.254617273406595</v>
      </c>
      <c r="J55">
        <v>95.254617273406595</v>
      </c>
      <c r="K55">
        <v>95.254617273406595</v>
      </c>
      <c r="L55">
        <v>95.254617273406595</v>
      </c>
      <c r="M55">
        <v>95.254617273406595</v>
      </c>
      <c r="N55">
        <v>95.254617273406595</v>
      </c>
      <c r="O55">
        <v>95.254617273406595</v>
      </c>
      <c r="P55">
        <v>95.254617273406595</v>
      </c>
      <c r="Q55">
        <v>95.254617273406595</v>
      </c>
      <c r="R55">
        <v>96.524678837052093</v>
      </c>
      <c r="S55">
        <v>98.850574712643706</v>
      </c>
      <c r="T55">
        <v>98.850574712643706</v>
      </c>
      <c r="U55">
        <v>98.850574712643706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102.040816326531</v>
      </c>
    </row>
    <row r="56" spans="1:31" x14ac:dyDescent="0.3">
      <c r="A56" t="s">
        <v>263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263</v>
      </c>
      <c r="B57" t="s">
        <v>232</v>
      </c>
      <c r="C57" t="s">
        <v>0</v>
      </c>
      <c r="D57" t="s">
        <v>233</v>
      </c>
      <c r="E57" t="s">
        <v>123</v>
      </c>
      <c r="F57">
        <v>83.884442570652794</v>
      </c>
      <c r="G57">
        <v>85.696913339219293</v>
      </c>
      <c r="H57">
        <v>87.604961725278301</v>
      </c>
      <c r="I57">
        <v>87.866599241630595</v>
      </c>
      <c r="J57">
        <v>87.596191532161399</v>
      </c>
      <c r="K57">
        <v>87.965795715841395</v>
      </c>
      <c r="L57">
        <v>87.482393388598197</v>
      </c>
      <c r="M57">
        <v>86.548467264150105</v>
      </c>
      <c r="N57">
        <v>86.045027617441605</v>
      </c>
      <c r="O57">
        <v>86.475637228395698</v>
      </c>
      <c r="P57">
        <v>87.186030962258997</v>
      </c>
      <c r="Q57">
        <v>87.381114380410594</v>
      </c>
      <c r="R57">
        <v>89.141289857467598</v>
      </c>
      <c r="S57">
        <v>91.462745540661302</v>
      </c>
      <c r="T57">
        <v>92.3096228141859</v>
      </c>
      <c r="U57">
        <v>92.550253473216301</v>
      </c>
      <c r="V57">
        <v>94.701843660728599</v>
      </c>
      <c r="W57">
        <v>96.309349643057899</v>
      </c>
      <c r="X57">
        <v>97.458077572960804</v>
      </c>
      <c r="Y57">
        <v>97.902820853640506</v>
      </c>
      <c r="Z57">
        <v>100</v>
      </c>
      <c r="AA57">
        <v>99.7575602909276</v>
      </c>
      <c r="AB57">
        <v>100.234656842202</v>
      </c>
      <c r="AC57">
        <v>101.025169051839</v>
      </c>
      <c r="AD57">
        <v>101.964344845848</v>
      </c>
      <c r="AE57">
        <v>102.41820850220201</v>
      </c>
    </row>
    <row r="58" spans="1:31" x14ac:dyDescent="0.3">
      <c r="A58" t="s">
        <v>263</v>
      </c>
      <c r="B58" t="s">
        <v>234</v>
      </c>
      <c r="C58" t="s">
        <v>0</v>
      </c>
      <c r="D58" t="s">
        <v>235</v>
      </c>
      <c r="E58" t="s">
        <v>123</v>
      </c>
      <c r="F58">
        <v>83.884442570652794</v>
      </c>
      <c r="G58">
        <v>85.696913339219293</v>
      </c>
      <c r="H58">
        <v>87.604961725278301</v>
      </c>
      <c r="I58">
        <v>87.866599241630595</v>
      </c>
      <c r="J58">
        <v>87.596191532161399</v>
      </c>
      <c r="K58">
        <v>87.965795715841395</v>
      </c>
      <c r="L58">
        <v>87.482393388598197</v>
      </c>
      <c r="M58">
        <v>86.548467264150105</v>
      </c>
      <c r="N58">
        <v>86.045027617441605</v>
      </c>
      <c r="O58">
        <v>86.475637228395698</v>
      </c>
      <c r="P58">
        <v>87.186030962258997</v>
      </c>
      <c r="Q58">
        <v>87.381114380410594</v>
      </c>
      <c r="R58">
        <v>89.141289857467598</v>
      </c>
      <c r="S58">
        <v>91.462745540661302</v>
      </c>
      <c r="T58">
        <v>92.3096228141859</v>
      </c>
      <c r="U58">
        <v>92.550253473216301</v>
      </c>
      <c r="V58">
        <v>94.701843660728599</v>
      </c>
      <c r="W58">
        <v>96.309349643057899</v>
      </c>
      <c r="X58">
        <v>97.458077572960804</v>
      </c>
      <c r="Y58">
        <v>97.902820853640506</v>
      </c>
      <c r="Z58">
        <v>100</v>
      </c>
      <c r="AA58">
        <v>99.7575602909276</v>
      </c>
      <c r="AB58">
        <v>100.234656842202</v>
      </c>
      <c r="AC58">
        <v>101.025169051839</v>
      </c>
      <c r="AD58">
        <v>101.964344845848</v>
      </c>
      <c r="AE58">
        <v>102.41820850220201</v>
      </c>
    </row>
    <row r="59" spans="1:31" x14ac:dyDescent="0.3">
      <c r="A59" t="s">
        <v>263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264</v>
      </c>
      <c r="B2" t="s">
        <v>121</v>
      </c>
      <c r="C2" t="s">
        <v>0</v>
      </c>
      <c r="D2" t="s">
        <v>122</v>
      </c>
      <c r="E2" t="s">
        <v>123</v>
      </c>
      <c r="F2">
        <v>64.846502107779202</v>
      </c>
      <c r="G2">
        <v>64.4263303878584</v>
      </c>
      <c r="H2">
        <v>66.994451009904694</v>
      </c>
      <c r="I2">
        <v>67.796779764514397</v>
      </c>
      <c r="J2">
        <v>68.690148751162397</v>
      </c>
      <c r="K2">
        <v>71.479072083916407</v>
      </c>
      <c r="L2">
        <v>73.026656865164895</v>
      </c>
      <c r="M2">
        <v>74.311293589450599</v>
      </c>
      <c r="N2">
        <v>75.572588530148593</v>
      </c>
      <c r="O2">
        <v>77.444355428728102</v>
      </c>
      <c r="P2">
        <v>80.050154736558795</v>
      </c>
      <c r="Q2">
        <v>83.857167236883598</v>
      </c>
      <c r="R2">
        <v>91.169740144290202</v>
      </c>
      <c r="S2">
        <v>92.858068665480701</v>
      </c>
      <c r="T2">
        <v>95.561663049917996</v>
      </c>
      <c r="U2">
        <v>93.389807071510802</v>
      </c>
      <c r="V2">
        <v>95.3444774520773</v>
      </c>
      <c r="W2">
        <v>99.533020970203196</v>
      </c>
      <c r="X2">
        <v>101.096366849316</v>
      </c>
      <c r="Y2">
        <v>100.148588410104</v>
      </c>
      <c r="Z2">
        <v>100</v>
      </c>
      <c r="AA2">
        <v>101.27064803049601</v>
      </c>
      <c r="AB2">
        <v>102.59209183634999</v>
      </c>
      <c r="AC2">
        <v>109.083650997211</v>
      </c>
      <c r="AD2">
        <v>112.33090411399699</v>
      </c>
      <c r="AE2">
        <v>113.726319071935</v>
      </c>
    </row>
    <row r="3" spans="1:31" x14ac:dyDescent="0.3">
      <c r="A3" t="s">
        <v>264</v>
      </c>
      <c r="B3" t="s">
        <v>124</v>
      </c>
      <c r="C3" t="s">
        <v>0</v>
      </c>
      <c r="D3" t="s">
        <v>125</v>
      </c>
      <c r="E3" t="s">
        <v>123</v>
      </c>
      <c r="F3">
        <v>74.812334637198006</v>
      </c>
      <c r="G3">
        <v>74.812334637198006</v>
      </c>
      <c r="H3">
        <v>74.812334637198006</v>
      </c>
      <c r="I3">
        <v>74.812334637198006</v>
      </c>
      <c r="J3">
        <v>74.812334637198006</v>
      </c>
      <c r="K3">
        <v>78.137327287740106</v>
      </c>
      <c r="L3">
        <v>78.137327287740106</v>
      </c>
      <c r="M3">
        <v>78.137327287740106</v>
      </c>
      <c r="N3">
        <v>78.137327287740106</v>
      </c>
      <c r="O3">
        <v>78.137327287740106</v>
      </c>
      <c r="P3">
        <v>80.831717883869104</v>
      </c>
      <c r="Q3">
        <v>83.077043380643303</v>
      </c>
      <c r="R3">
        <v>87.986141398590405</v>
      </c>
      <c r="S3">
        <v>93.101614735717703</v>
      </c>
      <c r="T3">
        <v>92.417044039131497</v>
      </c>
      <c r="U3">
        <v>90.267810456826197</v>
      </c>
      <c r="V3">
        <v>94.589141808482694</v>
      </c>
      <c r="W3">
        <v>99.880842049516701</v>
      </c>
      <c r="X3">
        <v>101.098901098901</v>
      </c>
      <c r="Y3">
        <v>101.098901098901</v>
      </c>
      <c r="Z3">
        <v>100</v>
      </c>
      <c r="AA3">
        <v>100</v>
      </c>
      <c r="AB3">
        <v>103.125</v>
      </c>
      <c r="AC3">
        <v>106.60895270270299</v>
      </c>
      <c r="AD3">
        <v>109.76306372941001</v>
      </c>
      <c r="AE3">
        <v>109.76306372941001</v>
      </c>
    </row>
    <row r="4" spans="1:31" x14ac:dyDescent="0.3">
      <c r="A4" t="s">
        <v>264</v>
      </c>
      <c r="B4" t="s">
        <v>126</v>
      </c>
      <c r="C4" t="s">
        <v>0</v>
      </c>
      <c r="D4" t="s">
        <v>127</v>
      </c>
      <c r="E4" t="s">
        <v>123</v>
      </c>
      <c r="F4">
        <v>71.3023883147726</v>
      </c>
      <c r="G4">
        <v>70.965526637694893</v>
      </c>
      <c r="H4">
        <v>70.637488764177107</v>
      </c>
      <c r="I4">
        <v>73.100285519821995</v>
      </c>
      <c r="J4">
        <v>76.423025770722901</v>
      </c>
      <c r="K4">
        <v>77.812535330190599</v>
      </c>
      <c r="L4">
        <v>82.374833818605694</v>
      </c>
      <c r="M4">
        <v>82.047082490414994</v>
      </c>
      <c r="N4">
        <v>81.9016089399001</v>
      </c>
      <c r="O4">
        <v>82.912739914466798</v>
      </c>
      <c r="P4">
        <v>86.216663136864895</v>
      </c>
      <c r="Q4">
        <v>89.161952871354003</v>
      </c>
      <c r="R4">
        <v>94.914336927570403</v>
      </c>
      <c r="S4">
        <v>99.523227339834804</v>
      </c>
      <c r="T4">
        <v>98.481099304862695</v>
      </c>
      <c r="U4">
        <v>93.088086723882199</v>
      </c>
      <c r="V4">
        <v>94.106555944055899</v>
      </c>
      <c r="W4">
        <v>98.799533799533805</v>
      </c>
      <c r="X4">
        <v>99.807692307692307</v>
      </c>
      <c r="Y4">
        <v>100</v>
      </c>
      <c r="Z4">
        <v>100</v>
      </c>
      <c r="AA4">
        <v>101.5625</v>
      </c>
      <c r="AB4">
        <v>103.39481314433</v>
      </c>
      <c r="AC4">
        <v>106.352624963135</v>
      </c>
      <c r="AD4">
        <v>110.678327801748</v>
      </c>
      <c r="AE4">
        <v>112.425880345986</v>
      </c>
    </row>
    <row r="5" spans="1:31" x14ac:dyDescent="0.3">
      <c r="A5" t="s">
        <v>264</v>
      </c>
      <c r="B5" t="s">
        <v>128</v>
      </c>
      <c r="C5" t="s">
        <v>0</v>
      </c>
      <c r="D5" t="s">
        <v>129</v>
      </c>
      <c r="E5" t="s">
        <v>123</v>
      </c>
      <c r="F5">
        <v>71.951600165962404</v>
      </c>
      <c r="G5">
        <v>71.951600165962404</v>
      </c>
      <c r="H5">
        <v>71.951600165962404</v>
      </c>
      <c r="I5">
        <v>74.235777949008806</v>
      </c>
      <c r="J5">
        <v>78.010478522687293</v>
      </c>
      <c r="K5">
        <v>78.887000753279295</v>
      </c>
      <c r="L5">
        <v>84.000047098399193</v>
      </c>
      <c r="M5">
        <v>83.377824527299893</v>
      </c>
      <c r="N5">
        <v>83.377824527300007</v>
      </c>
      <c r="O5">
        <v>83.377824527300007</v>
      </c>
      <c r="P5">
        <v>86.329251944195505</v>
      </c>
      <c r="Q5">
        <v>88.038742081704399</v>
      </c>
      <c r="R5">
        <v>93.957312977953407</v>
      </c>
      <c r="S5">
        <v>96.693933744301603</v>
      </c>
      <c r="T5">
        <v>96.693933744301603</v>
      </c>
      <c r="U5">
        <v>91.513901579428307</v>
      </c>
      <c r="V5">
        <v>93.593762978960697</v>
      </c>
      <c r="W5">
        <v>98.482989403234797</v>
      </c>
      <c r="X5">
        <v>99.386503067484696</v>
      </c>
      <c r="Y5">
        <v>100</v>
      </c>
      <c r="Z5">
        <v>100</v>
      </c>
      <c r="AA5">
        <v>101.801801801802</v>
      </c>
      <c r="AB5">
        <v>103.944997629208</v>
      </c>
      <c r="AC5">
        <v>107.409830883515</v>
      </c>
      <c r="AD5">
        <v>113.062979877384</v>
      </c>
      <c r="AE5">
        <v>114.601251712451</v>
      </c>
    </row>
    <row r="6" spans="1:31" x14ac:dyDescent="0.3">
      <c r="A6" t="s">
        <v>264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>
        <v>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0</v>
      </c>
      <c r="AB6" t="e">
        <v>#NUM!</v>
      </c>
      <c r="AC6" t="e">
        <v>#NUM!</v>
      </c>
      <c r="AD6" t="e">
        <v>#NUM!</v>
      </c>
      <c r="AE6" t="e">
        <v>#NUM!</v>
      </c>
    </row>
    <row r="7" spans="1:31" x14ac:dyDescent="0.3">
      <c r="A7" t="s">
        <v>264</v>
      </c>
      <c r="B7" t="s">
        <v>132</v>
      </c>
      <c r="C7" t="s">
        <v>0</v>
      </c>
      <c r="D7" t="s">
        <v>133</v>
      </c>
      <c r="E7" t="s">
        <v>123</v>
      </c>
      <c r="F7">
        <v>67.215160661906594</v>
      </c>
      <c r="G7">
        <v>66.845846592335704</v>
      </c>
      <c r="H7">
        <v>66.107218453193894</v>
      </c>
      <c r="I7">
        <v>68.900481204737204</v>
      </c>
      <c r="J7">
        <v>72.865976525873194</v>
      </c>
      <c r="K7">
        <v>74.814264668276195</v>
      </c>
      <c r="L7">
        <v>79.376110074878497</v>
      </c>
      <c r="M7">
        <v>79.376110074878497</v>
      </c>
      <c r="N7">
        <v>79.376110074878497</v>
      </c>
      <c r="O7">
        <v>80.656369914795803</v>
      </c>
      <c r="P7">
        <v>84.163168606743497</v>
      </c>
      <c r="Q7">
        <v>87.251725252862499</v>
      </c>
      <c r="R7">
        <v>93.518423751686896</v>
      </c>
      <c r="S7">
        <v>99.066126855600501</v>
      </c>
      <c r="T7">
        <v>99.066126855600501</v>
      </c>
      <c r="U7">
        <v>94.112820512820505</v>
      </c>
      <c r="V7">
        <v>94.112820512820505</v>
      </c>
      <c r="W7">
        <v>98.6666666666667</v>
      </c>
      <c r="X7">
        <v>100</v>
      </c>
      <c r="Y7">
        <v>100</v>
      </c>
      <c r="Z7">
        <v>100</v>
      </c>
      <c r="AA7">
        <v>102.173913043478</v>
      </c>
      <c r="AB7">
        <v>104.79375696767001</v>
      </c>
      <c r="AC7">
        <v>108.63436586177301</v>
      </c>
      <c r="AD7">
        <v>113.008904084395</v>
      </c>
      <c r="AE7">
        <v>115.596894254266</v>
      </c>
    </row>
    <row r="8" spans="1:31" x14ac:dyDescent="0.3">
      <c r="A8" t="s">
        <v>264</v>
      </c>
      <c r="B8" t="s">
        <v>134</v>
      </c>
      <c r="C8" t="s">
        <v>0</v>
      </c>
      <c r="D8" t="s">
        <v>135</v>
      </c>
      <c r="E8" t="s">
        <v>123</v>
      </c>
      <c r="F8">
        <v>62.945144900518102</v>
      </c>
      <c r="G8">
        <v>62.945144900518102</v>
      </c>
      <c r="H8">
        <v>62.945144900518102</v>
      </c>
      <c r="I8">
        <v>62.945144900518102</v>
      </c>
      <c r="J8">
        <v>66.347585165410905</v>
      </c>
      <c r="K8">
        <v>69.112067880636403</v>
      </c>
      <c r="L8">
        <v>74.048644157824697</v>
      </c>
      <c r="M8">
        <v>74.048644157824697</v>
      </c>
      <c r="N8">
        <v>74.048644157824697</v>
      </c>
      <c r="O8">
        <v>76.1055509399865</v>
      </c>
      <c r="P8">
        <v>79.618114829524302</v>
      </c>
      <c r="Q8">
        <v>85.205350957912003</v>
      </c>
      <c r="R8">
        <v>90.955405317034902</v>
      </c>
      <c r="S8">
        <v>97.819964208886603</v>
      </c>
      <c r="T8">
        <v>96.402283568178106</v>
      </c>
      <c r="U8">
        <v>91.143977191732006</v>
      </c>
      <c r="V8">
        <v>94.084105488239501</v>
      </c>
      <c r="W8">
        <v>98.360655737704903</v>
      </c>
      <c r="X8">
        <v>100</v>
      </c>
      <c r="Y8">
        <v>100</v>
      </c>
      <c r="Z8">
        <v>100</v>
      </c>
      <c r="AA8">
        <v>100</v>
      </c>
      <c r="AB8">
        <v>101.851851851852</v>
      </c>
      <c r="AC8">
        <v>106.095679012346</v>
      </c>
      <c r="AD8">
        <v>111.03036175710599</v>
      </c>
      <c r="AE8">
        <v>111.03036175710599</v>
      </c>
    </row>
    <row r="9" spans="1:31" x14ac:dyDescent="0.3">
      <c r="A9" t="s">
        <v>264</v>
      </c>
      <c r="B9" t="s">
        <v>136</v>
      </c>
      <c r="C9" t="s">
        <v>0</v>
      </c>
      <c r="D9" t="s">
        <v>137</v>
      </c>
      <c r="E9" t="s">
        <v>123</v>
      </c>
      <c r="F9">
        <v>69.748899023909303</v>
      </c>
      <c r="G9">
        <v>69.748899023909303</v>
      </c>
      <c r="H9">
        <v>69.748899023909303</v>
      </c>
      <c r="I9">
        <v>72.285222624778697</v>
      </c>
      <c r="J9">
        <v>75.899483756017702</v>
      </c>
      <c r="K9">
        <v>78.516707333811397</v>
      </c>
      <c r="L9">
        <v>82.346790618387601</v>
      </c>
      <c r="M9">
        <v>82.346790618387601</v>
      </c>
      <c r="N9">
        <v>82.346790618387601</v>
      </c>
      <c r="O9">
        <v>83.817269022287306</v>
      </c>
      <c r="P9">
        <v>83.817269022287306</v>
      </c>
      <c r="Q9">
        <v>87.169959783178797</v>
      </c>
      <c r="R9">
        <v>91.757852403346106</v>
      </c>
      <c r="S9">
        <v>97.155373132954793</v>
      </c>
      <c r="T9">
        <v>95.716034271725803</v>
      </c>
      <c r="U9">
        <v>89.473684210526301</v>
      </c>
      <c r="V9">
        <v>89.473684210526301</v>
      </c>
      <c r="W9">
        <v>97.142857142857096</v>
      </c>
      <c r="X9">
        <v>100</v>
      </c>
      <c r="Y9">
        <v>100</v>
      </c>
      <c r="Z9">
        <v>100</v>
      </c>
      <c r="AA9">
        <v>101.333333333333</v>
      </c>
      <c r="AB9">
        <v>103.662835249042</v>
      </c>
      <c r="AC9">
        <v>107.080291356153</v>
      </c>
      <c r="AD9">
        <v>109.757298640057</v>
      </c>
      <c r="AE9">
        <v>111.71725040148699</v>
      </c>
    </row>
    <row r="10" spans="1:31" x14ac:dyDescent="0.3">
      <c r="A10" t="s">
        <v>264</v>
      </c>
      <c r="B10" t="s">
        <v>138</v>
      </c>
      <c r="C10" t="s">
        <v>0</v>
      </c>
      <c r="D10" t="s">
        <v>139</v>
      </c>
      <c r="E10" t="s">
        <v>123</v>
      </c>
      <c r="F10">
        <v>72.9745479576722</v>
      </c>
      <c r="G10">
        <v>72.9745479576722</v>
      </c>
      <c r="H10">
        <v>72.9745479576722</v>
      </c>
      <c r="I10">
        <v>75.367156087431994</v>
      </c>
      <c r="J10">
        <v>78.5074542577416</v>
      </c>
      <c r="K10">
        <v>80.573439896103196</v>
      </c>
      <c r="L10">
        <v>84.235868982289702</v>
      </c>
      <c r="M10">
        <v>84.235868982289702</v>
      </c>
      <c r="N10">
        <v>84.235868982289702</v>
      </c>
      <c r="O10">
        <v>85.493120758144798</v>
      </c>
      <c r="P10">
        <v>85.493120758144798</v>
      </c>
      <c r="Q10">
        <v>88.342891450083002</v>
      </c>
      <c r="R10">
        <v>92.183886730521394</v>
      </c>
      <c r="S10">
        <v>97.035670242654106</v>
      </c>
      <c r="T10">
        <v>95.687952600394993</v>
      </c>
      <c r="U10">
        <v>90.167493796526102</v>
      </c>
      <c r="V10">
        <v>90.167493796526102</v>
      </c>
      <c r="W10">
        <v>98.076923076923094</v>
      </c>
      <c r="X10">
        <v>100</v>
      </c>
      <c r="Y10">
        <v>100</v>
      </c>
      <c r="Z10">
        <v>100</v>
      </c>
      <c r="AA10">
        <v>101.162790697674</v>
      </c>
      <c r="AB10">
        <v>103.270348837209</v>
      </c>
      <c r="AC10">
        <v>106.958575581395</v>
      </c>
      <c r="AD10">
        <v>110.16733284883701</v>
      </c>
      <c r="AE10">
        <v>112.75950538645699</v>
      </c>
    </row>
    <row r="11" spans="1:31" x14ac:dyDescent="0.3">
      <c r="A11" t="s">
        <v>264</v>
      </c>
      <c r="B11" t="s">
        <v>140</v>
      </c>
      <c r="C11" t="s">
        <v>0</v>
      </c>
      <c r="D11" t="s">
        <v>141</v>
      </c>
      <c r="E11" t="s">
        <v>123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>
        <v>0</v>
      </c>
      <c r="Q11">
        <v>90.3381642512078</v>
      </c>
      <c r="R11">
        <v>90.3381642512078</v>
      </c>
      <c r="S11">
        <v>90.338164251207701</v>
      </c>
      <c r="T11">
        <v>90.338164251207701</v>
      </c>
      <c r="U11">
        <v>90.338164251207701</v>
      </c>
      <c r="V11">
        <v>90.338164251207701</v>
      </c>
      <c r="W11">
        <v>98.550724637681199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104.761904761905</v>
      </c>
      <c r="AD11">
        <v>110</v>
      </c>
      <c r="AE11">
        <v>113.793103448276</v>
      </c>
    </row>
    <row r="12" spans="1:31" x14ac:dyDescent="0.3">
      <c r="A12" t="s">
        <v>264</v>
      </c>
      <c r="B12" t="s">
        <v>142</v>
      </c>
      <c r="C12" t="s">
        <v>0</v>
      </c>
      <c r="D12" t="s">
        <v>143</v>
      </c>
      <c r="E12" t="s">
        <v>123</v>
      </c>
      <c r="F12">
        <v>77.2730062993285</v>
      </c>
      <c r="G12">
        <v>77.2730062993285</v>
      </c>
      <c r="H12">
        <v>77.2730062993285</v>
      </c>
      <c r="I12">
        <v>79.765683921887501</v>
      </c>
      <c r="J12">
        <v>83.688586409849194</v>
      </c>
      <c r="K12">
        <v>83.688586409849194</v>
      </c>
      <c r="L12">
        <v>88.760621949840001</v>
      </c>
      <c r="M12">
        <v>88.760621949840001</v>
      </c>
      <c r="N12">
        <v>88.760621949840001</v>
      </c>
      <c r="O12">
        <v>88.760621949840001</v>
      </c>
      <c r="P12">
        <v>92.174492024833796</v>
      </c>
      <c r="Q12">
        <v>95.010630240982593</v>
      </c>
      <c r="R12">
        <v>100.599490843393</v>
      </c>
      <c r="S12">
        <v>103.114478114478</v>
      </c>
      <c r="T12">
        <v>103.114478114478</v>
      </c>
      <c r="U12">
        <v>97.2222222222222</v>
      </c>
      <c r="V12">
        <v>97.2222222222222</v>
      </c>
      <c r="W12">
        <v>100</v>
      </c>
      <c r="X12">
        <v>100</v>
      </c>
      <c r="Y12">
        <v>100</v>
      </c>
      <c r="Z12">
        <v>100</v>
      </c>
      <c r="AA12">
        <v>102.083333333333</v>
      </c>
      <c r="AB12">
        <v>102.083333333333</v>
      </c>
      <c r="AC12">
        <v>103.87426900584801</v>
      </c>
      <c r="AD12">
        <v>107.869433198381</v>
      </c>
      <c r="AE12">
        <v>109.30769230769199</v>
      </c>
    </row>
    <row r="13" spans="1:31" x14ac:dyDescent="0.3">
      <c r="A13" t="s">
        <v>264</v>
      </c>
      <c r="B13" t="s">
        <v>144</v>
      </c>
      <c r="C13" t="s">
        <v>0</v>
      </c>
      <c r="D13" t="s">
        <v>145</v>
      </c>
      <c r="E13" t="s">
        <v>123</v>
      </c>
      <c r="F13">
        <v>73.2741205668178</v>
      </c>
      <c r="G13">
        <v>72.735340268532397</v>
      </c>
      <c r="H13">
        <v>72.158075663226597</v>
      </c>
      <c r="I13">
        <v>75.164662149194399</v>
      </c>
      <c r="J13">
        <v>77.786685247422099</v>
      </c>
      <c r="K13">
        <v>78.823841050721001</v>
      </c>
      <c r="L13">
        <v>83.909250150767505</v>
      </c>
      <c r="M13">
        <v>83.176418271721502</v>
      </c>
      <c r="N13">
        <v>82.649985244685297</v>
      </c>
      <c r="O13">
        <v>84.270573190659604</v>
      </c>
      <c r="P13">
        <v>86.786112688888196</v>
      </c>
      <c r="Q13">
        <v>90.000413158846996</v>
      </c>
      <c r="R13">
        <v>94.787669177934603</v>
      </c>
      <c r="S13">
        <v>100.33080772635201</v>
      </c>
      <c r="T13">
        <v>98.725514802730203</v>
      </c>
      <c r="U13">
        <v>93.051634641653806</v>
      </c>
      <c r="V13">
        <v>94.244604316546798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102.127659574468</v>
      </c>
      <c r="AC13">
        <v>103.919372900336</v>
      </c>
      <c r="AD13">
        <v>106.80602214756701</v>
      </c>
      <c r="AE13">
        <v>107.907115159398</v>
      </c>
    </row>
    <row r="14" spans="1:31" x14ac:dyDescent="0.3">
      <c r="A14" t="s">
        <v>264</v>
      </c>
      <c r="B14" t="s">
        <v>146</v>
      </c>
      <c r="C14" t="s">
        <v>0</v>
      </c>
      <c r="D14" t="s">
        <v>147</v>
      </c>
      <c r="E14" t="s">
        <v>123</v>
      </c>
      <c r="F14">
        <v>57.385324809301402</v>
      </c>
      <c r="G14">
        <v>56.754716844363998</v>
      </c>
      <c r="H14">
        <v>56.754716844363998</v>
      </c>
      <c r="I14">
        <v>58.501015824190603</v>
      </c>
      <c r="J14">
        <v>62.453787163663002</v>
      </c>
      <c r="K14">
        <v>63.400056666142703</v>
      </c>
      <c r="L14">
        <v>68.9941793131553</v>
      </c>
      <c r="M14">
        <v>68.9941793131553</v>
      </c>
      <c r="N14">
        <v>68.9941793131553</v>
      </c>
      <c r="O14">
        <v>68.9941793131553</v>
      </c>
      <c r="P14">
        <v>72.443888278813006</v>
      </c>
      <c r="Q14">
        <v>75.548626347905</v>
      </c>
      <c r="R14">
        <v>94.435782934881303</v>
      </c>
      <c r="S14">
        <v>98.728318522830406</v>
      </c>
      <c r="T14">
        <v>98.728318522830406</v>
      </c>
      <c r="U14">
        <v>92.289515140906701</v>
      </c>
      <c r="V14">
        <v>92.289515140906701</v>
      </c>
      <c r="W14">
        <v>98.275862068965495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108.695652173913</v>
      </c>
      <c r="AE14">
        <v>110.60259344012201</v>
      </c>
    </row>
    <row r="15" spans="1:31" x14ac:dyDescent="0.3">
      <c r="A15" t="s">
        <v>264</v>
      </c>
      <c r="B15" t="s">
        <v>148</v>
      </c>
      <c r="C15" t="s">
        <v>0</v>
      </c>
      <c r="D15" t="s">
        <v>149</v>
      </c>
      <c r="E15" t="s">
        <v>123</v>
      </c>
      <c r="F15">
        <v>67.835082061724606</v>
      </c>
      <c r="G15">
        <v>67.170032237590107</v>
      </c>
      <c r="H15">
        <v>67.170032237590107</v>
      </c>
      <c r="I15">
        <v>69.010307093414497</v>
      </c>
      <c r="J15">
        <v>73.022534250008306</v>
      </c>
      <c r="K15">
        <v>74.022842938364604</v>
      </c>
      <c r="L15">
        <v>79.310188862533494</v>
      </c>
      <c r="M15">
        <v>79.310188862533494</v>
      </c>
      <c r="N15">
        <v>79.310188862533494</v>
      </c>
      <c r="O15">
        <v>79.310188862533494</v>
      </c>
      <c r="P15">
        <v>83.975494089741403</v>
      </c>
      <c r="Q15">
        <v>87.836436346740996</v>
      </c>
      <c r="R15">
        <v>94.110467514365396</v>
      </c>
      <c r="S15">
        <v>98.115168259657494</v>
      </c>
      <c r="T15">
        <v>98.115168259657494</v>
      </c>
      <c r="U15">
        <v>92.343687773795295</v>
      </c>
      <c r="V15">
        <v>92.343687773795295</v>
      </c>
      <c r="W15">
        <v>98.148148148148096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101.96078431372599</v>
      </c>
      <c r="AD15">
        <v>107.625272331155</v>
      </c>
      <c r="AE15">
        <v>110.01694504962499</v>
      </c>
    </row>
    <row r="16" spans="1:31" x14ac:dyDescent="0.3">
      <c r="A16" t="s">
        <v>264</v>
      </c>
      <c r="B16" t="s">
        <v>150</v>
      </c>
      <c r="C16" t="s">
        <v>0</v>
      </c>
      <c r="D16" t="s">
        <v>151</v>
      </c>
      <c r="E16" t="s">
        <v>123</v>
      </c>
      <c r="F16">
        <v>82.163207163207105</v>
      </c>
      <c r="G16">
        <v>82.163207163207105</v>
      </c>
      <c r="H16">
        <v>82.163207163207105</v>
      </c>
      <c r="I16">
        <v>82.163207163207105</v>
      </c>
      <c r="J16">
        <v>82.163207163207105</v>
      </c>
      <c r="K16">
        <v>82.163207163207105</v>
      </c>
      <c r="L16">
        <v>82.163207163207204</v>
      </c>
      <c r="M16">
        <v>82.163207163207105</v>
      </c>
      <c r="N16">
        <v>82.163207163207204</v>
      </c>
      <c r="O16">
        <v>82.163207163207105</v>
      </c>
      <c r="P16">
        <v>82.163207163207204</v>
      </c>
      <c r="Q16">
        <v>86.996336996337007</v>
      </c>
      <c r="R16">
        <v>91.575091575091605</v>
      </c>
      <c r="S16">
        <v>95.238095238095198</v>
      </c>
      <c r="T16">
        <v>95.238095238095198</v>
      </c>
      <c r="U16">
        <v>90.909090909090907</v>
      </c>
      <c r="V16">
        <v>90.909090909090907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103.030303030303</v>
      </c>
      <c r="AD16">
        <v>107.235621521336</v>
      </c>
      <c r="AE16">
        <v>110.48518580986099</v>
      </c>
    </row>
    <row r="17" spans="1:31" x14ac:dyDescent="0.3">
      <c r="A17" t="s">
        <v>264</v>
      </c>
      <c r="B17" t="s">
        <v>152</v>
      </c>
      <c r="C17" t="s">
        <v>0</v>
      </c>
      <c r="D17" t="s">
        <v>153</v>
      </c>
      <c r="E17" t="s">
        <v>123</v>
      </c>
      <c r="F17">
        <v>82.728411160575007</v>
      </c>
      <c r="G17">
        <v>82.728411160575007</v>
      </c>
      <c r="H17">
        <v>82.728411160575007</v>
      </c>
      <c r="I17">
        <v>84.526854881456998</v>
      </c>
      <c r="J17">
        <v>84.526854881456998</v>
      </c>
      <c r="K17">
        <v>84.526854881456998</v>
      </c>
      <c r="L17">
        <v>86.588485488321794</v>
      </c>
      <c r="M17">
        <v>86.588485488321894</v>
      </c>
      <c r="N17">
        <v>86.588485488321894</v>
      </c>
      <c r="O17">
        <v>86.588485488321894</v>
      </c>
      <c r="P17">
        <v>89.795466432333797</v>
      </c>
      <c r="Q17">
        <v>92.222370930504994</v>
      </c>
      <c r="R17">
        <v>97.345835982199702</v>
      </c>
      <c r="S17">
        <v>101.239669421488</v>
      </c>
      <c r="T17">
        <v>101.239669421488</v>
      </c>
      <c r="U17">
        <v>95.454545454545496</v>
      </c>
      <c r="V17">
        <v>95.454545454545496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101.149425287356</v>
      </c>
      <c r="AC17">
        <v>103.529411764706</v>
      </c>
      <c r="AD17">
        <v>108.30769230769199</v>
      </c>
      <c r="AE17">
        <v>110.02686202686201</v>
      </c>
    </row>
    <row r="18" spans="1:31" x14ac:dyDescent="0.3">
      <c r="A18" t="s">
        <v>264</v>
      </c>
      <c r="B18" t="s">
        <v>154</v>
      </c>
      <c r="C18" t="s">
        <v>0</v>
      </c>
      <c r="D18" t="s">
        <v>155</v>
      </c>
      <c r="E18" t="s">
        <v>123</v>
      </c>
      <c r="F18">
        <v>78.073635765943493</v>
      </c>
      <c r="G18">
        <v>78.073635765943493</v>
      </c>
      <c r="H18">
        <v>78.073635765943493</v>
      </c>
      <c r="I18">
        <v>81.196581196581207</v>
      </c>
      <c r="J18">
        <v>81.196581196581207</v>
      </c>
      <c r="K18">
        <v>81.196581196581207</v>
      </c>
      <c r="L18">
        <v>81.196581196581207</v>
      </c>
      <c r="M18">
        <v>81.196581196581207</v>
      </c>
      <c r="N18">
        <v>81.196581196581207</v>
      </c>
      <c r="O18">
        <v>81.196581196581207</v>
      </c>
      <c r="P18">
        <v>85.256410256410206</v>
      </c>
      <c r="Q18">
        <v>87.5</v>
      </c>
      <c r="R18">
        <v>91.477272727272705</v>
      </c>
      <c r="S18">
        <v>95.454545454545496</v>
      </c>
      <c r="T18">
        <v>95.454545454545496</v>
      </c>
      <c r="U18">
        <v>95.454545454545496</v>
      </c>
      <c r="V18">
        <v>95.454545454545496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102.857142857143</v>
      </c>
      <c r="AD18">
        <v>102.857142857143</v>
      </c>
      <c r="AE18">
        <v>102.857142857143</v>
      </c>
    </row>
    <row r="19" spans="1:31" x14ac:dyDescent="0.3">
      <c r="A19" t="s">
        <v>264</v>
      </c>
      <c r="B19" t="s">
        <v>156</v>
      </c>
      <c r="C19" t="s">
        <v>0</v>
      </c>
      <c r="D19" t="s">
        <v>157</v>
      </c>
      <c r="E19" t="s">
        <v>123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>
        <v>0</v>
      </c>
      <c r="R19">
        <v>94.117647058823493</v>
      </c>
      <c r="S19">
        <v>94.117647058823493</v>
      </c>
      <c r="T19">
        <v>94.117647058823493</v>
      </c>
      <c r="U19">
        <v>94.117647058823493</v>
      </c>
      <c r="V19">
        <v>94.117647058823493</v>
      </c>
      <c r="W19">
        <v>100</v>
      </c>
      <c r="X19">
        <v>100</v>
      </c>
      <c r="Y19">
        <v>100</v>
      </c>
      <c r="Z19">
        <v>100</v>
      </c>
      <c r="AA19">
        <v>102.127659574468</v>
      </c>
      <c r="AB19">
        <v>102.127659574468</v>
      </c>
      <c r="AC19">
        <v>102.127659574468</v>
      </c>
      <c r="AD19">
        <v>102.127659574468</v>
      </c>
      <c r="AE19">
        <v>102.127659574468</v>
      </c>
    </row>
    <row r="20" spans="1:31" x14ac:dyDescent="0.3">
      <c r="A20" t="s">
        <v>264</v>
      </c>
      <c r="B20" t="s">
        <v>158</v>
      </c>
      <c r="C20" t="s">
        <v>0</v>
      </c>
      <c r="D20" t="s">
        <v>159</v>
      </c>
      <c r="E20" t="s">
        <v>123</v>
      </c>
      <c r="F20">
        <v>57.724806764825097</v>
      </c>
      <c r="G20">
        <v>57.568370974134503</v>
      </c>
      <c r="H20">
        <v>58.8867306147636</v>
      </c>
      <c r="I20">
        <v>59.528547842172401</v>
      </c>
      <c r="J20">
        <v>60.917547291823098</v>
      </c>
      <c r="K20">
        <v>64.050449723973998</v>
      </c>
      <c r="L20">
        <v>66.314187032305796</v>
      </c>
      <c r="M20">
        <v>66.961154710669703</v>
      </c>
      <c r="N20">
        <v>68.486851906609004</v>
      </c>
      <c r="O20">
        <v>70.940430713232104</v>
      </c>
      <c r="P20">
        <v>74.388003046959298</v>
      </c>
      <c r="Q20">
        <v>78.9615873210942</v>
      </c>
      <c r="R20">
        <v>84.080652949690204</v>
      </c>
      <c r="S20">
        <v>90.707699487596898</v>
      </c>
      <c r="T20">
        <v>89.418571975499205</v>
      </c>
      <c r="U20">
        <v>90.190530870251706</v>
      </c>
      <c r="V20">
        <v>94.807793542790193</v>
      </c>
      <c r="W20">
        <v>99.797677413463404</v>
      </c>
      <c r="X20">
        <v>100.679109304259</v>
      </c>
      <c r="Y20">
        <v>101.27737226277399</v>
      </c>
      <c r="Z20">
        <v>100</v>
      </c>
      <c r="AA20">
        <v>99.250681198910101</v>
      </c>
      <c r="AB20">
        <v>101.841706958998</v>
      </c>
      <c r="AC20">
        <v>105.066246493319</v>
      </c>
      <c r="AD20">
        <v>107.322823952368</v>
      </c>
      <c r="AE20">
        <v>106.133950776662</v>
      </c>
    </row>
    <row r="21" spans="1:31" x14ac:dyDescent="0.3">
      <c r="A21" t="s">
        <v>264</v>
      </c>
      <c r="B21" t="s">
        <v>160</v>
      </c>
      <c r="C21" t="s">
        <v>0</v>
      </c>
      <c r="D21" t="s">
        <v>161</v>
      </c>
      <c r="E21" t="s">
        <v>123</v>
      </c>
      <c r="F21">
        <v>57.953985198356001</v>
      </c>
      <c r="G21">
        <v>57.854064534220903</v>
      </c>
      <c r="H21">
        <v>59.242562083042202</v>
      </c>
      <c r="I21">
        <v>60.039100732898198</v>
      </c>
      <c r="J21">
        <v>61.487168097513504</v>
      </c>
      <c r="K21">
        <v>64.611925820501895</v>
      </c>
      <c r="L21">
        <v>66.919494599805603</v>
      </c>
      <c r="M21">
        <v>67.670344469088107</v>
      </c>
      <c r="N21">
        <v>69.261486731846702</v>
      </c>
      <c r="O21">
        <v>71.737712335298696</v>
      </c>
      <c r="P21">
        <v>75.134070540549502</v>
      </c>
      <c r="Q21">
        <v>79.4851645946041</v>
      </c>
      <c r="R21">
        <v>84.658755189519198</v>
      </c>
      <c r="S21">
        <v>91.298657557324603</v>
      </c>
      <c r="T21">
        <v>89.979736340605598</v>
      </c>
      <c r="U21">
        <v>90.483622864113002</v>
      </c>
      <c r="V21">
        <v>95.076352206458097</v>
      </c>
      <c r="W21">
        <v>99.901358433241796</v>
      </c>
      <c r="X21">
        <v>100.737936452222</v>
      </c>
      <c r="Y21">
        <v>101.36054421768701</v>
      </c>
      <c r="Z21">
        <v>100</v>
      </c>
      <c r="AA21">
        <v>99.280575539568304</v>
      </c>
      <c r="AB21">
        <v>101.87146229712501</v>
      </c>
      <c r="AC21">
        <v>105.080948273814</v>
      </c>
      <c r="AD21">
        <v>107.250196750626</v>
      </c>
      <c r="AE21">
        <v>105.875194228182</v>
      </c>
    </row>
    <row r="22" spans="1:31" x14ac:dyDescent="0.3">
      <c r="A22" t="s">
        <v>264</v>
      </c>
      <c r="B22" t="s">
        <v>162</v>
      </c>
      <c r="C22" t="s">
        <v>0</v>
      </c>
      <c r="D22" t="s">
        <v>163</v>
      </c>
      <c r="E22" t="s">
        <v>123</v>
      </c>
      <c r="F22">
        <v>58.408389759304299</v>
      </c>
      <c r="G22">
        <v>58.408389759304299</v>
      </c>
      <c r="H22">
        <v>59.918951563424201</v>
      </c>
      <c r="I22">
        <v>60.970161239975504</v>
      </c>
      <c r="J22">
        <v>62.500792902903797</v>
      </c>
      <c r="K22">
        <v>65.625832548049004</v>
      </c>
      <c r="L22">
        <v>68.023123234735706</v>
      </c>
      <c r="M22">
        <v>68.921118260936794</v>
      </c>
      <c r="N22">
        <v>70.602121145349898</v>
      </c>
      <c r="O22">
        <v>73.1154652637928</v>
      </c>
      <c r="P22">
        <v>76.428854928315104</v>
      </c>
      <c r="Q22">
        <v>80.490291663636199</v>
      </c>
      <c r="R22">
        <v>85.761696155461294</v>
      </c>
      <c r="S22">
        <v>92.429992184827597</v>
      </c>
      <c r="T22">
        <v>91.059208402425497</v>
      </c>
      <c r="U22">
        <v>91.223279048195593</v>
      </c>
      <c r="V22">
        <v>95.7741002252031</v>
      </c>
      <c r="W22">
        <v>100.190197065558</v>
      </c>
      <c r="X22">
        <v>100.916212986323</v>
      </c>
      <c r="Y22">
        <v>101.604278074866</v>
      </c>
      <c r="Z22">
        <v>100</v>
      </c>
      <c r="AA22">
        <v>99.372384937238493</v>
      </c>
      <c r="AB22">
        <v>101.962660373991</v>
      </c>
      <c r="AC22">
        <v>105.14347126954</v>
      </c>
      <c r="AD22">
        <v>107.10266638636401</v>
      </c>
      <c r="AE22">
        <v>105.49813205847801</v>
      </c>
    </row>
    <row r="23" spans="1:31" x14ac:dyDescent="0.3">
      <c r="A23" t="s">
        <v>264</v>
      </c>
      <c r="B23" t="s">
        <v>164</v>
      </c>
      <c r="C23" t="s">
        <v>0</v>
      </c>
      <c r="D23" t="s">
        <v>165</v>
      </c>
      <c r="E23" t="s">
        <v>123</v>
      </c>
      <c r="F23">
        <v>68.278313837204706</v>
      </c>
      <c r="G23">
        <v>68.278313837204706</v>
      </c>
      <c r="H23">
        <v>68.278313837204706</v>
      </c>
      <c r="I23">
        <v>70.229122803981994</v>
      </c>
      <c r="J23">
        <v>73.282562925894197</v>
      </c>
      <c r="K23">
        <v>74.665252792420503</v>
      </c>
      <c r="L23">
        <v>79.7560654828129</v>
      </c>
      <c r="M23">
        <v>79.7560654828129</v>
      </c>
      <c r="N23">
        <v>79.7560654828129</v>
      </c>
      <c r="O23">
        <v>80.983081874856097</v>
      </c>
      <c r="P23">
        <v>83.5954393546902</v>
      </c>
      <c r="Q23">
        <v>86.852404524353403</v>
      </c>
      <c r="R23">
        <v>92.011953307978402</v>
      </c>
      <c r="S23">
        <v>97.564398766218503</v>
      </c>
      <c r="T23">
        <v>96.7085707068657</v>
      </c>
      <c r="U23">
        <v>90.664285037686597</v>
      </c>
      <c r="V23">
        <v>92.477570738440306</v>
      </c>
      <c r="W23">
        <v>98.168498168498203</v>
      </c>
      <c r="X23">
        <v>99.259259259259295</v>
      </c>
      <c r="Y23">
        <v>100</v>
      </c>
      <c r="Z23">
        <v>100</v>
      </c>
      <c r="AA23">
        <v>101.78571428571399</v>
      </c>
      <c r="AB23">
        <v>104.11668484187599</v>
      </c>
      <c r="AC23">
        <v>107.86188933259101</v>
      </c>
      <c r="AD23">
        <v>111.957910446486</v>
      </c>
      <c r="AE23">
        <v>114.33999364747601</v>
      </c>
    </row>
    <row r="24" spans="1:31" x14ac:dyDescent="0.3">
      <c r="A24" t="s">
        <v>264</v>
      </c>
      <c r="B24" t="s">
        <v>166</v>
      </c>
      <c r="C24" t="s">
        <v>0</v>
      </c>
      <c r="D24" t="s">
        <v>167</v>
      </c>
      <c r="E24" t="s">
        <v>123</v>
      </c>
      <c r="F24">
        <v>65.562938548457296</v>
      </c>
      <c r="G24">
        <v>65.087844790859805</v>
      </c>
      <c r="H24">
        <v>63.878033549393997</v>
      </c>
      <c r="I24">
        <v>66.619580053659803</v>
      </c>
      <c r="J24">
        <v>70.611764626163804</v>
      </c>
      <c r="K24">
        <v>73.1068799839788</v>
      </c>
      <c r="L24">
        <v>77.773276578700802</v>
      </c>
      <c r="M24">
        <v>76.801110621467103</v>
      </c>
      <c r="N24">
        <v>76.300777653249099</v>
      </c>
      <c r="O24">
        <v>78.224326669717499</v>
      </c>
      <c r="P24">
        <v>82.275785819941902</v>
      </c>
      <c r="Q24">
        <v>85.440239120708895</v>
      </c>
      <c r="R24">
        <v>91.070971211758504</v>
      </c>
      <c r="S24">
        <v>96.177754644193598</v>
      </c>
      <c r="T24">
        <v>94.641368787257605</v>
      </c>
      <c r="U24">
        <v>88.874690402370902</v>
      </c>
      <c r="V24">
        <v>90.703387735752997</v>
      </c>
      <c r="W24">
        <v>96.434645752023101</v>
      </c>
      <c r="X24">
        <v>98.4084542908072</v>
      </c>
      <c r="Y24">
        <v>99.159663865546193</v>
      </c>
      <c r="Z24">
        <v>100</v>
      </c>
      <c r="AA24">
        <v>102.272727272727</v>
      </c>
      <c r="AB24">
        <v>104.787630402384</v>
      </c>
      <c r="AC24">
        <v>108.753696094905</v>
      </c>
      <c r="AD24">
        <v>113.67220496351899</v>
      </c>
      <c r="AE24">
        <v>115.495823224966</v>
      </c>
    </row>
    <row r="25" spans="1:31" x14ac:dyDescent="0.3">
      <c r="A25" t="s">
        <v>264</v>
      </c>
      <c r="B25" t="s">
        <v>168</v>
      </c>
      <c r="C25" t="s">
        <v>0</v>
      </c>
      <c r="D25" t="s">
        <v>169</v>
      </c>
      <c r="E25" t="s">
        <v>123</v>
      </c>
      <c r="F25">
        <v>65.190250196504905</v>
      </c>
      <c r="G25">
        <v>65.190250196504806</v>
      </c>
      <c r="H25">
        <v>65.190250196504806</v>
      </c>
      <c r="I25">
        <v>67.797860204365094</v>
      </c>
      <c r="J25">
        <v>71.105072897260897</v>
      </c>
      <c r="K25">
        <v>74.847445155011499</v>
      </c>
      <c r="L25">
        <v>78.411609210012003</v>
      </c>
      <c r="M25">
        <v>78.411609210012003</v>
      </c>
      <c r="N25">
        <v>78.411609210012003</v>
      </c>
      <c r="O25">
        <v>79.9490917435417</v>
      </c>
      <c r="P25">
        <v>84.651979493161704</v>
      </c>
      <c r="Q25">
        <v>89.354867242781907</v>
      </c>
      <c r="R25">
        <v>95.737357760123402</v>
      </c>
      <c r="S25">
        <v>100.689290058061</v>
      </c>
      <c r="T25">
        <v>98.451750278992805</v>
      </c>
      <c r="U25">
        <v>92.771841609050895</v>
      </c>
      <c r="V25">
        <v>92.771841609050895</v>
      </c>
      <c r="W25">
        <v>97.297297297297305</v>
      </c>
      <c r="X25">
        <v>100</v>
      </c>
      <c r="Y25">
        <v>100</v>
      </c>
      <c r="Z25">
        <v>100</v>
      </c>
      <c r="AA25">
        <v>102.5</v>
      </c>
      <c r="AB25">
        <v>106.16071428571399</v>
      </c>
      <c r="AC25">
        <v>109.759382566586</v>
      </c>
      <c r="AD25">
        <v>114.46335610515401</v>
      </c>
      <c r="AE25">
        <v>117.398313954004</v>
      </c>
    </row>
    <row r="26" spans="1:31" x14ac:dyDescent="0.3">
      <c r="A26" t="s">
        <v>264</v>
      </c>
      <c r="B26" t="s">
        <v>170</v>
      </c>
      <c r="C26" t="s">
        <v>0</v>
      </c>
      <c r="D26" t="s">
        <v>171</v>
      </c>
      <c r="E26" t="s">
        <v>123</v>
      </c>
      <c r="F26">
        <v>64.328407965528001</v>
      </c>
      <c r="G26">
        <v>63.964970632389402</v>
      </c>
      <c r="H26">
        <v>62.907698390531699</v>
      </c>
      <c r="I26">
        <v>65.304182138742505</v>
      </c>
      <c r="J26">
        <v>69.498028698111298</v>
      </c>
      <c r="K26">
        <v>72.002462164709897</v>
      </c>
      <c r="L26">
        <v>77.457194146884802</v>
      </c>
      <c r="M26">
        <v>76.5009324907505</v>
      </c>
      <c r="N26">
        <v>75.423454568345505</v>
      </c>
      <c r="O26">
        <v>77.641791467414507</v>
      </c>
      <c r="P26">
        <v>81.685634773008999</v>
      </c>
      <c r="Q26">
        <v>86.2237255937318</v>
      </c>
      <c r="R26">
        <v>91.822668814104006</v>
      </c>
      <c r="S26">
        <v>97.178991161593402</v>
      </c>
      <c r="T26">
        <v>95.111353051772198</v>
      </c>
      <c r="U26">
        <v>89.347028624392095</v>
      </c>
      <c r="V26">
        <v>91.474338829734805</v>
      </c>
      <c r="W26">
        <v>97.532242063492006</v>
      </c>
      <c r="X26">
        <v>99.3055555555555</v>
      </c>
      <c r="Y26">
        <v>100</v>
      </c>
      <c r="Z26">
        <v>100</v>
      </c>
      <c r="AA26">
        <v>102.209944751381</v>
      </c>
      <c r="AB26">
        <v>104.53289804118501</v>
      </c>
      <c r="AC26">
        <v>108.38861969024499</v>
      </c>
      <c r="AD26">
        <v>113.46933623822601</v>
      </c>
      <c r="AE26">
        <v>115.963167803901</v>
      </c>
    </row>
    <row r="27" spans="1:31" x14ac:dyDescent="0.3">
      <c r="A27" t="s">
        <v>264</v>
      </c>
      <c r="B27" t="s">
        <v>172</v>
      </c>
      <c r="C27" t="s">
        <v>0</v>
      </c>
      <c r="D27" t="s">
        <v>173</v>
      </c>
      <c r="E27" t="s">
        <v>123</v>
      </c>
      <c r="F27">
        <v>67.387957170536794</v>
      </c>
      <c r="G27">
        <v>66.576054072096596</v>
      </c>
      <c r="H27">
        <v>64.9116527202941</v>
      </c>
      <c r="I27">
        <v>68.062703823221</v>
      </c>
      <c r="J27">
        <v>72.134831402388102</v>
      </c>
      <c r="K27">
        <v>74.492178833838693</v>
      </c>
      <c r="L27">
        <v>78.917456784363793</v>
      </c>
      <c r="M27">
        <v>77.765377123278199</v>
      </c>
      <c r="N27">
        <v>77.384174294242499</v>
      </c>
      <c r="O27">
        <v>79.335035831072204</v>
      </c>
      <c r="P27">
        <v>83.149220246027596</v>
      </c>
      <c r="Q27">
        <v>85.594785547381306</v>
      </c>
      <c r="R27">
        <v>91.189215975314696</v>
      </c>
      <c r="S27">
        <v>96.290710575332298</v>
      </c>
      <c r="T27">
        <v>94.983596857115103</v>
      </c>
      <c r="U27">
        <v>89.108322824716296</v>
      </c>
      <c r="V27">
        <v>90.6580327868853</v>
      </c>
      <c r="W27">
        <v>96.455930232558103</v>
      </c>
      <c r="X27">
        <v>98.424418604651194</v>
      </c>
      <c r="Y27">
        <v>99.418604651162795</v>
      </c>
      <c r="Z27">
        <v>100</v>
      </c>
      <c r="AA27">
        <v>102.28571428571399</v>
      </c>
      <c r="AB27">
        <v>104.842857142857</v>
      </c>
      <c r="AC27">
        <v>109.05764536970599</v>
      </c>
      <c r="AD27">
        <v>113.965239411342</v>
      </c>
      <c r="AE27">
        <v>115.36645137131801</v>
      </c>
    </row>
    <row r="28" spans="1:31" x14ac:dyDescent="0.3">
      <c r="A28" t="s">
        <v>264</v>
      </c>
      <c r="B28" t="s">
        <v>174</v>
      </c>
      <c r="C28" t="s">
        <v>0</v>
      </c>
      <c r="D28" t="s">
        <v>175</v>
      </c>
      <c r="E28" t="s">
        <v>123</v>
      </c>
      <c r="F28">
        <v>61.433277322749802</v>
      </c>
      <c r="G28">
        <v>61.433277322749802</v>
      </c>
      <c r="H28">
        <v>62.555346314946199</v>
      </c>
      <c r="I28">
        <v>63.866386507175598</v>
      </c>
      <c r="J28">
        <v>66.781449791735497</v>
      </c>
      <c r="K28">
        <v>69.603201191386205</v>
      </c>
      <c r="L28">
        <v>72.533862294181404</v>
      </c>
      <c r="M28">
        <v>72.902054488568197</v>
      </c>
      <c r="N28">
        <v>73.198404303562299</v>
      </c>
      <c r="O28">
        <v>75.133163888678496</v>
      </c>
      <c r="P28">
        <v>78.4724156170642</v>
      </c>
      <c r="Q28">
        <v>82.618128140229899</v>
      </c>
      <c r="R28">
        <v>87.763893906749402</v>
      </c>
      <c r="S28">
        <v>93.958992300166997</v>
      </c>
      <c r="T28">
        <v>92.718609563531103</v>
      </c>
      <c r="U28">
        <v>91.020466531232003</v>
      </c>
      <c r="V28">
        <v>94.7563812022901</v>
      </c>
      <c r="W28">
        <v>99.889018517414101</v>
      </c>
      <c r="X28">
        <v>101.073473282443</v>
      </c>
      <c r="Y28">
        <v>101.526717557252</v>
      </c>
      <c r="Z28">
        <v>100</v>
      </c>
      <c r="AA28">
        <v>99.115044247787594</v>
      </c>
      <c r="AB28">
        <v>101.81205225453</v>
      </c>
      <c r="AC28">
        <v>105.041165852155</v>
      </c>
      <c r="AD28">
        <v>108.619722604633</v>
      </c>
      <c r="AE28">
        <v>108.001394012956</v>
      </c>
    </row>
    <row r="29" spans="1:31" x14ac:dyDescent="0.3">
      <c r="A29" t="s">
        <v>264</v>
      </c>
      <c r="B29" t="s">
        <v>176</v>
      </c>
      <c r="C29" t="s">
        <v>0</v>
      </c>
      <c r="D29" t="s">
        <v>177</v>
      </c>
      <c r="E29" t="s">
        <v>123</v>
      </c>
      <c r="F29">
        <v>69.255046131610698</v>
      </c>
      <c r="G29">
        <v>69.255046131610698</v>
      </c>
      <c r="H29">
        <v>70.258742452358703</v>
      </c>
      <c r="I29">
        <v>70.258742452358703</v>
      </c>
      <c r="J29">
        <v>72.387795253945399</v>
      </c>
      <c r="K29">
        <v>73.635860689358196</v>
      </c>
      <c r="L29">
        <v>74.999487739161097</v>
      </c>
      <c r="M29">
        <v>74.999487739161097</v>
      </c>
      <c r="N29">
        <v>74.999487739161097</v>
      </c>
      <c r="O29">
        <v>76.828743537677298</v>
      </c>
      <c r="P29">
        <v>80.4872551347095</v>
      </c>
      <c r="Q29">
        <v>85.221799554398302</v>
      </c>
      <c r="R29">
        <v>89.345435016707896</v>
      </c>
      <c r="S29">
        <v>96.7908879347669</v>
      </c>
      <c r="T29">
        <v>95.918897953372607</v>
      </c>
      <c r="U29">
        <v>92.181798033111306</v>
      </c>
      <c r="V29">
        <v>96.087806424344905</v>
      </c>
      <c r="W29">
        <v>99.9313186813187</v>
      </c>
      <c r="X29">
        <v>100.961538461538</v>
      </c>
      <c r="Y29">
        <v>100.961538461538</v>
      </c>
      <c r="Z29">
        <v>100</v>
      </c>
      <c r="AA29">
        <v>98.529411764705898</v>
      </c>
      <c r="AB29">
        <v>100.93256814921099</v>
      </c>
      <c r="AC29">
        <v>103.252857072181</v>
      </c>
      <c r="AD29">
        <v>106.358206157059</v>
      </c>
      <c r="AE29">
        <v>105.092037036142</v>
      </c>
    </row>
    <row r="30" spans="1:31" x14ac:dyDescent="0.3">
      <c r="A30" t="s">
        <v>264</v>
      </c>
      <c r="B30" t="s">
        <v>178</v>
      </c>
      <c r="C30" t="s">
        <v>0</v>
      </c>
      <c r="D30" t="s">
        <v>179</v>
      </c>
      <c r="E30" t="s">
        <v>123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>
        <v>0</v>
      </c>
      <c r="Q30">
        <v>110</v>
      </c>
      <c r="R30">
        <v>110</v>
      </c>
      <c r="S30">
        <v>110</v>
      </c>
      <c r="T30">
        <v>110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</row>
    <row r="31" spans="1:31" x14ac:dyDescent="0.3">
      <c r="A31" t="s">
        <v>264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>
        <v>0</v>
      </c>
      <c r="O31">
        <v>0</v>
      </c>
      <c r="P31">
        <v>0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>
        <v>0</v>
      </c>
      <c r="Y31">
        <v>100</v>
      </c>
      <c r="Z31">
        <v>100</v>
      </c>
      <c r="AA31">
        <v>104.347826086957</v>
      </c>
      <c r="AB31">
        <v>104.347826086957</v>
      </c>
      <c r="AC31">
        <v>104.347826086957</v>
      </c>
      <c r="AD31">
        <v>104.347826086957</v>
      </c>
      <c r="AE31">
        <v>0</v>
      </c>
    </row>
    <row r="32" spans="1:31" x14ac:dyDescent="0.3">
      <c r="A32" t="s">
        <v>264</v>
      </c>
      <c r="B32" t="s">
        <v>182</v>
      </c>
      <c r="C32" t="s">
        <v>0</v>
      </c>
      <c r="D32" t="s">
        <v>183</v>
      </c>
      <c r="E32" t="s">
        <v>123</v>
      </c>
      <c r="F32">
        <v>58.181610520241499</v>
      </c>
      <c r="G32">
        <v>58.181610520241499</v>
      </c>
      <c r="H32">
        <v>59.5668869611996</v>
      </c>
      <c r="I32">
        <v>60.896504973726401</v>
      </c>
      <c r="J32">
        <v>63.941330222412702</v>
      </c>
      <c r="K32">
        <v>67.306663392013405</v>
      </c>
      <c r="L32">
        <v>70.511742601156897</v>
      </c>
      <c r="M32">
        <v>71.011825882016097</v>
      </c>
      <c r="N32">
        <v>71.368669228156904</v>
      </c>
      <c r="O32">
        <v>73.373407127824194</v>
      </c>
      <c r="P32">
        <v>76.658783566383505</v>
      </c>
      <c r="Q32">
        <v>80.623893061196497</v>
      </c>
      <c r="R32">
        <v>85.859210792442994</v>
      </c>
      <c r="S32">
        <v>91.780535674680394</v>
      </c>
      <c r="T32">
        <v>90.353895223778693</v>
      </c>
      <c r="U32">
        <v>89.843421239463495</v>
      </c>
      <c r="V32">
        <v>93.749656945527207</v>
      </c>
      <c r="W32">
        <v>99.300623475196502</v>
      </c>
      <c r="X32">
        <v>100.607210626186</v>
      </c>
      <c r="Y32">
        <v>101.260504201681</v>
      </c>
      <c r="Z32">
        <v>100</v>
      </c>
      <c r="AA32">
        <v>99.288256227757998</v>
      </c>
      <c r="AB32">
        <v>102.07440627496599</v>
      </c>
      <c r="AC32">
        <v>105.69406607195</v>
      </c>
      <c r="AD32">
        <v>109.575486577417</v>
      </c>
      <c r="AE32">
        <v>109.267690266806</v>
      </c>
    </row>
    <row r="33" spans="1:31" x14ac:dyDescent="0.3">
      <c r="A33" t="s">
        <v>264</v>
      </c>
      <c r="B33" t="s">
        <v>184</v>
      </c>
      <c r="C33" t="s">
        <v>0</v>
      </c>
      <c r="D33" t="s">
        <v>185</v>
      </c>
      <c r="E33" t="s">
        <v>123</v>
      </c>
      <c r="F33">
        <v>70.970922572799196</v>
      </c>
      <c r="G33">
        <v>70.970922572799196</v>
      </c>
      <c r="H33">
        <v>70.970922572799196</v>
      </c>
      <c r="I33">
        <v>72.998663217736294</v>
      </c>
      <c r="J33">
        <v>78.613945003715997</v>
      </c>
      <c r="K33">
        <v>83.238294709816898</v>
      </c>
      <c r="L33">
        <v>92.4869941220188</v>
      </c>
      <c r="M33">
        <v>92.4869941220188</v>
      </c>
      <c r="N33">
        <v>92.4869941220188</v>
      </c>
      <c r="O33">
        <v>92.4869941220188</v>
      </c>
      <c r="P33">
        <v>92.4869941220188</v>
      </c>
      <c r="Q33">
        <v>92.4869941220188</v>
      </c>
      <c r="R33">
        <v>92.4869941220188</v>
      </c>
      <c r="S33">
        <v>97.229916897506897</v>
      </c>
      <c r="T33">
        <v>94.736842105263193</v>
      </c>
      <c r="U33">
        <v>94.736842105263193</v>
      </c>
      <c r="V33">
        <v>94.736842105263193</v>
      </c>
      <c r="W33">
        <v>100</v>
      </c>
      <c r="X33">
        <v>100</v>
      </c>
      <c r="Y33">
        <v>100</v>
      </c>
      <c r="Z33">
        <v>100</v>
      </c>
      <c r="AA33">
        <v>102.941176470588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264</v>
      </c>
      <c r="B34" t="s">
        <v>186</v>
      </c>
      <c r="C34" t="s">
        <v>0</v>
      </c>
      <c r="D34" t="s">
        <v>187</v>
      </c>
      <c r="E34" t="s">
        <v>123</v>
      </c>
      <c r="F34">
        <v>63.2070454510053</v>
      </c>
      <c r="G34">
        <v>63.2070454510053</v>
      </c>
      <c r="H34">
        <v>63.2070454510053</v>
      </c>
      <c r="I34">
        <v>65.548047134375807</v>
      </c>
      <c r="J34">
        <v>67.319615975845494</v>
      </c>
      <c r="K34">
        <v>69.491216491195303</v>
      </c>
      <c r="L34">
        <v>78.177618552594794</v>
      </c>
      <c r="M34">
        <v>78.177618552594694</v>
      </c>
      <c r="N34">
        <v>78.177618552594694</v>
      </c>
      <c r="O34">
        <v>80.1821728744561</v>
      </c>
      <c r="P34">
        <v>84.191281518178997</v>
      </c>
      <c r="Q34">
        <v>86.631608518705903</v>
      </c>
      <c r="R34">
        <v>91.653730751674303</v>
      </c>
      <c r="S34">
        <v>96.891086794627199</v>
      </c>
      <c r="T34">
        <v>95.664617341530601</v>
      </c>
      <c r="U34">
        <v>89.622641509433905</v>
      </c>
      <c r="V34">
        <v>91.346153846153797</v>
      </c>
      <c r="W34">
        <v>97.435897435897402</v>
      </c>
      <c r="X34">
        <v>100</v>
      </c>
      <c r="Y34">
        <v>100</v>
      </c>
      <c r="Z34">
        <v>100</v>
      </c>
      <c r="AA34">
        <v>102.631578947368</v>
      </c>
      <c r="AB34">
        <v>105.710526315789</v>
      </c>
      <c r="AC34">
        <v>109.938947368421</v>
      </c>
      <c r="AD34">
        <v>114.880023654642</v>
      </c>
      <c r="AE34">
        <v>116.747991518945</v>
      </c>
    </row>
    <row r="35" spans="1:31" x14ac:dyDescent="0.3">
      <c r="A35" t="s">
        <v>264</v>
      </c>
      <c r="B35" t="s">
        <v>188</v>
      </c>
      <c r="C35" t="s">
        <v>0</v>
      </c>
      <c r="D35" t="s">
        <v>189</v>
      </c>
      <c r="E35" t="s">
        <v>123</v>
      </c>
      <c r="F35">
        <v>57.030961327186702</v>
      </c>
      <c r="G35">
        <v>57.030961327186702</v>
      </c>
      <c r="H35">
        <v>58.6949946815609</v>
      </c>
      <c r="I35">
        <v>59.163305809339299</v>
      </c>
      <c r="J35">
        <v>60.885314710234802</v>
      </c>
      <c r="K35">
        <v>64.274806456990106</v>
      </c>
      <c r="L35">
        <v>66.697864636916407</v>
      </c>
      <c r="M35">
        <v>67.662171113594695</v>
      </c>
      <c r="N35">
        <v>69.322592490615406</v>
      </c>
      <c r="O35">
        <v>71.866540838894807</v>
      </c>
      <c r="P35">
        <v>74.924691512890405</v>
      </c>
      <c r="Q35">
        <v>79.145800893898297</v>
      </c>
      <c r="R35">
        <v>83.636342788587598</v>
      </c>
      <c r="S35">
        <v>90.025230084938002</v>
      </c>
      <c r="T35">
        <v>88.878411867295497</v>
      </c>
      <c r="U35">
        <v>90.384825627758104</v>
      </c>
      <c r="V35">
        <v>94.904066909145996</v>
      </c>
      <c r="W35">
        <v>99.615616330167498</v>
      </c>
      <c r="X35">
        <v>100.058352402746</v>
      </c>
      <c r="Y35">
        <v>100.75</v>
      </c>
      <c r="Z35">
        <v>100</v>
      </c>
      <c r="AA35">
        <v>98.706896551724199</v>
      </c>
      <c r="AB35">
        <v>100.933367902515</v>
      </c>
      <c r="AC35">
        <v>104.08753564946799</v>
      </c>
      <c r="AD35">
        <v>107.966574245101</v>
      </c>
      <c r="AE35">
        <v>108.66993954962901</v>
      </c>
    </row>
    <row r="36" spans="1:31" x14ac:dyDescent="0.3">
      <c r="A36" t="s">
        <v>264</v>
      </c>
      <c r="B36" t="s">
        <v>190</v>
      </c>
      <c r="C36" t="s">
        <v>0</v>
      </c>
      <c r="D36" t="s">
        <v>191</v>
      </c>
      <c r="E36" t="s">
        <v>123</v>
      </c>
      <c r="F36">
        <v>91.488988685250405</v>
      </c>
      <c r="G36">
        <v>91.488988685250405</v>
      </c>
      <c r="H36">
        <v>91.488988685250405</v>
      </c>
      <c r="I36">
        <v>94.348019581664502</v>
      </c>
      <c r="J36">
        <v>99.065420560747697</v>
      </c>
      <c r="K36">
        <v>99.065420560747697</v>
      </c>
      <c r="L36">
        <v>99.065420560747697</v>
      </c>
      <c r="M36">
        <v>99.065420560747697</v>
      </c>
      <c r="N36">
        <v>99.065420560747697</v>
      </c>
      <c r="O36">
        <v>99.065420560747697</v>
      </c>
      <c r="P36">
        <v>99.065420560747697</v>
      </c>
      <c r="Q36">
        <v>99.065420560747697</v>
      </c>
      <c r="R36">
        <v>99.065420560747697</v>
      </c>
      <c r="S36">
        <v>99.065420560747697</v>
      </c>
      <c r="T36">
        <v>99.065420560747697</v>
      </c>
      <c r="U36">
        <v>99.065420560747697</v>
      </c>
      <c r="V36">
        <v>99.065420560747697</v>
      </c>
      <c r="W36">
        <v>99.065420560747697</v>
      </c>
      <c r="X36">
        <v>99.065420560747697</v>
      </c>
      <c r="Y36">
        <v>100</v>
      </c>
      <c r="Z36">
        <v>100</v>
      </c>
      <c r="AA36">
        <v>100</v>
      </c>
      <c r="AB36">
        <v>100</v>
      </c>
      <c r="AC36">
        <v>104</v>
      </c>
      <c r="AD36">
        <v>108.727272727273</v>
      </c>
      <c r="AE36">
        <v>108.727272727273</v>
      </c>
    </row>
    <row r="37" spans="1:31" x14ac:dyDescent="0.3">
      <c r="A37" t="s">
        <v>264</v>
      </c>
      <c r="B37" t="s">
        <v>192</v>
      </c>
      <c r="C37" t="s">
        <v>0</v>
      </c>
      <c r="D37" t="s">
        <v>193</v>
      </c>
      <c r="E37" t="s">
        <v>123</v>
      </c>
      <c r="F37">
        <v>56.159522386857901</v>
      </c>
      <c r="G37">
        <v>56.159522386857901</v>
      </c>
      <c r="H37">
        <v>57.960556632500598</v>
      </c>
      <c r="I37">
        <v>58.302506819123003</v>
      </c>
      <c r="J37">
        <v>59.953776075438</v>
      </c>
      <c r="K37">
        <v>63.434963073366703</v>
      </c>
      <c r="L37">
        <v>65.860042144581897</v>
      </c>
      <c r="M37">
        <v>66.840588677751796</v>
      </c>
      <c r="N37">
        <v>68.554449925899306</v>
      </c>
      <c r="O37">
        <v>70.918396475068306</v>
      </c>
      <c r="P37">
        <v>74.509201359881899</v>
      </c>
      <c r="Q37">
        <v>79.129927025610996</v>
      </c>
      <c r="R37">
        <v>84.276588945975902</v>
      </c>
      <c r="S37">
        <v>90.583000363701998</v>
      </c>
      <c r="T37">
        <v>89.298135110316096</v>
      </c>
      <c r="U37">
        <v>90.962075516098395</v>
      </c>
      <c r="V37">
        <v>96.273729560834099</v>
      </c>
      <c r="W37">
        <v>100.717132463642</v>
      </c>
      <c r="X37">
        <v>101.26154939587801</v>
      </c>
      <c r="Y37">
        <v>101.990049751244</v>
      </c>
      <c r="Z37">
        <v>100</v>
      </c>
      <c r="AA37">
        <v>98.623853211009205</v>
      </c>
      <c r="AB37">
        <v>101.33827118929401</v>
      </c>
      <c r="AC37">
        <v>104.47244452504501</v>
      </c>
      <c r="AD37">
        <v>106.144003637446</v>
      </c>
      <c r="AE37">
        <v>104.131795037684</v>
      </c>
    </row>
    <row r="38" spans="1:31" x14ac:dyDescent="0.3">
      <c r="A38" t="s">
        <v>264</v>
      </c>
      <c r="B38" t="s">
        <v>194</v>
      </c>
      <c r="C38" t="s">
        <v>0</v>
      </c>
      <c r="D38" t="s">
        <v>195</v>
      </c>
      <c r="E38" t="s">
        <v>123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>
        <v>0</v>
      </c>
      <c r="O38">
        <v>89.663211007335505</v>
      </c>
      <c r="P38">
        <v>89.663211007335505</v>
      </c>
      <c r="Q38">
        <v>89.663211007335505</v>
      </c>
      <c r="R38">
        <v>89.663211007335505</v>
      </c>
      <c r="S38">
        <v>89.663211007335505</v>
      </c>
      <c r="T38">
        <v>89.663211007335505</v>
      </c>
      <c r="U38">
        <v>89.663211007335505</v>
      </c>
      <c r="V38">
        <v>93.249739447628997</v>
      </c>
      <c r="W38">
        <v>98.735018238666001</v>
      </c>
      <c r="X38">
        <v>98.735018238666001</v>
      </c>
      <c r="Y38">
        <v>99.473684210526301</v>
      </c>
      <c r="Z38">
        <v>100</v>
      </c>
      <c r="AA38">
        <v>100</v>
      </c>
      <c r="AB38">
        <v>100</v>
      </c>
      <c r="AC38">
        <v>102.970297029703</v>
      </c>
      <c r="AD38">
        <v>108.265912305516</v>
      </c>
      <c r="AE38">
        <v>110.42583075550201</v>
      </c>
    </row>
    <row r="39" spans="1:31" x14ac:dyDescent="0.3">
      <c r="A39" t="s">
        <v>264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102.439024390244</v>
      </c>
      <c r="AB39">
        <v>102.439024390244</v>
      </c>
      <c r="AC39">
        <v>122.92682926829301</v>
      </c>
      <c r="AD39">
        <v>122.92682926829301</v>
      </c>
      <c r="AE39">
        <v>122.92682926829301</v>
      </c>
    </row>
    <row r="40" spans="1:31" x14ac:dyDescent="0.3">
      <c r="A40" t="s">
        <v>264</v>
      </c>
      <c r="B40" t="s">
        <v>198</v>
      </c>
      <c r="C40" t="s">
        <v>0</v>
      </c>
      <c r="D40" t="s">
        <v>199</v>
      </c>
      <c r="E40" t="s">
        <v>123</v>
      </c>
      <c r="F40">
        <v>67.0083931370811</v>
      </c>
      <c r="G40">
        <v>66.323080025451802</v>
      </c>
      <c r="H40">
        <v>65.0966219310978</v>
      </c>
      <c r="I40">
        <v>67.482633571600203</v>
      </c>
      <c r="J40">
        <v>71.3472777849517</v>
      </c>
      <c r="K40">
        <v>73.655236850679003</v>
      </c>
      <c r="L40">
        <v>78.675642924013601</v>
      </c>
      <c r="M40">
        <v>77.708533692057301</v>
      </c>
      <c r="N40">
        <v>77.256038348353499</v>
      </c>
      <c r="O40">
        <v>79.138392062400598</v>
      </c>
      <c r="P40">
        <v>83.219965112733504</v>
      </c>
      <c r="Q40">
        <v>86.6252171170824</v>
      </c>
      <c r="R40">
        <v>92.242497082497096</v>
      </c>
      <c r="S40">
        <v>97.381147412460194</v>
      </c>
      <c r="T40">
        <v>96.024214376449393</v>
      </c>
      <c r="U40">
        <v>90.0884269703608</v>
      </c>
      <c r="V40">
        <v>91.984381645229206</v>
      </c>
      <c r="W40">
        <v>97.681083638352206</v>
      </c>
      <c r="X40">
        <v>99.645089711043795</v>
      </c>
      <c r="Y40">
        <v>100.29565612917899</v>
      </c>
      <c r="Z40">
        <v>100</v>
      </c>
      <c r="AA40">
        <v>102.30627306273099</v>
      </c>
      <c r="AB40">
        <v>105.450236603695</v>
      </c>
      <c r="AC40">
        <v>110.12281273329</v>
      </c>
      <c r="AD40">
        <v>116.02033434997</v>
      </c>
      <c r="AE40">
        <v>118.81959293028299</v>
      </c>
    </row>
    <row r="41" spans="1:31" x14ac:dyDescent="0.3">
      <c r="A41" t="s">
        <v>264</v>
      </c>
      <c r="B41" t="s">
        <v>200</v>
      </c>
      <c r="C41" t="s">
        <v>0</v>
      </c>
      <c r="D41" t="s">
        <v>201</v>
      </c>
      <c r="E41" t="s">
        <v>123</v>
      </c>
      <c r="F41">
        <v>79.295132312766398</v>
      </c>
      <c r="G41">
        <v>75.330375697128105</v>
      </c>
      <c r="H41">
        <v>71.563856912271703</v>
      </c>
      <c r="I41">
        <v>71.563856912271703</v>
      </c>
      <c r="J41">
        <v>72.341724922187694</v>
      </c>
      <c r="K41">
        <v>74.150268045242399</v>
      </c>
      <c r="L41">
        <v>78.158390642282498</v>
      </c>
      <c r="M41">
        <v>78.158390642282498</v>
      </c>
      <c r="N41">
        <v>78.643846484781207</v>
      </c>
      <c r="O41">
        <v>80.597730869496203</v>
      </c>
      <c r="P41">
        <v>84.934828494760595</v>
      </c>
      <c r="Q41">
        <v>89.129141013020401</v>
      </c>
      <c r="R41">
        <v>93.799663686191707</v>
      </c>
      <c r="S41">
        <v>98.576498410951501</v>
      </c>
      <c r="T41">
        <v>97.468897305210504</v>
      </c>
      <c r="U41">
        <v>95.572615256470996</v>
      </c>
      <c r="V41">
        <v>97.203547257434593</v>
      </c>
      <c r="W41">
        <v>100.751121974859</v>
      </c>
      <c r="X41">
        <v>102.41918690821799</v>
      </c>
      <c r="Y41">
        <v>101.891252955083</v>
      </c>
      <c r="Z41">
        <v>100</v>
      </c>
      <c r="AA41">
        <v>99.074074074074105</v>
      </c>
      <c r="AB41">
        <v>101.751751751752</v>
      </c>
      <c r="AC41">
        <v>105.075301432085</v>
      </c>
      <c r="AD41">
        <v>107.69563313862101</v>
      </c>
      <c r="AE41">
        <v>106.304216689802</v>
      </c>
    </row>
    <row r="42" spans="1:31" x14ac:dyDescent="0.3">
      <c r="A42" t="s">
        <v>264</v>
      </c>
      <c r="B42" t="s">
        <v>202</v>
      </c>
      <c r="C42" t="s">
        <v>0</v>
      </c>
      <c r="D42" t="s">
        <v>203</v>
      </c>
      <c r="E42" t="s">
        <v>123</v>
      </c>
      <c r="F42">
        <v>84.388717566711804</v>
      </c>
      <c r="G42">
        <v>84.388717566711804</v>
      </c>
      <c r="H42">
        <v>84.388717566711804</v>
      </c>
      <c r="I42">
        <v>84.388717566711804</v>
      </c>
      <c r="J42">
        <v>84.388717566711804</v>
      </c>
      <c r="K42">
        <v>84.388717566711804</v>
      </c>
      <c r="L42">
        <v>84.388717566711804</v>
      </c>
      <c r="M42">
        <v>84.388717566711804</v>
      </c>
      <c r="N42">
        <v>84.388717566711804</v>
      </c>
      <c r="O42">
        <v>84.388717566711804</v>
      </c>
      <c r="P42">
        <v>86.351245882216702</v>
      </c>
      <c r="Q42">
        <v>88.565380392017104</v>
      </c>
      <c r="R42">
        <v>93.049703449840806</v>
      </c>
      <c r="S42">
        <v>98.125141819832095</v>
      </c>
      <c r="T42">
        <v>98.125141819832095</v>
      </c>
      <c r="U42">
        <v>92.353074653959595</v>
      </c>
      <c r="V42">
        <v>94.871794871794904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101.388888888889</v>
      </c>
      <c r="AC42">
        <v>105.84554334554301</v>
      </c>
      <c r="AD42">
        <v>109.98013488247901</v>
      </c>
      <c r="AE42">
        <v>111.11395070600901</v>
      </c>
    </row>
    <row r="43" spans="1:31" x14ac:dyDescent="0.3">
      <c r="A43" t="s">
        <v>264</v>
      </c>
      <c r="B43" t="s">
        <v>204</v>
      </c>
      <c r="C43" t="s">
        <v>0</v>
      </c>
      <c r="D43" t="s">
        <v>205</v>
      </c>
      <c r="E43" t="s">
        <v>123</v>
      </c>
      <c r="F43">
        <v>76.198755614927407</v>
      </c>
      <c r="G43">
        <v>76.198755614927407</v>
      </c>
      <c r="H43">
        <v>76.198755614927407</v>
      </c>
      <c r="I43">
        <v>77.188349843692706</v>
      </c>
      <c r="J43">
        <v>79.246705839524594</v>
      </c>
      <c r="K43">
        <v>80.001436371329504</v>
      </c>
      <c r="L43">
        <v>84.125221751295001</v>
      </c>
      <c r="M43">
        <v>84.125221751295001</v>
      </c>
      <c r="N43">
        <v>84.125221751295001</v>
      </c>
      <c r="O43">
        <v>85.049674737573</v>
      </c>
      <c r="P43">
        <v>87.027574150074699</v>
      </c>
      <c r="Q43">
        <v>89.230803875392994</v>
      </c>
      <c r="R43">
        <v>94.035539468683396</v>
      </c>
      <c r="S43">
        <v>99.178108033377001</v>
      </c>
      <c r="T43">
        <v>99.178108033377001</v>
      </c>
      <c r="U43">
        <v>93.828251583443802</v>
      </c>
      <c r="V43">
        <v>95.890410958904098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100.813008130081</v>
      </c>
      <c r="AC43">
        <v>104.927824788452</v>
      </c>
      <c r="AD43">
        <v>109.340677232826</v>
      </c>
      <c r="AE43">
        <v>110.510096240664</v>
      </c>
    </row>
    <row r="44" spans="1:31" x14ac:dyDescent="0.3">
      <c r="A44" t="s">
        <v>264</v>
      </c>
      <c r="B44" t="s">
        <v>206</v>
      </c>
      <c r="C44" t="s">
        <v>0</v>
      </c>
      <c r="D44" t="s">
        <v>207</v>
      </c>
      <c r="E44" t="s">
        <v>123</v>
      </c>
      <c r="F44">
        <v>63.517446059037397</v>
      </c>
      <c r="G44">
        <v>63.316087476955197</v>
      </c>
      <c r="H44">
        <v>64.342488084484302</v>
      </c>
      <c r="I44">
        <v>65.7014203397122</v>
      </c>
      <c r="J44">
        <v>67.8440756205257</v>
      </c>
      <c r="K44">
        <v>70.438230292530704</v>
      </c>
      <c r="L44">
        <v>73.304781687508296</v>
      </c>
      <c r="M44">
        <v>73.754003190885797</v>
      </c>
      <c r="N44">
        <v>74.527646580999999</v>
      </c>
      <c r="O44">
        <v>76.479939485649993</v>
      </c>
      <c r="P44">
        <v>79.693788443498804</v>
      </c>
      <c r="Q44">
        <v>83.391507634017003</v>
      </c>
      <c r="R44">
        <v>89.057414901444503</v>
      </c>
      <c r="S44">
        <v>94.032792805595804</v>
      </c>
      <c r="T44">
        <v>93.655907864491198</v>
      </c>
      <c r="U44">
        <v>91.423961389260398</v>
      </c>
      <c r="V44">
        <v>94.482119629883599</v>
      </c>
      <c r="W44">
        <v>99.260472613852798</v>
      </c>
      <c r="X44">
        <v>100.47013116720601</v>
      </c>
      <c r="Y44">
        <v>100.720524017467</v>
      </c>
      <c r="Z44">
        <v>100</v>
      </c>
      <c r="AA44">
        <v>100.380090497738</v>
      </c>
      <c r="AB44">
        <v>102.635426917557</v>
      </c>
      <c r="AC44">
        <v>106.401864602605</v>
      </c>
      <c r="AD44">
        <v>109.797861987941</v>
      </c>
      <c r="AE44">
        <v>110.087027542364</v>
      </c>
    </row>
    <row r="45" spans="1:31" x14ac:dyDescent="0.3">
      <c r="A45" t="s">
        <v>264</v>
      </c>
      <c r="B45" t="s">
        <v>208</v>
      </c>
      <c r="C45" t="s">
        <v>0</v>
      </c>
      <c r="D45" t="s">
        <v>209</v>
      </c>
      <c r="E45" t="s">
        <v>123</v>
      </c>
      <c r="F45">
        <v>63.1672209229164</v>
      </c>
      <c r="G45">
        <v>63.007707738767699</v>
      </c>
      <c r="H45">
        <v>63.6684429289812</v>
      </c>
      <c r="I45">
        <v>65.162777295532905</v>
      </c>
      <c r="J45">
        <v>67.620803536857906</v>
      </c>
      <c r="K45">
        <v>70.167910950053596</v>
      </c>
      <c r="L45">
        <v>73.395846521662307</v>
      </c>
      <c r="M45">
        <v>73.627541582586602</v>
      </c>
      <c r="N45">
        <v>74.2760043341396</v>
      </c>
      <c r="O45">
        <v>76.247684388515694</v>
      </c>
      <c r="P45">
        <v>79.647663708895493</v>
      </c>
      <c r="Q45">
        <v>83.316989349597804</v>
      </c>
      <c r="R45">
        <v>88.573356647988007</v>
      </c>
      <c r="S45">
        <v>94.300964006287501</v>
      </c>
      <c r="T45">
        <v>93.147755997316807</v>
      </c>
      <c r="U45">
        <v>90.901943280963593</v>
      </c>
      <c r="V45">
        <v>94.229247207792397</v>
      </c>
      <c r="W45">
        <v>99.162562814396196</v>
      </c>
      <c r="X45">
        <v>100.272809540073</v>
      </c>
      <c r="Y45">
        <v>100.81904274379301</v>
      </c>
      <c r="Z45">
        <v>100</v>
      </c>
      <c r="AA45">
        <v>100.23216547066301</v>
      </c>
      <c r="AB45">
        <v>102.64814473726101</v>
      </c>
      <c r="AC45">
        <v>105.991281461215</v>
      </c>
      <c r="AD45">
        <v>109.41587860051099</v>
      </c>
      <c r="AE45">
        <v>109.515546917691</v>
      </c>
    </row>
    <row r="46" spans="1:31" x14ac:dyDescent="0.3">
      <c r="A46" t="s">
        <v>264</v>
      </c>
      <c r="B46" t="s">
        <v>210</v>
      </c>
      <c r="C46" t="s">
        <v>0</v>
      </c>
      <c r="D46" t="s">
        <v>211</v>
      </c>
      <c r="E46" t="s">
        <v>123</v>
      </c>
      <c r="F46">
        <v>72.606207296893302</v>
      </c>
      <c r="G46">
        <v>72.606207296893302</v>
      </c>
      <c r="H46">
        <v>72.606207296893302</v>
      </c>
      <c r="I46">
        <v>74.256348371822696</v>
      </c>
      <c r="J46">
        <v>77.8786092680092</v>
      </c>
      <c r="K46">
        <v>79.114777669088696</v>
      </c>
      <c r="L46">
        <v>84.686240885221693</v>
      </c>
      <c r="M46">
        <v>84.686240885221693</v>
      </c>
      <c r="N46">
        <v>84.686240885221693</v>
      </c>
      <c r="O46">
        <v>85.950214629777307</v>
      </c>
      <c r="P46">
        <v>87.9490568304698</v>
      </c>
      <c r="Q46">
        <v>90.147783251231502</v>
      </c>
      <c r="R46">
        <v>95.450594030715706</v>
      </c>
      <c r="S46">
        <v>100.680763566645</v>
      </c>
      <c r="T46">
        <v>100.680763566645</v>
      </c>
      <c r="U46">
        <v>95.729250604351293</v>
      </c>
      <c r="V46">
        <v>97.058823529411796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103.80952380952399</v>
      </c>
      <c r="AD46">
        <v>108.63787375415301</v>
      </c>
      <c r="AE46">
        <v>109.84496124031</v>
      </c>
    </row>
    <row r="47" spans="1:31" x14ac:dyDescent="0.3">
      <c r="A47" t="s">
        <v>264</v>
      </c>
      <c r="B47" t="s">
        <v>212</v>
      </c>
      <c r="C47" t="s">
        <v>0</v>
      </c>
      <c r="D47" t="s">
        <v>213</v>
      </c>
      <c r="E47" t="s">
        <v>123</v>
      </c>
      <c r="F47">
        <v>58.218341531216602</v>
      </c>
      <c r="G47">
        <v>58.118051537192102</v>
      </c>
      <c r="H47">
        <v>59.358375807802901</v>
      </c>
      <c r="I47">
        <v>59.983639597913204</v>
      </c>
      <c r="J47">
        <v>61.708015274239301</v>
      </c>
      <c r="K47">
        <v>64.808701108967497</v>
      </c>
      <c r="L47">
        <v>67.657932211455304</v>
      </c>
      <c r="M47">
        <v>68.202210131473194</v>
      </c>
      <c r="N47">
        <v>69.564651461949097</v>
      </c>
      <c r="O47">
        <v>71.946213245848</v>
      </c>
      <c r="P47">
        <v>75.485189140643698</v>
      </c>
      <c r="Q47">
        <v>79.920617607447099</v>
      </c>
      <c r="R47">
        <v>85.094354352051795</v>
      </c>
      <c r="S47">
        <v>91.832873962740607</v>
      </c>
      <c r="T47">
        <v>90.432372616903606</v>
      </c>
      <c r="U47">
        <v>91.2901322487713</v>
      </c>
      <c r="V47">
        <v>96.004439271270499</v>
      </c>
      <c r="W47">
        <v>100.17321441204101</v>
      </c>
      <c r="X47">
        <v>101.61340439560099</v>
      </c>
      <c r="Y47">
        <v>102.182866556837</v>
      </c>
      <c r="Z47">
        <v>100</v>
      </c>
      <c r="AA47">
        <v>98.099301784328901</v>
      </c>
      <c r="AB47">
        <v>101.09952187914099</v>
      </c>
      <c r="AC47">
        <v>104.094220877436</v>
      </c>
      <c r="AD47">
        <v>106.02920449769201</v>
      </c>
      <c r="AE47">
        <v>103.74644206152701</v>
      </c>
    </row>
    <row r="48" spans="1:31" x14ac:dyDescent="0.3">
      <c r="A48" t="s">
        <v>264</v>
      </c>
      <c r="B48" t="s">
        <v>214</v>
      </c>
      <c r="C48" t="s">
        <v>0</v>
      </c>
      <c r="D48" t="s">
        <v>215</v>
      </c>
      <c r="E48" t="s">
        <v>123</v>
      </c>
      <c r="F48">
        <v>61.475680099028203</v>
      </c>
      <c r="G48">
        <v>61.246048423098003</v>
      </c>
      <c r="H48">
        <v>61.859092759077498</v>
      </c>
      <c r="I48">
        <v>63.003571811049397</v>
      </c>
      <c r="J48">
        <v>65.340282865701198</v>
      </c>
      <c r="K48">
        <v>68.198168165996606</v>
      </c>
      <c r="L48">
        <v>71.758363508851403</v>
      </c>
      <c r="M48">
        <v>71.837654518253402</v>
      </c>
      <c r="N48">
        <v>72.564807042172902</v>
      </c>
      <c r="O48">
        <v>74.796044703189494</v>
      </c>
      <c r="P48">
        <v>78.4844724095814</v>
      </c>
      <c r="Q48">
        <v>82.5229422153554</v>
      </c>
      <c r="R48">
        <v>87.941534066011897</v>
      </c>
      <c r="S48">
        <v>94.065807805285203</v>
      </c>
      <c r="T48">
        <v>92.719517420581994</v>
      </c>
      <c r="U48">
        <v>90.8116064528148</v>
      </c>
      <c r="V48">
        <v>94.364326209904902</v>
      </c>
      <c r="W48">
        <v>98.820906221940703</v>
      </c>
      <c r="X48">
        <v>100.610614264139</v>
      </c>
      <c r="Y48">
        <v>101.193084976869</v>
      </c>
      <c r="Z48">
        <v>100</v>
      </c>
      <c r="AA48">
        <v>99.866429207479996</v>
      </c>
      <c r="AB48">
        <v>102.635612763849</v>
      </c>
      <c r="AC48">
        <v>106.040174607062</v>
      </c>
      <c r="AD48">
        <v>109.49274332565599</v>
      </c>
      <c r="AE48">
        <v>109.18964922648399</v>
      </c>
    </row>
    <row r="49" spans="1:31" x14ac:dyDescent="0.3">
      <c r="A49" t="s">
        <v>264</v>
      </c>
      <c r="B49" t="s">
        <v>216</v>
      </c>
      <c r="C49" t="s">
        <v>0</v>
      </c>
      <c r="D49" t="s">
        <v>217</v>
      </c>
      <c r="E49" t="s">
        <v>123</v>
      </c>
      <c r="F49">
        <v>66.491703539930199</v>
      </c>
      <c r="G49">
        <v>65.969517386475303</v>
      </c>
      <c r="H49">
        <v>65.377862522022596</v>
      </c>
      <c r="I49">
        <v>67.755239341005193</v>
      </c>
      <c r="J49">
        <v>71.519419304394404</v>
      </c>
      <c r="K49">
        <v>73.725673884478596</v>
      </c>
      <c r="L49">
        <v>78.502715388872403</v>
      </c>
      <c r="M49">
        <v>77.8140950784437</v>
      </c>
      <c r="N49">
        <v>77.448198079642296</v>
      </c>
      <c r="O49">
        <v>79.446861255891093</v>
      </c>
      <c r="P49">
        <v>83.303505006177105</v>
      </c>
      <c r="Q49">
        <v>86.573362212027007</v>
      </c>
      <c r="R49">
        <v>92.324739421916902</v>
      </c>
      <c r="S49">
        <v>97.430254965985995</v>
      </c>
      <c r="T49">
        <v>96.1268401838324</v>
      </c>
      <c r="U49">
        <v>89.988305552527905</v>
      </c>
      <c r="V49">
        <v>91.971518898038099</v>
      </c>
      <c r="W49">
        <v>96.8386248251241</v>
      </c>
      <c r="X49">
        <v>99.181494780570603</v>
      </c>
      <c r="Y49">
        <v>99.776286353467597</v>
      </c>
      <c r="Z49">
        <v>100</v>
      </c>
      <c r="AA49">
        <v>102.11817168338899</v>
      </c>
      <c r="AB49">
        <v>104.665061951027</v>
      </c>
      <c r="AC49">
        <v>108.554641955964</v>
      </c>
      <c r="AD49">
        <v>113.90455710612299</v>
      </c>
      <c r="AE49">
        <v>116.028651411133</v>
      </c>
    </row>
    <row r="50" spans="1:31" x14ac:dyDescent="0.3">
      <c r="A50" t="s">
        <v>264</v>
      </c>
      <c r="B50" t="s">
        <v>218</v>
      </c>
      <c r="C50" t="s">
        <v>0</v>
      </c>
      <c r="D50" t="s">
        <v>219</v>
      </c>
      <c r="E50" t="s">
        <v>123</v>
      </c>
      <c r="F50">
        <v>66.490545584617607</v>
      </c>
      <c r="G50">
        <v>66.088790022172802</v>
      </c>
      <c r="H50">
        <v>65.5056536396242</v>
      </c>
      <c r="I50">
        <v>67.484012306592703</v>
      </c>
      <c r="J50">
        <v>71.091648184618094</v>
      </c>
      <c r="K50">
        <v>73.397323260875993</v>
      </c>
      <c r="L50">
        <v>78.223904609096905</v>
      </c>
      <c r="M50">
        <v>77.484548232829496</v>
      </c>
      <c r="N50">
        <v>77.189369001466304</v>
      </c>
      <c r="O50">
        <v>79.056853735372698</v>
      </c>
      <c r="P50">
        <v>83.059732405518204</v>
      </c>
      <c r="Q50">
        <v>86.393233371625897</v>
      </c>
      <c r="R50">
        <v>92.223451574619105</v>
      </c>
      <c r="S50">
        <v>97.367389112645597</v>
      </c>
      <c r="T50">
        <v>96.150296748737603</v>
      </c>
      <c r="U50">
        <v>89.958800367190094</v>
      </c>
      <c r="V50">
        <v>91.865212030600702</v>
      </c>
      <c r="W50">
        <v>96.816662679039098</v>
      </c>
      <c r="X50">
        <v>99.131406173444404</v>
      </c>
      <c r="Y50">
        <v>99.745222929936304</v>
      </c>
      <c r="Z50">
        <v>100</v>
      </c>
      <c r="AA50">
        <v>102.3598820059</v>
      </c>
      <c r="AB50">
        <v>104.799024633814</v>
      </c>
      <c r="AC50">
        <v>108.802382960233</v>
      </c>
      <c r="AD50">
        <v>113.882649868882</v>
      </c>
      <c r="AE50">
        <v>116.10917524647699</v>
      </c>
    </row>
    <row r="51" spans="1:31" x14ac:dyDescent="0.3">
      <c r="A51" t="s">
        <v>264</v>
      </c>
      <c r="B51" t="s">
        <v>220</v>
      </c>
      <c r="C51" t="s">
        <v>0</v>
      </c>
      <c r="D51" t="s">
        <v>221</v>
      </c>
      <c r="E51" t="s">
        <v>123</v>
      </c>
      <c r="F51">
        <v>65.658473035721499</v>
      </c>
      <c r="G51">
        <v>65.260542896111005</v>
      </c>
      <c r="H51">
        <v>64.901968484593894</v>
      </c>
      <c r="I51">
        <v>66.680104607459498</v>
      </c>
      <c r="J51">
        <v>70.260244452155305</v>
      </c>
      <c r="K51">
        <v>72.669167119086396</v>
      </c>
      <c r="L51">
        <v>77.170796940622694</v>
      </c>
      <c r="M51">
        <v>76.671309581783703</v>
      </c>
      <c r="N51">
        <v>76.400386226370998</v>
      </c>
      <c r="O51">
        <v>78.395918702432994</v>
      </c>
      <c r="P51">
        <v>82.537589879165296</v>
      </c>
      <c r="Q51">
        <v>85.938864187372602</v>
      </c>
      <c r="R51">
        <v>91.856809924826393</v>
      </c>
      <c r="S51">
        <v>97.146992695366194</v>
      </c>
      <c r="T51">
        <v>95.981228783021805</v>
      </c>
      <c r="U51">
        <v>89.887182511083907</v>
      </c>
      <c r="V51">
        <v>91.772927598728998</v>
      </c>
      <c r="W51">
        <v>96.762523662349196</v>
      </c>
      <c r="X51">
        <v>99.090144506460703</v>
      </c>
      <c r="Y51">
        <v>99.778270509977801</v>
      </c>
      <c r="Z51">
        <v>100</v>
      </c>
      <c r="AA51">
        <v>102.384737678855</v>
      </c>
      <c r="AB51">
        <v>104.78339367872999</v>
      </c>
      <c r="AC51">
        <v>108.68836487172599</v>
      </c>
      <c r="AD51">
        <v>113.740771855559</v>
      </c>
      <c r="AE51">
        <v>115.91416240057001</v>
      </c>
    </row>
    <row r="52" spans="1:31" x14ac:dyDescent="0.3">
      <c r="A52" t="s">
        <v>264</v>
      </c>
      <c r="B52" t="s">
        <v>222</v>
      </c>
      <c r="C52" t="s">
        <v>0</v>
      </c>
      <c r="D52" t="s">
        <v>223</v>
      </c>
      <c r="E52" t="s">
        <v>123</v>
      </c>
      <c r="F52">
        <v>67.601997659960006</v>
      </c>
      <c r="G52">
        <v>67.194756710201204</v>
      </c>
      <c r="H52">
        <v>66.344190169565707</v>
      </c>
      <c r="I52">
        <v>68.526564846196194</v>
      </c>
      <c r="J52">
        <v>72.175908536230295</v>
      </c>
      <c r="K52">
        <v>74.396705721960501</v>
      </c>
      <c r="L52">
        <v>79.587173563027505</v>
      </c>
      <c r="M52">
        <v>78.501893923531597</v>
      </c>
      <c r="N52">
        <v>78.177505932112098</v>
      </c>
      <c r="O52">
        <v>79.891924921851398</v>
      </c>
      <c r="P52">
        <v>83.714505061652901</v>
      </c>
      <c r="Q52">
        <v>86.934293717870304</v>
      </c>
      <c r="R52">
        <v>92.675237642635295</v>
      </c>
      <c r="S52">
        <v>97.671207326874395</v>
      </c>
      <c r="T52">
        <v>96.386059862047105</v>
      </c>
      <c r="U52">
        <v>90.070164201571103</v>
      </c>
      <c r="V52">
        <v>92.004186132279699</v>
      </c>
      <c r="W52">
        <v>96.900767467050898</v>
      </c>
      <c r="X52">
        <v>99.195785643902099</v>
      </c>
      <c r="Y52">
        <v>99.700598802395206</v>
      </c>
      <c r="Z52">
        <v>100</v>
      </c>
      <c r="AA52">
        <v>102.319587628866</v>
      </c>
      <c r="AB52">
        <v>104.83977451627599</v>
      </c>
      <c r="AC52">
        <v>109.055851239451</v>
      </c>
      <c r="AD52">
        <v>114.19744224081499</v>
      </c>
      <c r="AE52">
        <v>116.538619872175</v>
      </c>
    </row>
    <row r="53" spans="1:31" x14ac:dyDescent="0.3">
      <c r="A53" t="s">
        <v>264</v>
      </c>
      <c r="B53" t="s">
        <v>224</v>
      </c>
      <c r="C53" t="s">
        <v>0</v>
      </c>
      <c r="D53" t="s">
        <v>225</v>
      </c>
      <c r="E53" t="s">
        <v>123</v>
      </c>
      <c r="F53">
        <v>63.091912204515999</v>
      </c>
      <c r="G53">
        <v>62.8211314654408</v>
      </c>
      <c r="H53">
        <v>63.315786043908901</v>
      </c>
      <c r="I53">
        <v>64.939267737342405</v>
      </c>
      <c r="J53">
        <v>67.608004767644104</v>
      </c>
      <c r="K53">
        <v>70.265087924451095</v>
      </c>
      <c r="L53">
        <v>73.746691380167206</v>
      </c>
      <c r="M53">
        <v>73.746691380167206</v>
      </c>
      <c r="N53">
        <v>74.227125851699199</v>
      </c>
      <c r="O53">
        <v>76.217891679139399</v>
      </c>
      <c r="P53">
        <v>80.077025435045201</v>
      </c>
      <c r="Q53">
        <v>83.596894684937297</v>
      </c>
      <c r="R53">
        <v>88.591677700703997</v>
      </c>
      <c r="S53">
        <v>94.7520261500907</v>
      </c>
      <c r="T53">
        <v>93.541137636990499</v>
      </c>
      <c r="U53">
        <v>90.753487839861606</v>
      </c>
      <c r="V53">
        <v>93.893746934666495</v>
      </c>
      <c r="W53">
        <v>98.641183577430596</v>
      </c>
      <c r="X53">
        <v>100.31780426146599</v>
      </c>
      <c r="Y53">
        <v>100.93896713615</v>
      </c>
      <c r="Z53">
        <v>100</v>
      </c>
      <c r="AA53">
        <v>100.22075055187599</v>
      </c>
      <c r="AB53">
        <v>102.816108633897</v>
      </c>
      <c r="AC53">
        <v>106.33392261515</v>
      </c>
      <c r="AD53">
        <v>110.131562708548</v>
      </c>
      <c r="AE53">
        <v>109.950425269883</v>
      </c>
    </row>
    <row r="54" spans="1:31" x14ac:dyDescent="0.3">
      <c r="A54" t="s">
        <v>264</v>
      </c>
      <c r="B54" t="s">
        <v>226</v>
      </c>
      <c r="C54" t="s">
        <v>0</v>
      </c>
      <c r="D54" t="s">
        <v>227</v>
      </c>
      <c r="E54" t="s">
        <v>123</v>
      </c>
      <c r="F54">
        <v>65.787338156110707</v>
      </c>
      <c r="G54">
        <v>65.561264829113796</v>
      </c>
      <c r="H54">
        <v>65.757556041176997</v>
      </c>
      <c r="I54">
        <v>67.556394960236503</v>
      </c>
      <c r="J54">
        <v>70.572305449532806</v>
      </c>
      <c r="K54">
        <v>73.028936335434295</v>
      </c>
      <c r="L54">
        <v>76.574030332299998</v>
      </c>
      <c r="M54">
        <v>76.3468076903644</v>
      </c>
      <c r="N54">
        <v>76.533019416438407</v>
      </c>
      <c r="O54">
        <v>78.485392360735304</v>
      </c>
      <c r="P54">
        <v>82.286679170229704</v>
      </c>
      <c r="Q54">
        <v>85.586947051388606</v>
      </c>
      <c r="R54">
        <v>90.798330244213204</v>
      </c>
      <c r="S54">
        <v>96.091506446790603</v>
      </c>
      <c r="T54">
        <v>95.040177054593798</v>
      </c>
      <c r="U54">
        <v>91.246556541910394</v>
      </c>
      <c r="V54">
        <v>93.904223237305899</v>
      </c>
      <c r="W54">
        <v>98.4131942904542</v>
      </c>
      <c r="X54">
        <v>100.07417647257201</v>
      </c>
      <c r="Y54">
        <v>100.75187969924799</v>
      </c>
      <c r="Z54">
        <v>100</v>
      </c>
      <c r="AA54">
        <v>100.539568345324</v>
      </c>
      <c r="AB54">
        <v>103.06146387238</v>
      </c>
      <c r="AC54">
        <v>106.566955840829</v>
      </c>
      <c r="AD54">
        <v>110.331549389554</v>
      </c>
      <c r="AE54">
        <v>110.331549389554</v>
      </c>
    </row>
    <row r="55" spans="1:31" x14ac:dyDescent="0.3">
      <c r="A55" t="s">
        <v>264</v>
      </c>
      <c r="B55" t="s">
        <v>228</v>
      </c>
      <c r="C55" t="s">
        <v>0</v>
      </c>
      <c r="D55" t="s">
        <v>229</v>
      </c>
      <c r="E55" t="s">
        <v>123</v>
      </c>
      <c r="F55">
        <v>72.644646427819595</v>
      </c>
      <c r="G55">
        <v>72.644646427819595</v>
      </c>
      <c r="H55">
        <v>71.736588347471894</v>
      </c>
      <c r="I55">
        <v>74.001954295286794</v>
      </c>
      <c r="J55">
        <v>77.796926310429697</v>
      </c>
      <c r="K55">
        <v>79.585361398025796</v>
      </c>
      <c r="L55">
        <v>83.244458473797096</v>
      </c>
      <c r="M55">
        <v>82.203902742874604</v>
      </c>
      <c r="N55">
        <v>81.405806599739904</v>
      </c>
      <c r="O55">
        <v>83.270061712711097</v>
      </c>
      <c r="P55">
        <v>86.922257401864996</v>
      </c>
      <c r="Q55">
        <v>89.504106631623401</v>
      </c>
      <c r="R55">
        <v>95.252076782278095</v>
      </c>
      <c r="S55">
        <v>98.559440559440603</v>
      </c>
      <c r="T55">
        <v>97.875</v>
      </c>
      <c r="U55">
        <v>92.25</v>
      </c>
      <c r="V55">
        <v>93.75</v>
      </c>
      <c r="W55">
        <v>97.560975609756099</v>
      </c>
      <c r="X55">
        <v>99.173553719008297</v>
      </c>
      <c r="Y55">
        <v>100</v>
      </c>
      <c r="Z55">
        <v>100</v>
      </c>
      <c r="AA55">
        <v>101.941747572816</v>
      </c>
      <c r="AB55">
        <v>104.065533980583</v>
      </c>
      <c r="AC55">
        <v>107.458975306036</v>
      </c>
      <c r="AD55">
        <v>110.963072326885</v>
      </c>
      <c r="AE55">
        <v>112.000110386015</v>
      </c>
    </row>
    <row r="56" spans="1:31" x14ac:dyDescent="0.3">
      <c r="A56" t="s">
        <v>264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264</v>
      </c>
      <c r="B57" t="s">
        <v>232</v>
      </c>
      <c r="C57" t="s">
        <v>0</v>
      </c>
      <c r="D57" t="s">
        <v>233</v>
      </c>
      <c r="E57" t="s">
        <v>123</v>
      </c>
      <c r="F57">
        <v>63.761499672794699</v>
      </c>
      <c r="G57">
        <v>63.476493863422299</v>
      </c>
      <c r="H57">
        <v>64.093412234882095</v>
      </c>
      <c r="I57">
        <v>65.579719670011798</v>
      </c>
      <c r="J57">
        <v>68.174164250666905</v>
      </c>
      <c r="K57">
        <v>70.757411402599104</v>
      </c>
      <c r="L57">
        <v>74.553190177897093</v>
      </c>
      <c r="M57">
        <v>74.4571474208241</v>
      </c>
      <c r="N57">
        <v>74.876718859012001</v>
      </c>
      <c r="O57">
        <v>76.903740950000198</v>
      </c>
      <c r="P57">
        <v>80.576133125487601</v>
      </c>
      <c r="Q57">
        <v>84.269042200960996</v>
      </c>
      <c r="R57">
        <v>89.839402318220394</v>
      </c>
      <c r="S57">
        <v>95.149250304438496</v>
      </c>
      <c r="T57">
        <v>94.142771495898103</v>
      </c>
      <c r="U57">
        <v>90.790163587530103</v>
      </c>
      <c r="V57">
        <v>93.570135118951995</v>
      </c>
      <c r="W57">
        <v>98.594034991110505</v>
      </c>
      <c r="X57">
        <v>100.247312180273</v>
      </c>
      <c r="Y57">
        <v>100.72607765209401</v>
      </c>
      <c r="Z57">
        <v>100</v>
      </c>
      <c r="AA57">
        <v>100.801226224483</v>
      </c>
      <c r="AB57">
        <v>103.492472352014</v>
      </c>
      <c r="AC57">
        <v>107.450363596663</v>
      </c>
      <c r="AD57">
        <v>111.740063304092</v>
      </c>
      <c r="AE57">
        <v>112.617716326338</v>
      </c>
    </row>
    <row r="58" spans="1:31" x14ac:dyDescent="0.3">
      <c r="A58" t="s">
        <v>264</v>
      </c>
      <c r="B58" t="s">
        <v>234</v>
      </c>
      <c r="C58" t="s">
        <v>0</v>
      </c>
      <c r="D58" t="s">
        <v>235</v>
      </c>
      <c r="E58" t="s">
        <v>123</v>
      </c>
      <c r="F58">
        <v>63.761499672794699</v>
      </c>
      <c r="G58">
        <v>63.476493863422299</v>
      </c>
      <c r="H58">
        <v>64.093412234882095</v>
      </c>
      <c r="I58">
        <v>65.579719670011798</v>
      </c>
      <c r="J58">
        <v>68.174164250666905</v>
      </c>
      <c r="K58">
        <v>70.757411402599104</v>
      </c>
      <c r="L58">
        <v>74.553190177897093</v>
      </c>
      <c r="M58">
        <v>74.4571474208241</v>
      </c>
      <c r="N58">
        <v>74.876718859012001</v>
      </c>
      <c r="O58">
        <v>76.903740950000198</v>
      </c>
      <c r="P58">
        <v>80.576133125487601</v>
      </c>
      <c r="Q58">
        <v>84.269042200960996</v>
      </c>
      <c r="R58">
        <v>89.839402318220394</v>
      </c>
      <c r="S58">
        <v>95.149250304438496</v>
      </c>
      <c r="T58">
        <v>94.142771495898103</v>
      </c>
      <c r="U58">
        <v>90.790163587530103</v>
      </c>
      <c r="V58">
        <v>93.570135118951995</v>
      </c>
      <c r="W58">
        <v>98.594034991110505</v>
      </c>
      <c r="X58">
        <v>100.247312180273</v>
      </c>
      <c r="Y58">
        <v>100.72607765209401</v>
      </c>
      <c r="Z58">
        <v>100</v>
      </c>
      <c r="AA58">
        <v>100.801226224483</v>
      </c>
      <c r="AB58">
        <v>103.492472352014</v>
      </c>
      <c r="AC58">
        <v>107.450363596663</v>
      </c>
      <c r="AD58">
        <v>111.740063304092</v>
      </c>
      <c r="AE58">
        <v>112.617716326338</v>
      </c>
    </row>
    <row r="59" spans="1:31" x14ac:dyDescent="0.3">
      <c r="A59" t="s">
        <v>264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265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265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265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265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265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265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265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265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265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265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265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265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265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265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265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265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265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265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265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265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265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265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265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265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265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265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265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265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265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265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265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265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265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265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265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265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265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265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265</v>
      </c>
      <c r="B40" t="s">
        <v>198</v>
      </c>
      <c r="C40" t="s">
        <v>0</v>
      </c>
      <c r="D40" t="s">
        <v>199</v>
      </c>
      <c r="E40" t="s">
        <v>123</v>
      </c>
      <c r="F40">
        <v>60.640107265336098</v>
      </c>
      <c r="G40">
        <v>60.140145434986202</v>
      </c>
      <c r="H40">
        <v>62.826420702779203</v>
      </c>
      <c r="I40">
        <v>66.818212197332002</v>
      </c>
      <c r="J40">
        <v>69.461822656974107</v>
      </c>
      <c r="K40">
        <v>74.518188273496406</v>
      </c>
      <c r="L40">
        <v>77.587886736950793</v>
      </c>
      <c r="M40">
        <v>75.970630108770493</v>
      </c>
      <c r="N40">
        <v>76.043285821964702</v>
      </c>
      <c r="O40">
        <v>77.912935000967295</v>
      </c>
      <c r="P40">
        <v>81.978025284836605</v>
      </c>
      <c r="Q40">
        <v>85.145392035407994</v>
      </c>
      <c r="R40">
        <v>90.745987481163695</v>
      </c>
      <c r="S40">
        <v>95.419035612559995</v>
      </c>
      <c r="T40">
        <v>92.451278205712697</v>
      </c>
      <c r="U40">
        <v>89.193842111472904</v>
      </c>
      <c r="V40">
        <v>92.290703216889</v>
      </c>
      <c r="W40">
        <v>97.041223824118703</v>
      </c>
      <c r="X40">
        <v>98.827165369945902</v>
      </c>
      <c r="Y40">
        <v>99.493831066118304</v>
      </c>
      <c r="Z40">
        <v>100</v>
      </c>
      <c r="AA40">
        <v>102.47945694891</v>
      </c>
      <c r="AB40">
        <v>105.91421552743699</v>
      </c>
      <c r="AC40">
        <v>110.439903458693</v>
      </c>
      <c r="AD40">
        <v>115.374846082057</v>
      </c>
      <c r="AE40">
        <v>117.54210838415101</v>
      </c>
    </row>
    <row r="41" spans="1:31" x14ac:dyDescent="0.3">
      <c r="A41" t="s">
        <v>265</v>
      </c>
      <c r="B41" t="s">
        <v>200</v>
      </c>
      <c r="C41" t="s">
        <v>0</v>
      </c>
      <c r="D41" t="s">
        <v>201</v>
      </c>
      <c r="E41" t="s">
        <v>123</v>
      </c>
      <c r="F41">
        <v>60.5862336906862</v>
      </c>
      <c r="G41">
        <v>60.090718724986999</v>
      </c>
      <c r="H41">
        <v>62.772733854520297</v>
      </c>
      <c r="I41">
        <v>66.766431440697005</v>
      </c>
      <c r="J41">
        <v>69.403989925186195</v>
      </c>
      <c r="K41">
        <v>74.464438491927595</v>
      </c>
      <c r="L41">
        <v>77.536864686268203</v>
      </c>
      <c r="M41">
        <v>75.939869603951607</v>
      </c>
      <c r="N41">
        <v>76.012377436164201</v>
      </c>
      <c r="O41">
        <v>77.876470212415398</v>
      </c>
      <c r="P41">
        <v>81.935047865384405</v>
      </c>
      <c r="Q41">
        <v>85.098121806234104</v>
      </c>
      <c r="R41">
        <v>90.689746181555293</v>
      </c>
      <c r="S41">
        <v>95.367064347374495</v>
      </c>
      <c r="T41">
        <v>92.404914470974205</v>
      </c>
      <c r="U41">
        <v>89.152411886339706</v>
      </c>
      <c r="V41">
        <v>92.250200789996896</v>
      </c>
      <c r="W41">
        <v>96.808339394846399</v>
      </c>
      <c r="X41">
        <v>98.825580045066502</v>
      </c>
      <c r="Y41">
        <v>99.535075937596901</v>
      </c>
      <c r="Z41">
        <v>100</v>
      </c>
      <c r="AA41">
        <v>102.444964871194</v>
      </c>
      <c r="AB41">
        <v>105.873559279885</v>
      </c>
      <c r="AC41">
        <v>110.365583661865</v>
      </c>
      <c r="AD41">
        <v>115.284059628287</v>
      </c>
      <c r="AE41">
        <v>117.443182197943</v>
      </c>
    </row>
    <row r="42" spans="1:31" x14ac:dyDescent="0.3">
      <c r="A42" t="s">
        <v>265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 t="e">
        <v>#NUM!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265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 t="e">
        <v>#NUM!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265</v>
      </c>
      <c r="B44" t="s">
        <v>206</v>
      </c>
      <c r="C44" t="s">
        <v>0</v>
      </c>
      <c r="D44" t="s">
        <v>207</v>
      </c>
      <c r="E44" t="s">
        <v>123</v>
      </c>
      <c r="F44">
        <v>0</v>
      </c>
      <c r="G44">
        <v>0</v>
      </c>
      <c r="H44">
        <v>0</v>
      </c>
      <c r="I44" t="e">
        <v>#NUM!</v>
      </c>
      <c r="J44" t="e">
        <v>#NUM!</v>
      </c>
      <c r="K44" t="e">
        <v>#NUM!</v>
      </c>
      <c r="L44" t="e">
        <v>#NUM!</v>
      </c>
      <c r="M44">
        <v>0</v>
      </c>
      <c r="N44" t="e">
        <v>#NUM!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e">
        <v>#NUM!</v>
      </c>
      <c r="AB44" t="e">
        <v>#NUM!</v>
      </c>
      <c r="AC44" t="e">
        <v>#NUM!</v>
      </c>
      <c r="AD44" t="e">
        <v>#NUM!</v>
      </c>
      <c r="AE44">
        <v>0</v>
      </c>
    </row>
    <row r="45" spans="1:31" x14ac:dyDescent="0.3">
      <c r="A45" t="s">
        <v>265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 t="e">
        <v>#NUM!</v>
      </c>
      <c r="J45" t="e">
        <v>#NUM!</v>
      </c>
      <c r="K45" t="e">
        <v>#NUM!</v>
      </c>
      <c r="L45" t="e">
        <v>#NUM!</v>
      </c>
      <c r="M45">
        <v>0</v>
      </c>
      <c r="N45" t="e">
        <v>#NUM!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e">
        <v>#NUM!</v>
      </c>
      <c r="AB45" t="e">
        <v>#NUM!</v>
      </c>
      <c r="AC45" t="e">
        <v>#NUM!</v>
      </c>
      <c r="AD45" t="e">
        <v>#NUM!</v>
      </c>
      <c r="AE45">
        <v>0</v>
      </c>
    </row>
    <row r="46" spans="1:31" x14ac:dyDescent="0.3">
      <c r="A46" t="s">
        <v>265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265</v>
      </c>
      <c r="B47" t="s">
        <v>212</v>
      </c>
      <c r="C47" t="s">
        <v>0</v>
      </c>
      <c r="D47" t="s">
        <v>213</v>
      </c>
      <c r="E47" t="s">
        <v>123</v>
      </c>
      <c r="F47">
        <v>52.262471655328802</v>
      </c>
      <c r="G47">
        <v>52.262471655328802</v>
      </c>
      <c r="H47">
        <v>54.0646258503401</v>
      </c>
      <c r="I47">
        <v>54.0646258503401</v>
      </c>
      <c r="J47">
        <v>54.0646258503401</v>
      </c>
      <c r="K47">
        <v>72.086167800453495</v>
      </c>
      <c r="L47">
        <v>78.093348450491305</v>
      </c>
      <c r="M47">
        <v>78.093348450491305</v>
      </c>
      <c r="N47">
        <v>78.093348450491305</v>
      </c>
      <c r="O47">
        <v>78.093348450491305</v>
      </c>
      <c r="P47">
        <v>78.093348450491305</v>
      </c>
      <c r="Q47">
        <v>81.096938775510196</v>
      </c>
      <c r="R47">
        <v>87.335164835164804</v>
      </c>
      <c r="S47">
        <v>92.472527472527503</v>
      </c>
      <c r="T47">
        <v>87.032967032966994</v>
      </c>
      <c r="U47">
        <v>87.032967032966994</v>
      </c>
      <c r="V47">
        <v>94.285714285714306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</row>
    <row r="48" spans="1:31" x14ac:dyDescent="0.3">
      <c r="A48" t="s">
        <v>265</v>
      </c>
      <c r="B48" t="s">
        <v>214</v>
      </c>
      <c r="C48" t="s">
        <v>0</v>
      </c>
      <c r="D48" t="s">
        <v>215</v>
      </c>
      <c r="E48" t="s">
        <v>123</v>
      </c>
      <c r="F48" t="e">
        <v>#NUM!</v>
      </c>
      <c r="G48" t="e">
        <v>#NUM!</v>
      </c>
      <c r="H48" t="e">
        <v>#NUM!</v>
      </c>
      <c r="I48">
        <v>0</v>
      </c>
      <c r="J48">
        <v>103.201146679408</v>
      </c>
      <c r="K48">
        <v>68.800764452938395</v>
      </c>
      <c r="L48">
        <v>76.445293836598196</v>
      </c>
      <c r="M48">
        <v>76.445293836598196</v>
      </c>
      <c r="N48">
        <v>76.445293836598196</v>
      </c>
      <c r="O48">
        <v>76.445293836598196</v>
      </c>
      <c r="P48">
        <v>76.445293836598196</v>
      </c>
      <c r="Q48">
        <v>79.9200799200799</v>
      </c>
      <c r="R48">
        <v>87.912087912087898</v>
      </c>
      <c r="S48">
        <v>87.912087912087898</v>
      </c>
      <c r="T48">
        <v>82.051282051282001</v>
      </c>
      <c r="U48">
        <v>82.051282051282001</v>
      </c>
      <c r="V48">
        <v>92.307692307692307</v>
      </c>
      <c r="W48">
        <v>100</v>
      </c>
      <c r="X48">
        <v>100</v>
      </c>
      <c r="Y48">
        <v>100</v>
      </c>
      <c r="Z48">
        <v>100</v>
      </c>
      <c r="AA48">
        <v>0</v>
      </c>
      <c r="AB48" t="e">
        <v>#NUM!</v>
      </c>
      <c r="AC48" t="e">
        <v>#NUM!</v>
      </c>
      <c r="AD48" t="e">
        <v>#NUM!</v>
      </c>
      <c r="AE48" t="e">
        <v>#NUM!</v>
      </c>
    </row>
    <row r="49" spans="1:31" x14ac:dyDescent="0.3">
      <c r="A49" t="s">
        <v>265</v>
      </c>
      <c r="B49" t="s">
        <v>216</v>
      </c>
      <c r="C49" t="s">
        <v>0</v>
      </c>
      <c r="D49" t="s">
        <v>217</v>
      </c>
      <c r="E49" t="s">
        <v>123</v>
      </c>
      <c r="F49" t="e">
        <v>#NUM!</v>
      </c>
      <c r="G49" t="e">
        <v>#NUM!</v>
      </c>
      <c r="H49" t="e">
        <v>#NUM!</v>
      </c>
      <c r="I49" t="e">
        <v>#NUM!</v>
      </c>
      <c r="J49">
        <v>0</v>
      </c>
      <c r="K49">
        <v>0</v>
      </c>
      <c r="L49">
        <v>0</v>
      </c>
      <c r="M49">
        <v>0</v>
      </c>
      <c r="N49" t="e">
        <v>#NUM!</v>
      </c>
      <c r="O49" t="e">
        <v>#NUM!</v>
      </c>
      <c r="P49">
        <v>0</v>
      </c>
      <c r="Q49" t="e">
        <v>#NUM!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</row>
    <row r="50" spans="1:31" x14ac:dyDescent="0.3">
      <c r="A50" t="s">
        <v>265</v>
      </c>
      <c r="B50" t="s">
        <v>218</v>
      </c>
      <c r="C50" t="s">
        <v>0</v>
      </c>
      <c r="D50" t="s">
        <v>219</v>
      </c>
      <c r="E50" t="s">
        <v>123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>
        <v>0</v>
      </c>
      <c r="O50">
        <v>91.6666666666666</v>
      </c>
      <c r="P50">
        <v>91.6666666666667</v>
      </c>
      <c r="Q50">
        <v>91.6666666666667</v>
      </c>
      <c r="R50">
        <v>91.6666666666667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</row>
    <row r="51" spans="1:31" x14ac:dyDescent="0.3">
      <c r="A51" t="s">
        <v>265</v>
      </c>
      <c r="B51" t="s">
        <v>220</v>
      </c>
      <c r="C51" t="s">
        <v>0</v>
      </c>
      <c r="D51" t="s">
        <v>221</v>
      </c>
      <c r="E51" t="s">
        <v>123</v>
      </c>
      <c r="F51" t="e">
        <v>#NUM!</v>
      </c>
      <c r="G51" t="e">
        <v>#NUM!</v>
      </c>
      <c r="H51" t="e">
        <v>#NUM!</v>
      </c>
      <c r="I51" t="e">
        <v>#NUM!</v>
      </c>
      <c r="J51">
        <v>0</v>
      </c>
      <c r="K51" t="e">
        <v>#NUM!</v>
      </c>
      <c r="L51" t="e">
        <v>#NUM!</v>
      </c>
      <c r="M51" t="e">
        <v>#NUM!</v>
      </c>
      <c r="N51" t="e">
        <v>#NUM!</v>
      </c>
      <c r="O51">
        <v>0</v>
      </c>
      <c r="P51" t="e">
        <v>#NUM!</v>
      </c>
      <c r="Q51" t="e">
        <v>#NUM!</v>
      </c>
      <c r="R51">
        <v>0</v>
      </c>
      <c r="S51">
        <v>0</v>
      </c>
      <c r="T51">
        <v>0</v>
      </c>
      <c r="U51">
        <v>0</v>
      </c>
      <c r="V51">
        <v>0</v>
      </c>
      <c r="W51" t="e">
        <v>#NUM!</v>
      </c>
      <c r="X51" t="e">
        <v>#NUM!</v>
      </c>
      <c r="Y51">
        <v>0</v>
      </c>
      <c r="Z51">
        <v>0</v>
      </c>
      <c r="AA51">
        <v>0</v>
      </c>
      <c r="AB51">
        <v>0</v>
      </c>
      <c r="AC51">
        <v>0</v>
      </c>
      <c r="AD51" t="e">
        <v>#NUM!</v>
      </c>
      <c r="AE51">
        <v>0</v>
      </c>
    </row>
    <row r="52" spans="1:31" x14ac:dyDescent="0.3">
      <c r="A52" t="s">
        <v>265</v>
      </c>
      <c r="B52" t="s">
        <v>222</v>
      </c>
      <c r="C52" t="s">
        <v>0</v>
      </c>
      <c r="D52" t="s">
        <v>223</v>
      </c>
      <c r="E52" t="s">
        <v>123</v>
      </c>
      <c r="F52">
        <v>91.6666666666666</v>
      </c>
      <c r="G52">
        <v>91.6666666666666</v>
      </c>
      <c r="H52">
        <v>91.6666666666666</v>
      </c>
      <c r="I52">
        <v>91.6666666666666</v>
      </c>
      <c r="J52">
        <v>91.6666666666666</v>
      </c>
      <c r="K52">
        <v>91.6666666666666</v>
      </c>
      <c r="L52">
        <v>91.6666666666666</v>
      </c>
      <c r="M52">
        <v>91.6666666666667</v>
      </c>
      <c r="N52">
        <v>91.6666666666667</v>
      </c>
      <c r="O52">
        <v>91.6666666666667</v>
      </c>
      <c r="P52">
        <v>91.6666666666667</v>
      </c>
      <c r="Q52">
        <v>91.6666666666667</v>
      </c>
      <c r="R52">
        <v>91.6666666666667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265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 t="e">
        <v>#NUM!</v>
      </c>
      <c r="J53" t="e">
        <v>#NUM!</v>
      </c>
      <c r="K53" t="e">
        <v>#NUM!</v>
      </c>
      <c r="L53" t="e">
        <v>#NUM!</v>
      </c>
      <c r="M53">
        <v>0</v>
      </c>
      <c r="N53" t="e">
        <v>#NUM!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e">
        <v>#NUM!</v>
      </c>
      <c r="AB53" t="e">
        <v>#NUM!</v>
      </c>
      <c r="AC53" t="e">
        <v>#NUM!</v>
      </c>
      <c r="AD53" t="e">
        <v>#NUM!</v>
      </c>
      <c r="AE53">
        <v>0</v>
      </c>
    </row>
    <row r="54" spans="1:31" x14ac:dyDescent="0.3">
      <c r="A54" t="s">
        <v>265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 t="e">
        <v>#NUM!</v>
      </c>
      <c r="J54" t="e">
        <v>#NUM!</v>
      </c>
      <c r="K54" t="e">
        <v>#NUM!</v>
      </c>
      <c r="L54" t="e">
        <v>#NUM!</v>
      </c>
      <c r="M54">
        <v>0</v>
      </c>
      <c r="N54" t="e">
        <v>#NUM!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e">
        <v>#NUM!</v>
      </c>
      <c r="AB54" t="e">
        <v>#NUM!</v>
      </c>
      <c r="AC54" t="e">
        <v>#NUM!</v>
      </c>
      <c r="AD54" t="e">
        <v>#NUM!</v>
      </c>
      <c r="AE54">
        <v>0</v>
      </c>
    </row>
    <row r="55" spans="1:31" x14ac:dyDescent="0.3">
      <c r="A55" t="s">
        <v>265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265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265</v>
      </c>
      <c r="B57" t="s">
        <v>232</v>
      </c>
      <c r="C57" t="s">
        <v>0</v>
      </c>
      <c r="D57" t="s">
        <v>233</v>
      </c>
      <c r="E57" t="s">
        <v>123</v>
      </c>
      <c r="F57">
        <v>60.662810869336397</v>
      </c>
      <c r="G57">
        <v>60.1593850529934</v>
      </c>
      <c r="H57">
        <v>62.837477662345201</v>
      </c>
      <c r="I57">
        <v>66.830634115751195</v>
      </c>
      <c r="J57">
        <v>69.472842254405705</v>
      </c>
      <c r="K57">
        <v>74.519667312263195</v>
      </c>
      <c r="L57">
        <v>77.596167338916203</v>
      </c>
      <c r="M57">
        <v>75.980001395903102</v>
      </c>
      <c r="N57">
        <v>76.0526053150584</v>
      </c>
      <c r="O57">
        <v>77.921279844795293</v>
      </c>
      <c r="P57">
        <v>81.9843734997133</v>
      </c>
      <c r="Q57">
        <v>85.150862724546997</v>
      </c>
      <c r="R57">
        <v>90.746724716057997</v>
      </c>
      <c r="S57">
        <v>95.422354218844703</v>
      </c>
      <c r="T57">
        <v>92.459511283513393</v>
      </c>
      <c r="U57">
        <v>89.201521213985004</v>
      </c>
      <c r="V57">
        <v>92.293538725725398</v>
      </c>
      <c r="W57">
        <v>97.038707811880897</v>
      </c>
      <c r="X57">
        <v>98.826703447429907</v>
      </c>
      <c r="Y57">
        <v>99.494071146245005</v>
      </c>
      <c r="Z57">
        <v>100</v>
      </c>
      <c r="AA57">
        <v>102.479279794227</v>
      </c>
      <c r="AB57">
        <v>105.912651537534</v>
      </c>
      <c r="AC57">
        <v>110.438833227172</v>
      </c>
      <c r="AD57">
        <v>115.370055548013</v>
      </c>
      <c r="AE57">
        <v>117.53417232590201</v>
      </c>
    </row>
    <row r="58" spans="1:31" x14ac:dyDescent="0.3">
      <c r="A58" t="s">
        <v>265</v>
      </c>
      <c r="B58" t="s">
        <v>234</v>
      </c>
      <c r="C58" t="s">
        <v>0</v>
      </c>
      <c r="D58" t="s">
        <v>235</v>
      </c>
      <c r="E58" t="s">
        <v>123</v>
      </c>
      <c r="F58">
        <v>60.662810869336397</v>
      </c>
      <c r="G58">
        <v>60.1593850529934</v>
      </c>
      <c r="H58">
        <v>62.837477662345201</v>
      </c>
      <c r="I58">
        <v>66.830634115751195</v>
      </c>
      <c r="J58">
        <v>69.472842254405705</v>
      </c>
      <c r="K58">
        <v>74.519667312263195</v>
      </c>
      <c r="L58">
        <v>77.596167338916203</v>
      </c>
      <c r="M58">
        <v>75.980001395903102</v>
      </c>
      <c r="N58">
        <v>76.0526053150584</v>
      </c>
      <c r="O58">
        <v>77.921279844795293</v>
      </c>
      <c r="P58">
        <v>81.9843734997133</v>
      </c>
      <c r="Q58">
        <v>85.150862724546997</v>
      </c>
      <c r="R58">
        <v>90.746724716057997</v>
      </c>
      <c r="S58">
        <v>95.422354218844703</v>
      </c>
      <c r="T58">
        <v>92.459511283513393</v>
      </c>
      <c r="U58">
        <v>89.201521213985004</v>
      </c>
      <c r="V58">
        <v>92.293538725725398</v>
      </c>
      <c r="W58">
        <v>97.038707811880897</v>
      </c>
      <c r="X58">
        <v>98.826703447429907</v>
      </c>
      <c r="Y58">
        <v>99.494071146245005</v>
      </c>
      <c r="Z58">
        <v>100</v>
      </c>
      <c r="AA58">
        <v>102.479279794227</v>
      </c>
      <c r="AB58">
        <v>105.912651537534</v>
      </c>
      <c r="AC58">
        <v>110.438833227172</v>
      </c>
      <c r="AD58">
        <v>115.370055548013</v>
      </c>
      <c r="AE58">
        <v>117.53417232590201</v>
      </c>
    </row>
    <row r="59" spans="1:31" x14ac:dyDescent="0.3">
      <c r="A59" t="s">
        <v>265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266</v>
      </c>
      <c r="B2" t="s">
        <v>121</v>
      </c>
      <c r="C2" t="s">
        <v>0</v>
      </c>
      <c r="D2" t="s">
        <v>122</v>
      </c>
      <c r="E2" t="s">
        <v>123</v>
      </c>
      <c r="F2">
        <v>74.038113935809207</v>
      </c>
      <c r="G2">
        <v>54.843047359858701</v>
      </c>
      <c r="H2">
        <v>70.077227182041597</v>
      </c>
      <c r="I2">
        <v>62.926489714486401</v>
      </c>
      <c r="J2">
        <v>65.786784701508495</v>
      </c>
      <c r="K2">
        <v>78.944141641810205</v>
      </c>
      <c r="L2">
        <v>80.555246573275696</v>
      </c>
      <c r="M2">
        <v>95.754349700308794</v>
      </c>
      <c r="N2">
        <v>95.754349700308794</v>
      </c>
      <c r="O2">
        <v>82.770709062978796</v>
      </c>
      <c r="P2">
        <v>92.703194150536206</v>
      </c>
      <c r="Q2">
        <v>84.977927971324903</v>
      </c>
      <c r="R2">
        <v>86.954158854379003</v>
      </c>
      <c r="S2">
        <v>92.882851503541204</v>
      </c>
      <c r="T2">
        <v>92.882851503541204</v>
      </c>
      <c r="U2">
        <v>92.882851503541204</v>
      </c>
      <c r="V2">
        <v>95.785440613026793</v>
      </c>
      <c r="W2">
        <v>95.785440613026793</v>
      </c>
      <c r="X2">
        <v>103.448275862069</v>
      </c>
      <c r="Y2">
        <v>100</v>
      </c>
      <c r="Z2">
        <v>100</v>
      </c>
      <c r="AA2">
        <v>100</v>
      </c>
      <c r="AB2">
        <v>100</v>
      </c>
      <c r="AC2">
        <v>105.88235294117599</v>
      </c>
      <c r="AD2">
        <v>109.954751131222</v>
      </c>
      <c r="AE2">
        <v>112.77410372433</v>
      </c>
    </row>
    <row r="3" spans="1:31" x14ac:dyDescent="0.3">
      <c r="A3" t="s">
        <v>266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266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266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266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266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266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266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266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266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266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266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266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266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266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266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266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266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266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266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266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266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266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266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266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266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266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266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266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266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266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266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266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266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266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266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266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266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266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266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266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266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266</v>
      </c>
      <c r="B44" t="s">
        <v>206</v>
      </c>
      <c r="C44" t="s">
        <v>0</v>
      </c>
      <c r="D44" t="s">
        <v>207</v>
      </c>
      <c r="E44" t="s">
        <v>123</v>
      </c>
      <c r="F44">
        <v>77.689606162546298</v>
      </c>
      <c r="G44">
        <v>57.597466637749797</v>
      </c>
      <c r="H44">
        <v>73.436769963131098</v>
      </c>
      <c r="I44">
        <v>65.425485967153094</v>
      </c>
      <c r="J44">
        <v>68.0959139658124</v>
      </c>
      <c r="K44">
        <v>81.715096758974894</v>
      </c>
      <c r="L44">
        <v>83.148694947728899</v>
      </c>
      <c r="M44">
        <v>98.142721905516098</v>
      </c>
      <c r="N44">
        <v>98.142721905515998</v>
      </c>
      <c r="O44">
        <v>85.1532440062566</v>
      </c>
      <c r="P44">
        <v>95.430359662184102</v>
      </c>
      <c r="Q44">
        <v>87.343041046744801</v>
      </c>
      <c r="R44">
        <v>88.931096338503707</v>
      </c>
      <c r="S44">
        <v>95.283317505539699</v>
      </c>
      <c r="T44">
        <v>95.283317505539699</v>
      </c>
      <c r="U44">
        <v>95.283317505539699</v>
      </c>
      <c r="V44">
        <v>99.715099715099697</v>
      </c>
      <c r="W44">
        <v>94.4669365721997</v>
      </c>
      <c r="X44">
        <v>102.564102564103</v>
      </c>
      <c r="Y44">
        <v>100</v>
      </c>
      <c r="Z44">
        <v>100</v>
      </c>
      <c r="AA44">
        <v>57.142857142857103</v>
      </c>
      <c r="AB44">
        <v>57.142857142857103</v>
      </c>
      <c r="AC44">
        <v>59.3406593406593</v>
      </c>
      <c r="AD44">
        <v>61.036106750392499</v>
      </c>
      <c r="AE44">
        <v>62.601135128607702</v>
      </c>
    </row>
    <row r="45" spans="1:31" x14ac:dyDescent="0.3">
      <c r="A45" t="s">
        <v>266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266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266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266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266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266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266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266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266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266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266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266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266</v>
      </c>
      <c r="B57" t="s">
        <v>232</v>
      </c>
      <c r="C57" t="s">
        <v>0</v>
      </c>
      <c r="D57" t="s">
        <v>233</v>
      </c>
      <c r="E57" t="s">
        <v>123</v>
      </c>
      <c r="F57">
        <v>77.689606162546298</v>
      </c>
      <c r="G57">
        <v>57.597466637749797</v>
      </c>
      <c r="H57">
        <v>73.436769963131098</v>
      </c>
      <c r="I57">
        <v>65.425485967153094</v>
      </c>
      <c r="J57">
        <v>68.0959139658124</v>
      </c>
      <c r="K57">
        <v>81.715096758974894</v>
      </c>
      <c r="L57">
        <v>83.148694947728899</v>
      </c>
      <c r="M57">
        <v>98.142721905516098</v>
      </c>
      <c r="N57">
        <v>98.142721905515998</v>
      </c>
      <c r="O57">
        <v>85.1532440062566</v>
      </c>
      <c r="P57">
        <v>95.430359662184102</v>
      </c>
      <c r="Q57">
        <v>87.343041046744801</v>
      </c>
      <c r="R57">
        <v>88.931096338503707</v>
      </c>
      <c r="S57">
        <v>95.283317505539699</v>
      </c>
      <c r="T57">
        <v>95.283317505539699</v>
      </c>
      <c r="U57">
        <v>95.283317505539699</v>
      </c>
      <c r="V57">
        <v>99.715099715099697</v>
      </c>
      <c r="W57">
        <v>94.4669365721997</v>
      </c>
      <c r="X57">
        <v>102.564102564103</v>
      </c>
      <c r="Y57">
        <v>100</v>
      </c>
      <c r="Z57">
        <v>100</v>
      </c>
      <c r="AA57">
        <v>57.142857142857103</v>
      </c>
      <c r="AB57">
        <v>57.142857142857103</v>
      </c>
      <c r="AC57">
        <v>59.3406593406593</v>
      </c>
      <c r="AD57">
        <v>61.036106750392499</v>
      </c>
      <c r="AE57">
        <v>62.601135128607702</v>
      </c>
    </row>
    <row r="58" spans="1:31" x14ac:dyDescent="0.3">
      <c r="A58" t="s">
        <v>266</v>
      </c>
      <c r="B58" t="s">
        <v>234</v>
      </c>
      <c r="C58" t="s">
        <v>0</v>
      </c>
      <c r="D58" t="s">
        <v>235</v>
      </c>
      <c r="E58" t="s">
        <v>123</v>
      </c>
      <c r="F58">
        <v>77.689606162546298</v>
      </c>
      <c r="G58">
        <v>57.597466637749797</v>
      </c>
      <c r="H58">
        <v>73.436769963131098</v>
      </c>
      <c r="I58">
        <v>65.425485967153094</v>
      </c>
      <c r="J58">
        <v>68.0959139658124</v>
      </c>
      <c r="K58">
        <v>81.715096758974894</v>
      </c>
      <c r="L58">
        <v>83.148694947728899</v>
      </c>
      <c r="M58">
        <v>98.142721905516098</v>
      </c>
      <c r="N58">
        <v>98.142721905515998</v>
      </c>
      <c r="O58">
        <v>85.1532440062566</v>
      </c>
      <c r="P58">
        <v>95.430359662184102</v>
      </c>
      <c r="Q58">
        <v>87.343041046744801</v>
      </c>
      <c r="R58">
        <v>88.931096338503707</v>
      </c>
      <c r="S58">
        <v>95.283317505539699</v>
      </c>
      <c r="T58">
        <v>95.283317505539699</v>
      </c>
      <c r="U58">
        <v>95.283317505539699</v>
      </c>
      <c r="V58">
        <v>99.715099715099697</v>
      </c>
      <c r="W58">
        <v>94.4669365721997</v>
      </c>
      <c r="X58">
        <v>102.564102564103</v>
      </c>
      <c r="Y58">
        <v>100</v>
      </c>
      <c r="Z58">
        <v>100</v>
      </c>
      <c r="AA58">
        <v>57.142857142857103</v>
      </c>
      <c r="AB58">
        <v>57.142857142857103</v>
      </c>
      <c r="AC58">
        <v>59.3406593406593</v>
      </c>
      <c r="AD58">
        <v>61.036106750392499</v>
      </c>
      <c r="AE58">
        <v>62.601135128607702</v>
      </c>
    </row>
    <row r="59" spans="1:31" x14ac:dyDescent="0.3">
      <c r="A59" t="s">
        <v>266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267</v>
      </c>
      <c r="B2" t="s">
        <v>121</v>
      </c>
      <c r="C2" t="s">
        <v>0</v>
      </c>
      <c r="D2" t="s">
        <v>122</v>
      </c>
      <c r="E2" t="s">
        <v>123</v>
      </c>
      <c r="F2" t="e">
        <v>#NUM!</v>
      </c>
      <c r="G2" t="e">
        <v>#NUM!</v>
      </c>
      <c r="H2">
        <v>0</v>
      </c>
      <c r="I2" t="e">
        <v>#NUM!</v>
      </c>
      <c r="J2" t="e">
        <v>#NUM!</v>
      </c>
      <c r="K2" t="e">
        <v>#NUM!</v>
      </c>
      <c r="L2">
        <v>0</v>
      </c>
      <c r="M2" t="e">
        <v>#NUM!</v>
      </c>
      <c r="N2">
        <v>0</v>
      </c>
      <c r="O2" t="e">
        <v>#NUM!</v>
      </c>
      <c r="P2">
        <v>0</v>
      </c>
      <c r="Q2">
        <v>0</v>
      </c>
      <c r="R2">
        <v>0</v>
      </c>
      <c r="S2">
        <v>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</row>
    <row r="3" spans="1:31" x14ac:dyDescent="0.3">
      <c r="A3" t="s">
        <v>267</v>
      </c>
      <c r="B3" t="s">
        <v>124</v>
      </c>
      <c r="C3" t="s">
        <v>0</v>
      </c>
      <c r="D3" t="s">
        <v>125</v>
      </c>
      <c r="E3" t="s">
        <v>123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</row>
    <row r="4" spans="1:31" x14ac:dyDescent="0.3">
      <c r="A4" t="s">
        <v>267</v>
      </c>
      <c r="B4" t="s">
        <v>126</v>
      </c>
      <c r="C4" t="s">
        <v>0</v>
      </c>
      <c r="D4" t="s">
        <v>127</v>
      </c>
      <c r="E4" t="s">
        <v>123</v>
      </c>
      <c r="F4">
        <v>51.709054022719201</v>
      </c>
      <c r="G4">
        <v>53.321183532390897</v>
      </c>
      <c r="H4">
        <v>54.460981710772003</v>
      </c>
      <c r="I4">
        <v>56.348394156869198</v>
      </c>
      <c r="J4">
        <v>57.194989561789001</v>
      </c>
      <c r="K4">
        <v>60.258613280127598</v>
      </c>
      <c r="L4">
        <v>63.3637994760415</v>
      </c>
      <c r="M4">
        <v>66.064551584856403</v>
      </c>
      <c r="N4">
        <v>67.740653882066994</v>
      </c>
      <c r="O4">
        <v>70.406469730384998</v>
      </c>
      <c r="P4">
        <v>73.679734683796497</v>
      </c>
      <c r="Q4">
        <v>75.7332389949391</v>
      </c>
      <c r="R4">
        <v>78.071655040709103</v>
      </c>
      <c r="S4">
        <v>83.643116059346099</v>
      </c>
      <c r="T4">
        <v>87.637649821948699</v>
      </c>
      <c r="U4">
        <v>89.662759391048297</v>
      </c>
      <c r="V4">
        <v>92.473856688234406</v>
      </c>
      <c r="W4">
        <v>95.4391703825127</v>
      </c>
      <c r="X4">
        <v>97.750542074793003</v>
      </c>
      <c r="Y4">
        <v>98.8203572632289</v>
      </c>
      <c r="Z4">
        <v>100</v>
      </c>
      <c r="AA4">
        <v>101.93596425912099</v>
      </c>
      <c r="AB4">
        <v>102.266790917975</v>
      </c>
      <c r="AC4">
        <v>102.266790917975</v>
      </c>
      <c r="AD4">
        <v>106.33636107978</v>
      </c>
      <c r="AE4">
        <v>107.96871749986499</v>
      </c>
    </row>
    <row r="5" spans="1:31" x14ac:dyDescent="0.3">
      <c r="A5" t="s">
        <v>267</v>
      </c>
      <c r="B5" t="s">
        <v>128</v>
      </c>
      <c r="C5" t="s">
        <v>0</v>
      </c>
      <c r="D5" t="s">
        <v>129</v>
      </c>
      <c r="E5" t="s">
        <v>123</v>
      </c>
      <c r="F5">
        <v>78.391280294605707</v>
      </c>
      <c r="G5">
        <v>78.391280294605707</v>
      </c>
      <c r="H5">
        <v>78.391280294605707</v>
      </c>
      <c r="I5">
        <v>78.391280294605707</v>
      </c>
      <c r="J5">
        <v>78.391280294605707</v>
      </c>
      <c r="K5">
        <v>78.391280294605707</v>
      </c>
      <c r="L5">
        <v>78.391280294605707</v>
      </c>
      <c r="M5">
        <v>80.024431967409996</v>
      </c>
      <c r="N5">
        <v>80.024431967409996</v>
      </c>
      <c r="O5">
        <v>80.024431967409996</v>
      </c>
      <c r="P5">
        <v>84.554116795753998</v>
      </c>
      <c r="Q5">
        <v>84.554116795753998</v>
      </c>
      <c r="R5">
        <v>86.245199131669096</v>
      </c>
      <c r="S5">
        <v>89.271346469622301</v>
      </c>
      <c r="T5">
        <v>92.459608843537396</v>
      </c>
      <c r="U5">
        <v>92.459608843537396</v>
      </c>
      <c r="V5">
        <v>95.442176870748298</v>
      </c>
      <c r="W5">
        <v>98.571428571428598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103.448275862069</v>
      </c>
      <c r="AE5">
        <v>96.551724137931004</v>
      </c>
    </row>
    <row r="6" spans="1:31" x14ac:dyDescent="0.3">
      <c r="A6" t="s">
        <v>267</v>
      </c>
      <c r="B6" t="s">
        <v>130</v>
      </c>
      <c r="C6" t="s">
        <v>0</v>
      </c>
      <c r="D6" t="s">
        <v>131</v>
      </c>
      <c r="E6" t="s">
        <v>123</v>
      </c>
      <c r="F6">
        <v>80.672268907562994</v>
      </c>
      <c r="G6">
        <v>80.672268907562994</v>
      </c>
      <c r="H6">
        <v>80.672268907562994</v>
      </c>
      <c r="I6">
        <v>80.672268907562994</v>
      </c>
      <c r="J6">
        <v>80.672268907562994</v>
      </c>
      <c r="K6">
        <v>86.877828054298604</v>
      </c>
      <c r="L6">
        <v>92.307692307692307</v>
      </c>
      <c r="M6">
        <v>92.307692307692307</v>
      </c>
      <c r="N6">
        <v>92.307692307692307</v>
      </c>
      <c r="O6">
        <v>92.307692307692307</v>
      </c>
      <c r="P6">
        <v>92.307692307692307</v>
      </c>
      <c r="Q6">
        <v>92.307692307692307</v>
      </c>
      <c r="R6">
        <v>92.307692307692307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</row>
    <row r="7" spans="1:31" x14ac:dyDescent="0.3">
      <c r="A7" t="s">
        <v>267</v>
      </c>
      <c r="B7" t="s">
        <v>132</v>
      </c>
      <c r="C7" t="s">
        <v>0</v>
      </c>
      <c r="D7" t="s">
        <v>133</v>
      </c>
      <c r="E7" t="s">
        <v>123</v>
      </c>
      <c r="F7">
        <v>53.630870443400099</v>
      </c>
      <c r="G7">
        <v>55.185388427266702</v>
      </c>
      <c r="H7">
        <v>56.676885411787502</v>
      </c>
      <c r="I7">
        <v>58.885075752506502</v>
      </c>
      <c r="J7">
        <v>59.594534496512601</v>
      </c>
      <c r="K7">
        <v>62.798541727507903</v>
      </c>
      <c r="L7">
        <v>65.970185249099202</v>
      </c>
      <c r="M7">
        <v>68.413525443510295</v>
      </c>
      <c r="N7">
        <v>70.2625396446862</v>
      </c>
      <c r="O7">
        <v>72.794523055305504</v>
      </c>
      <c r="P7">
        <v>75.465881699536894</v>
      </c>
      <c r="Q7">
        <v>77.622049748095094</v>
      </c>
      <c r="R7">
        <v>79.758436438409603</v>
      </c>
      <c r="S7">
        <v>84.976278074567304</v>
      </c>
      <c r="T7">
        <v>88.631171755193805</v>
      </c>
      <c r="U7">
        <v>90.319384550530899</v>
      </c>
      <c r="V7">
        <v>92.696210459755406</v>
      </c>
      <c r="W7">
        <v>95.654600155279496</v>
      </c>
      <c r="X7">
        <v>97.780257936507894</v>
      </c>
      <c r="Y7">
        <v>98.9583333333333</v>
      </c>
      <c r="Z7">
        <v>100</v>
      </c>
      <c r="AA7">
        <v>102.19780219780201</v>
      </c>
      <c r="AB7">
        <v>102.19780219780201</v>
      </c>
      <c r="AC7">
        <v>102.19780219780201</v>
      </c>
      <c r="AD7">
        <v>106.71982884372299</v>
      </c>
      <c r="AE7">
        <v>108.57582586709199</v>
      </c>
    </row>
    <row r="8" spans="1:31" x14ac:dyDescent="0.3">
      <c r="A8" t="s">
        <v>267</v>
      </c>
      <c r="B8" t="s">
        <v>134</v>
      </c>
      <c r="C8" t="s">
        <v>0</v>
      </c>
      <c r="D8" t="s">
        <v>135</v>
      </c>
      <c r="E8" t="s">
        <v>123</v>
      </c>
      <c r="F8">
        <v>52.866149630693101</v>
      </c>
      <c r="G8">
        <v>54.571509296199302</v>
      </c>
      <c r="H8">
        <v>56.276868961705503</v>
      </c>
      <c r="I8">
        <v>57.757839197539901</v>
      </c>
      <c r="J8">
        <v>57.757839197539901</v>
      </c>
      <c r="K8">
        <v>62.036197656616899</v>
      </c>
      <c r="L8">
        <v>66.631471557107005</v>
      </c>
      <c r="M8">
        <v>70.138391112744301</v>
      </c>
      <c r="N8">
        <v>70.138391112744202</v>
      </c>
      <c r="O8">
        <v>70.138391112744202</v>
      </c>
      <c r="P8">
        <v>77.152230224018695</v>
      </c>
      <c r="Q8">
        <v>77.152230224018695</v>
      </c>
      <c r="R8">
        <v>80.506675016367296</v>
      </c>
      <c r="S8">
        <v>86.257151803250693</v>
      </c>
      <c r="T8">
        <v>90.464817744872704</v>
      </c>
      <c r="U8">
        <v>92.784428456279699</v>
      </c>
      <c r="V8">
        <v>95.104039167686693</v>
      </c>
      <c r="W8">
        <v>97.368421052631604</v>
      </c>
      <c r="X8">
        <v>100</v>
      </c>
      <c r="Y8">
        <v>100</v>
      </c>
      <c r="Z8">
        <v>100</v>
      </c>
      <c r="AA8">
        <v>102.941176470588</v>
      </c>
      <c r="AB8">
        <v>102.941176470588</v>
      </c>
      <c r="AC8">
        <v>102.941176470588</v>
      </c>
      <c r="AD8">
        <v>108.22021116138799</v>
      </c>
      <c r="AE8">
        <v>110.92571644042199</v>
      </c>
    </row>
    <row r="9" spans="1:31" x14ac:dyDescent="0.3">
      <c r="A9" t="s">
        <v>267</v>
      </c>
      <c r="B9" t="s">
        <v>136</v>
      </c>
      <c r="C9" t="s">
        <v>0</v>
      </c>
      <c r="D9" t="s">
        <v>137</v>
      </c>
      <c r="E9" t="s">
        <v>123</v>
      </c>
      <c r="F9">
        <v>53.1941204747257</v>
      </c>
      <c r="G9">
        <v>54.671734932356998</v>
      </c>
      <c r="H9">
        <v>55.372654610976902</v>
      </c>
      <c r="I9">
        <v>56.774493968216902</v>
      </c>
      <c r="J9">
        <v>57.365894947052503</v>
      </c>
      <c r="K9">
        <v>60.3851525758447</v>
      </c>
      <c r="L9">
        <v>64.198951685897995</v>
      </c>
      <c r="M9">
        <v>66.716557634364605</v>
      </c>
      <c r="N9">
        <v>68.121116742456493</v>
      </c>
      <c r="O9">
        <v>70.598248260364002</v>
      </c>
      <c r="P9">
        <v>74.484390366439101</v>
      </c>
      <c r="Q9">
        <v>76.867890858165197</v>
      </c>
      <c r="R9">
        <v>79.128711177523002</v>
      </c>
      <c r="S9">
        <v>84.821424211877101</v>
      </c>
      <c r="T9">
        <v>89.406366061167802</v>
      </c>
      <c r="U9">
        <v>91.569423304583097</v>
      </c>
      <c r="V9">
        <v>94.430967782851297</v>
      </c>
      <c r="W9">
        <v>97.128995433789996</v>
      </c>
      <c r="X9">
        <v>99.1666666666667</v>
      </c>
      <c r="Y9">
        <v>99.1666666666667</v>
      </c>
      <c r="Z9">
        <v>100</v>
      </c>
      <c r="AA9">
        <v>101.801801801802</v>
      </c>
      <c r="AB9">
        <v>101.801801801802</v>
      </c>
      <c r="AC9">
        <v>101.801801801802</v>
      </c>
      <c r="AD9">
        <v>105.223711106064</v>
      </c>
      <c r="AE9">
        <v>106.977439624498</v>
      </c>
    </row>
    <row r="10" spans="1:31" x14ac:dyDescent="0.3">
      <c r="A10" t="s">
        <v>267</v>
      </c>
      <c r="B10" t="s">
        <v>138</v>
      </c>
      <c r="C10" t="s">
        <v>0</v>
      </c>
      <c r="D10" t="s">
        <v>139</v>
      </c>
      <c r="E10" t="s">
        <v>123</v>
      </c>
      <c r="F10">
        <v>51.073087602663598</v>
      </c>
      <c r="G10">
        <v>52.786949602752998</v>
      </c>
      <c r="H10">
        <v>53.808632498290201</v>
      </c>
      <c r="I10">
        <v>55.439197119450498</v>
      </c>
      <c r="J10">
        <v>56.343097072485001</v>
      </c>
      <c r="K10">
        <v>59.337174694694298</v>
      </c>
      <c r="L10">
        <v>62.7503750089909</v>
      </c>
      <c r="M10">
        <v>65.405198567063593</v>
      </c>
      <c r="N10">
        <v>67.118871891964901</v>
      </c>
      <c r="O10">
        <v>69.803626767643493</v>
      </c>
      <c r="P10">
        <v>73.2162485207282</v>
      </c>
      <c r="Q10">
        <v>75.5780629891388</v>
      </c>
      <c r="R10">
        <v>77.830389369609804</v>
      </c>
      <c r="S10">
        <v>83.462851758200003</v>
      </c>
      <c r="T10">
        <v>87.790555182699293</v>
      </c>
      <c r="U10">
        <v>89.993185599469498</v>
      </c>
      <c r="V10">
        <v>92.855159699805995</v>
      </c>
      <c r="W10">
        <v>95.793614120685902</v>
      </c>
      <c r="X10">
        <v>97.958441558441507</v>
      </c>
      <c r="Y10">
        <v>98.857142857142904</v>
      </c>
      <c r="Z10">
        <v>100</v>
      </c>
      <c r="AA10">
        <v>101.977401129944</v>
      </c>
      <c r="AB10">
        <v>102.242277496515</v>
      </c>
      <c r="AC10">
        <v>102.242277496515</v>
      </c>
      <c r="AD10">
        <v>106.188470663047</v>
      </c>
      <c r="AE10">
        <v>108.040595151356</v>
      </c>
    </row>
    <row r="11" spans="1:31" x14ac:dyDescent="0.3">
      <c r="A11" t="s">
        <v>267</v>
      </c>
      <c r="B11" t="s">
        <v>140</v>
      </c>
      <c r="C11" t="s">
        <v>0</v>
      </c>
      <c r="D11" t="s">
        <v>141</v>
      </c>
      <c r="E11" t="s">
        <v>123</v>
      </c>
      <c r="F11">
        <v>49.546785370961899</v>
      </c>
      <c r="G11">
        <v>51.477179606194198</v>
      </c>
      <c r="H11">
        <v>52.8142492063551</v>
      </c>
      <c r="I11">
        <v>54.656606736809302</v>
      </c>
      <c r="J11">
        <v>55.898802344464102</v>
      </c>
      <c r="K11">
        <v>58.893381041488901</v>
      </c>
      <c r="L11">
        <v>62.040355600957803</v>
      </c>
      <c r="M11">
        <v>64.788978950367394</v>
      </c>
      <c r="N11">
        <v>66.722978322020097</v>
      </c>
      <c r="O11">
        <v>69.623977379499294</v>
      </c>
      <c r="P11">
        <v>72.6250108872363</v>
      </c>
      <c r="Q11">
        <v>74.986799859178902</v>
      </c>
      <c r="R11">
        <v>77.245438409154204</v>
      </c>
      <c r="S11">
        <v>82.863288475274501</v>
      </c>
      <c r="T11">
        <v>87.032510536923496</v>
      </c>
      <c r="U11">
        <v>89.278510808844104</v>
      </c>
      <c r="V11">
        <v>92.158462770419703</v>
      </c>
      <c r="W11">
        <v>95.215852530575802</v>
      </c>
      <c r="X11">
        <v>97.472152353575297</v>
      </c>
      <c r="Y11">
        <v>98.695652173913004</v>
      </c>
      <c r="Z11">
        <v>100</v>
      </c>
      <c r="AA11">
        <v>102.057613168724</v>
      </c>
      <c r="AB11">
        <v>102.444195036788</v>
      </c>
      <c r="AC11">
        <v>102.444195036788</v>
      </c>
      <c r="AD11">
        <v>106.764130972074</v>
      </c>
      <c r="AE11">
        <v>108.67063331086101</v>
      </c>
    </row>
    <row r="12" spans="1:31" x14ac:dyDescent="0.3">
      <c r="A12" t="s">
        <v>267</v>
      </c>
      <c r="B12" t="s">
        <v>142</v>
      </c>
      <c r="C12" t="s">
        <v>0</v>
      </c>
      <c r="D12" t="s">
        <v>143</v>
      </c>
      <c r="E12" t="s">
        <v>123</v>
      </c>
      <c r="F12">
        <v>71.172570611371896</v>
      </c>
      <c r="G12">
        <v>71.172570611371896</v>
      </c>
      <c r="H12">
        <v>71.172570611371896</v>
      </c>
      <c r="I12">
        <v>71.172570611371896</v>
      </c>
      <c r="J12">
        <v>71.172570611371896</v>
      </c>
      <c r="K12">
        <v>74.267030203170606</v>
      </c>
      <c r="L12">
        <v>77.496031516352005</v>
      </c>
      <c r="M12">
        <v>78.879889222001097</v>
      </c>
      <c r="N12">
        <v>80.368189018642596</v>
      </c>
      <c r="O12">
        <v>83.344788611925694</v>
      </c>
      <c r="P12">
        <v>86.968475073313797</v>
      </c>
      <c r="Q12">
        <v>86.968475073313797</v>
      </c>
      <c r="R12">
        <v>88.417949657869002</v>
      </c>
      <c r="S12">
        <v>92.766373411534701</v>
      </c>
      <c r="T12">
        <v>95.858585858585897</v>
      </c>
      <c r="U12">
        <v>95.858585858585897</v>
      </c>
      <c r="V12">
        <v>97.3333333333333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104.545454545455</v>
      </c>
      <c r="AE12">
        <v>104.545454545455</v>
      </c>
    </row>
    <row r="13" spans="1:31" x14ac:dyDescent="0.3">
      <c r="A13" t="s">
        <v>267</v>
      </c>
      <c r="B13" t="s">
        <v>144</v>
      </c>
      <c r="C13" t="s">
        <v>0</v>
      </c>
      <c r="D13" t="s">
        <v>145</v>
      </c>
      <c r="E13" t="s">
        <v>123</v>
      </c>
      <c r="F13">
        <v>71.027745986323495</v>
      </c>
      <c r="G13">
        <v>72.477291822779094</v>
      </c>
      <c r="H13">
        <v>73.871085896294005</v>
      </c>
      <c r="I13">
        <v>75.214196548953893</v>
      </c>
      <c r="J13">
        <v>75.214196548953893</v>
      </c>
      <c r="K13">
        <v>77.680235780067207</v>
      </c>
      <c r="L13">
        <v>79.999048788427402</v>
      </c>
      <c r="M13">
        <v>81.332366268234495</v>
      </c>
      <c r="N13">
        <v>82.5646748480562</v>
      </c>
      <c r="O13">
        <v>83.680413697354297</v>
      </c>
      <c r="P13">
        <v>85.721399397289701</v>
      </c>
      <c r="Q13">
        <v>86.754187341835404</v>
      </c>
      <c r="R13">
        <v>87.728953491743695</v>
      </c>
      <c r="S13">
        <v>92.713553121956394</v>
      </c>
      <c r="T13">
        <v>95.580982599954993</v>
      </c>
      <c r="U13">
        <v>96.536792425954602</v>
      </c>
      <c r="V13">
        <v>97.586105387106301</v>
      </c>
      <c r="W13">
        <v>98.734177215189902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104.166666666667</v>
      </c>
      <c r="AE13">
        <v>105.406746031746</v>
      </c>
    </row>
    <row r="14" spans="1:31" x14ac:dyDescent="0.3">
      <c r="A14" t="s">
        <v>267</v>
      </c>
      <c r="B14" t="s">
        <v>146</v>
      </c>
      <c r="C14" t="s">
        <v>0</v>
      </c>
      <c r="D14" t="s">
        <v>147</v>
      </c>
      <c r="E14" t="s">
        <v>123</v>
      </c>
      <c r="F14">
        <v>49.517473702241901</v>
      </c>
      <c r="G14">
        <v>51.376491486285097</v>
      </c>
      <c r="H14">
        <v>52.580628005494901</v>
      </c>
      <c r="I14">
        <v>54.586716222572001</v>
      </c>
      <c r="J14">
        <v>55.536738839933697</v>
      </c>
      <c r="K14">
        <v>58.750438013311403</v>
      </c>
      <c r="L14">
        <v>61.941469649520201</v>
      </c>
      <c r="M14">
        <v>64.773931558884598</v>
      </c>
      <c r="N14">
        <v>66.520208295868997</v>
      </c>
      <c r="O14">
        <v>69.305464233424303</v>
      </c>
      <c r="P14">
        <v>72.607128203710801</v>
      </c>
      <c r="Q14">
        <v>74.756487635531897</v>
      </c>
      <c r="R14">
        <v>77.194822803997099</v>
      </c>
      <c r="S14">
        <v>82.813593513009295</v>
      </c>
      <c r="T14">
        <v>86.830884951616795</v>
      </c>
      <c r="U14">
        <v>89.024191042090195</v>
      </c>
      <c r="V14">
        <v>91.9814665749889</v>
      </c>
      <c r="W14">
        <v>95.012157401183003</v>
      </c>
      <c r="X14">
        <v>97.463732563484101</v>
      </c>
      <c r="Y14">
        <v>98.678414096916299</v>
      </c>
      <c r="Z14">
        <v>100</v>
      </c>
      <c r="AA14">
        <v>102.189781021898</v>
      </c>
      <c r="AB14">
        <v>102.56791157147001</v>
      </c>
      <c r="AC14">
        <v>102.56791157147001</v>
      </c>
      <c r="AD14">
        <v>106.658655126363</v>
      </c>
      <c r="AE14">
        <v>108.40536800458401</v>
      </c>
    </row>
    <row r="15" spans="1:31" x14ac:dyDescent="0.3">
      <c r="A15" t="s">
        <v>267</v>
      </c>
      <c r="B15" t="s">
        <v>148</v>
      </c>
      <c r="C15" t="s">
        <v>0</v>
      </c>
      <c r="D15" t="s">
        <v>149</v>
      </c>
      <c r="E15" t="s">
        <v>123</v>
      </c>
      <c r="F15">
        <v>49.835596353013003</v>
      </c>
      <c r="G15">
        <v>51.670035482571798</v>
      </c>
      <c r="H15">
        <v>52.848583710865803</v>
      </c>
      <c r="I15">
        <v>54.820545789629399</v>
      </c>
      <c r="J15">
        <v>55.761186589039703</v>
      </c>
      <c r="K15">
        <v>58.933805826002299</v>
      </c>
      <c r="L15">
        <v>62.085527471671199</v>
      </c>
      <c r="M15">
        <v>64.885046119080997</v>
      </c>
      <c r="N15">
        <v>66.609565617262604</v>
      </c>
      <c r="O15">
        <v>69.375556053911595</v>
      </c>
      <c r="P15">
        <v>72.668432345314301</v>
      </c>
      <c r="Q15">
        <v>74.810713516083794</v>
      </c>
      <c r="R15">
        <v>77.239810014781895</v>
      </c>
      <c r="S15">
        <v>82.845159081045296</v>
      </c>
      <c r="T15">
        <v>86.858974927995206</v>
      </c>
      <c r="U15">
        <v>89.035960657472202</v>
      </c>
      <c r="V15">
        <v>91.981091668077994</v>
      </c>
      <c r="W15">
        <v>95.032597078867298</v>
      </c>
      <c r="X15">
        <v>97.497837389661996</v>
      </c>
      <c r="Y15">
        <v>98.673100120627296</v>
      </c>
      <c r="Z15">
        <v>100</v>
      </c>
      <c r="AA15">
        <v>102.140221402214</v>
      </c>
      <c r="AB15">
        <v>102.533825338253</v>
      </c>
      <c r="AC15">
        <v>102.533825338253</v>
      </c>
      <c r="AD15">
        <v>106.60585970434801</v>
      </c>
      <c r="AE15">
        <v>108.288178088386</v>
      </c>
    </row>
    <row r="16" spans="1:31" x14ac:dyDescent="0.3">
      <c r="A16" t="s">
        <v>267</v>
      </c>
      <c r="B16" t="s">
        <v>150</v>
      </c>
      <c r="C16" t="s">
        <v>0</v>
      </c>
      <c r="D16" t="s">
        <v>151</v>
      </c>
      <c r="E16" t="s">
        <v>123</v>
      </c>
      <c r="F16">
        <v>55.317961976254701</v>
      </c>
      <c r="G16">
        <v>56.994263854323101</v>
      </c>
      <c r="H16">
        <v>57.871098682851098</v>
      </c>
      <c r="I16">
        <v>59.3940223323998</v>
      </c>
      <c r="J16">
        <v>60.1554841571742</v>
      </c>
      <c r="K16">
        <v>62.383465051884301</v>
      </c>
      <c r="L16">
        <v>64.665786944026493</v>
      </c>
      <c r="M16">
        <v>66.821313175493998</v>
      </c>
      <c r="N16">
        <v>68.106338428868895</v>
      </c>
      <c r="O16">
        <v>70.475254548133904</v>
      </c>
      <c r="P16">
        <v>73.566274484455505</v>
      </c>
      <c r="Q16">
        <v>75.536799693860601</v>
      </c>
      <c r="R16">
        <v>77.774927092197203</v>
      </c>
      <c r="S16">
        <v>83.165268573834695</v>
      </c>
      <c r="T16">
        <v>87.125519458303003</v>
      </c>
      <c r="U16">
        <v>89.120760361928205</v>
      </c>
      <c r="V16">
        <v>91.938808120408197</v>
      </c>
      <c r="W16">
        <v>95.120081757792505</v>
      </c>
      <c r="X16">
        <v>97.690894778273403</v>
      </c>
      <c r="Y16">
        <v>98.648648648648603</v>
      </c>
      <c r="Z16">
        <v>100</v>
      </c>
      <c r="AA16">
        <v>101.930501930502</v>
      </c>
      <c r="AB16">
        <v>101.930501930502</v>
      </c>
      <c r="AC16">
        <v>101.930501930502</v>
      </c>
      <c r="AD16">
        <v>105.901820187534</v>
      </c>
      <c r="AE16">
        <v>107.301403714242</v>
      </c>
    </row>
    <row r="17" spans="1:31" x14ac:dyDescent="0.3">
      <c r="A17" t="s">
        <v>267</v>
      </c>
      <c r="B17" t="s">
        <v>152</v>
      </c>
      <c r="C17" t="s">
        <v>0</v>
      </c>
      <c r="D17" t="s">
        <v>153</v>
      </c>
      <c r="E17" t="s">
        <v>123</v>
      </c>
      <c r="F17">
        <v>49.991751246499497</v>
      </c>
      <c r="G17">
        <v>51.462096871396497</v>
      </c>
      <c r="H17">
        <v>52.5052474836545</v>
      </c>
      <c r="I17">
        <v>54.788084330769998</v>
      </c>
      <c r="J17">
        <v>55.676539752350003</v>
      </c>
      <c r="K17">
        <v>58.539904653899399</v>
      </c>
      <c r="L17">
        <v>61.650720843237103</v>
      </c>
      <c r="M17">
        <v>64.305536573328595</v>
      </c>
      <c r="N17">
        <v>66.043524048283501</v>
      </c>
      <c r="O17">
        <v>68.995189927536302</v>
      </c>
      <c r="P17">
        <v>72.195997707679794</v>
      </c>
      <c r="Q17">
        <v>74.268610082063006</v>
      </c>
      <c r="R17">
        <v>76.796903191239593</v>
      </c>
      <c r="S17">
        <v>82.719543540178407</v>
      </c>
      <c r="T17">
        <v>86.9808533589148</v>
      </c>
      <c r="U17">
        <v>88.957690935253794</v>
      </c>
      <c r="V17">
        <v>91.687850247844693</v>
      </c>
      <c r="W17">
        <v>94.802511827389296</v>
      </c>
      <c r="X17">
        <v>97.287255080929796</v>
      </c>
      <c r="Y17">
        <v>98.674242424242394</v>
      </c>
      <c r="Z17">
        <v>100</v>
      </c>
      <c r="AA17">
        <v>101.95035460992899</v>
      </c>
      <c r="AB17">
        <v>102.48226950354599</v>
      </c>
      <c r="AC17">
        <v>102.48226950354599</v>
      </c>
      <c r="AD17">
        <v>106.599860688956</v>
      </c>
      <c r="AE17">
        <v>108.41948846743099</v>
      </c>
    </row>
    <row r="18" spans="1:31" x14ac:dyDescent="0.3">
      <c r="A18" t="s">
        <v>267</v>
      </c>
      <c r="B18" t="s">
        <v>154</v>
      </c>
      <c r="C18" t="s">
        <v>0</v>
      </c>
      <c r="D18" t="s">
        <v>155</v>
      </c>
      <c r="E18" t="s">
        <v>123</v>
      </c>
      <c r="F18">
        <v>72.843022368990106</v>
      </c>
      <c r="G18">
        <v>72.843022368990106</v>
      </c>
      <c r="H18">
        <v>72.843022368990106</v>
      </c>
      <c r="I18">
        <v>72.843022368990106</v>
      </c>
      <c r="J18">
        <v>72.843022368990106</v>
      </c>
      <c r="K18">
        <v>72.843022368990106</v>
      </c>
      <c r="L18">
        <v>72.843022368990106</v>
      </c>
      <c r="M18">
        <v>75.444558882168295</v>
      </c>
      <c r="N18">
        <v>75.444558882168295</v>
      </c>
      <c r="O18">
        <v>75.444558882168295</v>
      </c>
      <c r="P18">
        <v>77.802201347236107</v>
      </c>
      <c r="Q18">
        <v>79.570433196036902</v>
      </c>
      <c r="R18">
        <v>79.570433196036902</v>
      </c>
      <c r="S18">
        <v>85.852309500987204</v>
      </c>
      <c r="T18">
        <v>90.535162746495601</v>
      </c>
      <c r="U18">
        <v>90.535162746495601</v>
      </c>
      <c r="V18">
        <v>93.237704918032804</v>
      </c>
      <c r="W18">
        <v>95.628415300546493</v>
      </c>
      <c r="X18">
        <v>98.360655737704903</v>
      </c>
      <c r="Y18">
        <v>98.360655737704903</v>
      </c>
      <c r="Z18">
        <v>100</v>
      </c>
      <c r="AA18">
        <v>103.27868852459</v>
      </c>
      <c r="AB18">
        <v>103.27868852459</v>
      </c>
      <c r="AC18">
        <v>103.27868852459</v>
      </c>
      <c r="AD18">
        <v>106.759992632161</v>
      </c>
      <c r="AE18">
        <v>109.0314818371</v>
      </c>
    </row>
    <row r="19" spans="1:31" x14ac:dyDescent="0.3">
      <c r="A19" t="s">
        <v>267</v>
      </c>
      <c r="B19" t="s">
        <v>156</v>
      </c>
      <c r="C19" t="s">
        <v>0</v>
      </c>
      <c r="D19" t="s">
        <v>157</v>
      </c>
      <c r="E19" t="s">
        <v>123</v>
      </c>
      <c r="F19">
        <v>59.730142640756299</v>
      </c>
      <c r="G19">
        <v>61.656921435619502</v>
      </c>
      <c r="H19">
        <v>63.401928646061499</v>
      </c>
      <c r="I19">
        <v>66.134770398046896</v>
      </c>
      <c r="J19">
        <v>67.072852247664599</v>
      </c>
      <c r="K19">
        <v>70.5124856962628</v>
      </c>
      <c r="L19">
        <v>74.097866324886297</v>
      </c>
      <c r="M19">
        <v>77.535396205937801</v>
      </c>
      <c r="N19">
        <v>79.597507807159502</v>
      </c>
      <c r="O19">
        <v>82.781408119445899</v>
      </c>
      <c r="P19">
        <v>86.544199397602497</v>
      </c>
      <c r="Q19">
        <v>88.870656370656405</v>
      </c>
      <c r="R19">
        <v>91.484499205087403</v>
      </c>
      <c r="S19">
        <v>94.025735294117595</v>
      </c>
      <c r="T19">
        <v>97.058823529411796</v>
      </c>
      <c r="U19">
        <v>97.058823529411796</v>
      </c>
      <c r="V19">
        <v>97.058823529411796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102.777777777778</v>
      </c>
      <c r="AE19">
        <v>102.777777777778</v>
      </c>
    </row>
    <row r="20" spans="1:31" x14ac:dyDescent="0.3">
      <c r="A20" t="s">
        <v>267</v>
      </c>
      <c r="B20" t="s">
        <v>158</v>
      </c>
      <c r="C20" t="s">
        <v>0</v>
      </c>
      <c r="D20" t="s">
        <v>159</v>
      </c>
      <c r="E20" t="s">
        <v>123</v>
      </c>
      <c r="F20">
        <v>49.536415147490601</v>
      </c>
      <c r="G20">
        <v>51.788070381467399</v>
      </c>
      <c r="H20">
        <v>53.357405847572501</v>
      </c>
      <c r="I20">
        <v>54.881903157503203</v>
      </c>
      <c r="J20">
        <v>56.841971127413998</v>
      </c>
      <c r="K20">
        <v>59.548731657290801</v>
      </c>
      <c r="L20">
        <v>63.518647101110197</v>
      </c>
      <c r="M20">
        <v>68.055693322618097</v>
      </c>
      <c r="N20">
        <v>68.055693322618097</v>
      </c>
      <c r="O20">
        <v>68.055693322618097</v>
      </c>
      <c r="P20">
        <v>73.727001099502999</v>
      </c>
      <c r="Q20">
        <v>76.676081143483103</v>
      </c>
      <c r="R20">
        <v>76.676081143483103</v>
      </c>
      <c r="S20">
        <v>82.152944082303307</v>
      </c>
      <c r="T20">
        <v>86.716996531320106</v>
      </c>
      <c r="U20">
        <v>90.185676392572901</v>
      </c>
      <c r="V20">
        <v>93.7931034482759</v>
      </c>
      <c r="W20">
        <v>96.551724137931004</v>
      </c>
      <c r="X20">
        <v>100</v>
      </c>
      <c r="Y20">
        <v>100</v>
      </c>
      <c r="Z20">
        <v>100</v>
      </c>
      <c r="AA20">
        <v>102.325581395349</v>
      </c>
      <c r="AB20">
        <v>102.325581395349</v>
      </c>
      <c r="AC20">
        <v>102.325581395349</v>
      </c>
      <c r="AD20">
        <v>106.589147286822</v>
      </c>
      <c r="AE20">
        <v>108.22898032200401</v>
      </c>
    </row>
    <row r="21" spans="1:31" x14ac:dyDescent="0.3">
      <c r="A21" t="s">
        <v>267</v>
      </c>
      <c r="B21" t="s">
        <v>160</v>
      </c>
      <c r="C21" t="s">
        <v>0</v>
      </c>
      <c r="D21" t="s">
        <v>161</v>
      </c>
      <c r="E21" t="s">
        <v>123</v>
      </c>
      <c r="F21">
        <v>54.031790462613898</v>
      </c>
      <c r="G21">
        <v>56.380998743597097</v>
      </c>
      <c r="H21">
        <v>58.039263412526502</v>
      </c>
      <c r="I21">
        <v>59.6514651739855</v>
      </c>
      <c r="J21">
        <v>61.575705986049599</v>
      </c>
      <c r="K21">
        <v>64.252910594138697</v>
      </c>
      <c r="L21">
        <v>68.147026387722903</v>
      </c>
      <c r="M21">
        <v>71.733711987076703</v>
      </c>
      <c r="N21">
        <v>71.733711987076703</v>
      </c>
      <c r="O21">
        <v>71.733711987076703</v>
      </c>
      <c r="P21">
        <v>75.320397586430602</v>
      </c>
      <c r="Q21">
        <v>77.251689832236494</v>
      </c>
      <c r="R21">
        <v>77.251689832236494</v>
      </c>
      <c r="S21">
        <v>83.194127511639294</v>
      </c>
      <c r="T21">
        <v>88.740402679081896</v>
      </c>
      <c r="U21">
        <v>90.804132973944306</v>
      </c>
      <c r="V21">
        <v>93.018867924528294</v>
      </c>
      <c r="W21">
        <v>96.2264150943396</v>
      </c>
      <c r="X21">
        <v>100</v>
      </c>
      <c r="Y21">
        <v>100</v>
      </c>
      <c r="Z21">
        <v>100</v>
      </c>
      <c r="AA21">
        <v>102.777777777778</v>
      </c>
      <c r="AB21">
        <v>102.777777777778</v>
      </c>
      <c r="AC21">
        <v>102.777777777778</v>
      </c>
      <c r="AD21">
        <v>106.363049095607</v>
      </c>
      <c r="AE21">
        <v>107.86112020963</v>
      </c>
    </row>
    <row r="22" spans="1:31" x14ac:dyDescent="0.3">
      <c r="A22" t="s">
        <v>267</v>
      </c>
      <c r="B22" t="s">
        <v>162</v>
      </c>
      <c r="C22" t="s">
        <v>0</v>
      </c>
      <c r="D22" t="s">
        <v>163</v>
      </c>
      <c r="E22" t="s">
        <v>123</v>
      </c>
      <c r="F22">
        <v>78.390532544378701</v>
      </c>
      <c r="G22">
        <v>78.390532544378701</v>
      </c>
      <c r="H22">
        <v>78.390532544378701</v>
      </c>
      <c r="I22">
        <v>78.390532544378701</v>
      </c>
      <c r="J22">
        <v>78.390532544378701</v>
      </c>
      <c r="K22">
        <v>78.390532544378701</v>
      </c>
      <c r="L22">
        <v>78.390532544378701</v>
      </c>
      <c r="M22">
        <v>78.390532544378701</v>
      </c>
      <c r="N22">
        <v>78.390532544378701</v>
      </c>
      <c r="O22">
        <v>78.390532544378701</v>
      </c>
      <c r="P22">
        <v>78.390532544378701</v>
      </c>
      <c r="Q22">
        <v>78.390532544378701</v>
      </c>
      <c r="R22">
        <v>78.390532544378701</v>
      </c>
      <c r="S22">
        <v>84.923076923076906</v>
      </c>
      <c r="T22">
        <v>92</v>
      </c>
      <c r="U22">
        <v>92</v>
      </c>
      <c r="V22">
        <v>92</v>
      </c>
      <c r="W22">
        <v>95.8333333333333</v>
      </c>
      <c r="X22">
        <v>100</v>
      </c>
      <c r="Y22">
        <v>100</v>
      </c>
      <c r="Z22">
        <v>100</v>
      </c>
      <c r="AA22">
        <v>103.448275862069</v>
      </c>
      <c r="AB22">
        <v>103.448275862069</v>
      </c>
      <c r="AC22">
        <v>103.448275862069</v>
      </c>
      <c r="AD22">
        <v>103.448275862069</v>
      </c>
      <c r="AE22">
        <v>103.448275862069</v>
      </c>
    </row>
    <row r="23" spans="1:31" x14ac:dyDescent="0.3">
      <c r="A23" t="s">
        <v>267</v>
      </c>
      <c r="B23" t="s">
        <v>164</v>
      </c>
      <c r="C23" t="s">
        <v>0</v>
      </c>
      <c r="D23" t="s">
        <v>165</v>
      </c>
      <c r="E23" t="s">
        <v>123</v>
      </c>
      <c r="F23">
        <v>58.325638006737698</v>
      </c>
      <c r="G23">
        <v>58.325638006737698</v>
      </c>
      <c r="H23">
        <v>58.325638006737698</v>
      </c>
      <c r="I23">
        <v>58.325638006737698</v>
      </c>
      <c r="J23">
        <v>58.325638006737698</v>
      </c>
      <c r="K23">
        <v>62.088582394269203</v>
      </c>
      <c r="L23">
        <v>64.572125690039897</v>
      </c>
      <c r="M23">
        <v>66.655097486492807</v>
      </c>
      <c r="N23">
        <v>68.559528843249794</v>
      </c>
      <c r="O23">
        <v>71.987505285412198</v>
      </c>
      <c r="P23">
        <v>75.776321353065498</v>
      </c>
      <c r="Q23">
        <v>79.565137420718798</v>
      </c>
      <c r="R23">
        <v>82.880351479915404</v>
      </c>
      <c r="S23">
        <v>88.405708245243105</v>
      </c>
      <c r="T23">
        <v>92.718181818181804</v>
      </c>
      <c r="U23">
        <v>94.435185185185205</v>
      </c>
      <c r="V23">
        <v>96.4444444444444</v>
      </c>
      <c r="W23">
        <v>98.412698412698404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103.846153846154</v>
      </c>
      <c r="AE23">
        <v>103.846153846154</v>
      </c>
    </row>
    <row r="24" spans="1:31" x14ac:dyDescent="0.3">
      <c r="A24" t="s">
        <v>267</v>
      </c>
      <c r="B24" t="s">
        <v>166</v>
      </c>
      <c r="C24" t="s">
        <v>0</v>
      </c>
      <c r="D24" t="s">
        <v>167</v>
      </c>
      <c r="E24" t="s">
        <v>123</v>
      </c>
      <c r="F24">
        <v>59.506708951025701</v>
      </c>
      <c r="G24">
        <v>61.670589276517497</v>
      </c>
      <c r="H24">
        <v>63.539395012169599</v>
      </c>
      <c r="I24">
        <v>65.835999651163604</v>
      </c>
      <c r="J24">
        <v>67.251827600650998</v>
      </c>
      <c r="K24">
        <v>71.241342797299794</v>
      </c>
      <c r="L24">
        <v>75.328960826653102</v>
      </c>
      <c r="M24">
        <v>75.328960826653102</v>
      </c>
      <c r="N24">
        <v>75.328960826653102</v>
      </c>
      <c r="O24">
        <v>75.328960826653102</v>
      </c>
      <c r="P24">
        <v>75.328960826653102</v>
      </c>
      <c r="Q24">
        <v>75.328960826653102</v>
      </c>
      <c r="R24">
        <v>77.882484922471804</v>
      </c>
      <c r="S24">
        <v>84.031102153193302</v>
      </c>
      <c r="T24">
        <v>87.460943057405302</v>
      </c>
      <c r="U24">
        <v>89.022745612001799</v>
      </c>
      <c r="V24">
        <v>91.848864520319296</v>
      </c>
      <c r="W24">
        <v>94.6605644546148</v>
      </c>
      <c r="X24">
        <v>97.218958088523294</v>
      </c>
      <c r="Y24">
        <v>98.648648648648603</v>
      </c>
      <c r="Z24">
        <v>100</v>
      </c>
      <c r="AA24">
        <v>101.470588235294</v>
      </c>
      <c r="AB24">
        <v>101.470588235294</v>
      </c>
      <c r="AC24">
        <v>101.470588235294</v>
      </c>
      <c r="AD24">
        <v>105.75807787903901</v>
      </c>
      <c r="AE24">
        <v>107.38512523102401</v>
      </c>
    </row>
    <row r="25" spans="1:31" x14ac:dyDescent="0.3">
      <c r="A25" t="s">
        <v>267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e">
        <v>#NUM!</v>
      </c>
      <c r="T25">
        <v>0</v>
      </c>
      <c r="U25">
        <v>0</v>
      </c>
      <c r="V25">
        <v>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</row>
    <row r="26" spans="1:31" x14ac:dyDescent="0.3">
      <c r="A26" t="s">
        <v>267</v>
      </c>
      <c r="B26" t="s">
        <v>170</v>
      </c>
      <c r="C26" t="s">
        <v>0</v>
      </c>
      <c r="D26" t="s">
        <v>171</v>
      </c>
      <c r="E26" t="s">
        <v>123</v>
      </c>
      <c r="F26">
        <v>58.315847304203899</v>
      </c>
      <c r="G26">
        <v>60.436423569811303</v>
      </c>
      <c r="H26">
        <v>62.267830344654101</v>
      </c>
      <c r="I26">
        <v>64.545921698726801</v>
      </c>
      <c r="J26">
        <v>65.949093909568703</v>
      </c>
      <c r="K26">
        <v>69.928780611008193</v>
      </c>
      <c r="L26">
        <v>74.042238294008698</v>
      </c>
      <c r="M26">
        <v>74.042238294008698</v>
      </c>
      <c r="N26">
        <v>74.042238294008698</v>
      </c>
      <c r="O26">
        <v>74.042238294008698</v>
      </c>
      <c r="P26">
        <v>74.042238294008698</v>
      </c>
      <c r="Q26">
        <v>74.042238294008698</v>
      </c>
      <c r="R26">
        <v>76.5521446768564</v>
      </c>
      <c r="S26">
        <v>83.306745677755501</v>
      </c>
      <c r="T26">
        <v>86.707021011541499</v>
      </c>
      <c r="U26">
        <v>88.374463723301901</v>
      </c>
      <c r="V26">
        <v>91.421859024105402</v>
      </c>
      <c r="W26">
        <v>94.308865098550797</v>
      </c>
      <c r="X26">
        <v>96.965452847805807</v>
      </c>
      <c r="Y26">
        <v>98.529411764705898</v>
      </c>
      <c r="Z26">
        <v>100</v>
      </c>
      <c r="AA26">
        <v>101.666666666667</v>
      </c>
      <c r="AB26">
        <v>101.666666666667</v>
      </c>
      <c r="AC26">
        <v>101.666666666667</v>
      </c>
      <c r="AD26">
        <v>106.218905472637</v>
      </c>
      <c r="AE26">
        <v>107.932113625421</v>
      </c>
    </row>
    <row r="27" spans="1:31" x14ac:dyDescent="0.3">
      <c r="A27" t="s">
        <v>267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 t="e">
        <v>#NUM!</v>
      </c>
      <c r="J27" t="e">
        <v>#NUM!</v>
      </c>
      <c r="K27" t="e">
        <v>#NUM!</v>
      </c>
      <c r="L27" t="e">
        <v>#NUM!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>
        <v>0</v>
      </c>
      <c r="AA27" t="e">
        <v>#NUM!</v>
      </c>
      <c r="AB27">
        <v>0</v>
      </c>
      <c r="AC27">
        <v>0</v>
      </c>
      <c r="AD27">
        <v>0</v>
      </c>
      <c r="AE27" t="e">
        <v>#NUM!</v>
      </c>
    </row>
    <row r="28" spans="1:31" x14ac:dyDescent="0.3">
      <c r="A28" t="s">
        <v>267</v>
      </c>
      <c r="B28" t="s">
        <v>174</v>
      </c>
      <c r="C28" t="s">
        <v>0</v>
      </c>
      <c r="D28" t="s">
        <v>175</v>
      </c>
      <c r="E28" t="s">
        <v>123</v>
      </c>
      <c r="F28">
        <v>65.764630959882396</v>
      </c>
      <c r="G28">
        <v>65.764630959882396</v>
      </c>
      <c r="H28">
        <v>65.764630959882396</v>
      </c>
      <c r="I28">
        <v>65.764630959882396</v>
      </c>
      <c r="J28">
        <v>65.764630959882396</v>
      </c>
      <c r="K28">
        <v>69.633138663404793</v>
      </c>
      <c r="L28">
        <v>72.034281375936004</v>
      </c>
      <c r="M28">
        <v>75.825559343090603</v>
      </c>
      <c r="N28">
        <v>75.825559343090603</v>
      </c>
      <c r="O28">
        <v>79.272175676867406</v>
      </c>
      <c r="P28">
        <v>82.575182996736899</v>
      </c>
      <c r="Q28">
        <v>85.524296675191806</v>
      </c>
      <c r="R28">
        <v>89.411764705882305</v>
      </c>
      <c r="S28">
        <v>94.117647058823493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</row>
    <row r="29" spans="1:31" x14ac:dyDescent="0.3">
      <c r="A29" t="s">
        <v>267</v>
      </c>
      <c r="B29" t="s">
        <v>176</v>
      </c>
      <c r="C29" t="s">
        <v>0</v>
      </c>
      <c r="D29" t="s">
        <v>177</v>
      </c>
      <c r="E29" t="s">
        <v>123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>
        <v>0</v>
      </c>
      <c r="T29">
        <v>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0</v>
      </c>
      <c r="AC29" t="e">
        <v>#NUM!</v>
      </c>
      <c r="AD29" t="e">
        <v>#NUM!</v>
      </c>
      <c r="AE29" t="e">
        <v>#NUM!</v>
      </c>
    </row>
    <row r="30" spans="1:31" x14ac:dyDescent="0.3">
      <c r="A30" t="s">
        <v>267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>
        <v>0</v>
      </c>
      <c r="R30" t="e">
        <v>#NUM!</v>
      </c>
      <c r="S30" t="e">
        <v>#NUM!</v>
      </c>
      <c r="T30">
        <v>0</v>
      </c>
      <c r="U30">
        <v>0</v>
      </c>
      <c r="V30" t="e">
        <v>#NUM!</v>
      </c>
      <c r="W30">
        <v>0</v>
      </c>
      <c r="X30">
        <v>0</v>
      </c>
      <c r="Y30" t="e">
        <v>#NUM!</v>
      </c>
      <c r="Z30">
        <v>0</v>
      </c>
      <c r="AA30" t="e">
        <v>#NUM!</v>
      </c>
      <c r="AB30">
        <v>0</v>
      </c>
      <c r="AC30">
        <v>0</v>
      </c>
      <c r="AD30" t="e">
        <v>#NUM!</v>
      </c>
      <c r="AE30" t="e">
        <v>#NUM!</v>
      </c>
    </row>
    <row r="31" spans="1:31" x14ac:dyDescent="0.3">
      <c r="A31" t="s">
        <v>267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267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 t="e">
        <v>#NUM!</v>
      </c>
      <c r="K32">
        <v>0</v>
      </c>
      <c r="L32">
        <v>0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>
        <v>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0</v>
      </c>
      <c r="AB32" t="e">
        <v>#NUM!</v>
      </c>
      <c r="AC32" t="e">
        <v>#NUM!</v>
      </c>
      <c r="AD32" t="e">
        <v>#NUM!</v>
      </c>
      <c r="AE32" t="e">
        <v>#NUM!</v>
      </c>
    </row>
    <row r="33" spans="1:31" x14ac:dyDescent="0.3">
      <c r="A33" t="s">
        <v>267</v>
      </c>
      <c r="B33" t="s">
        <v>184</v>
      </c>
      <c r="C33" t="s">
        <v>0</v>
      </c>
      <c r="D33" t="s">
        <v>185</v>
      </c>
      <c r="E33" t="s">
        <v>123</v>
      </c>
      <c r="F33">
        <v>57.872842617908397</v>
      </c>
      <c r="G33">
        <v>57.872842617908397</v>
      </c>
      <c r="H33">
        <v>57.872842617908397</v>
      </c>
      <c r="I33">
        <v>57.872842617908397</v>
      </c>
      <c r="J33">
        <v>57.872842617908397</v>
      </c>
      <c r="K33">
        <v>63.660126879699298</v>
      </c>
      <c r="L33">
        <v>67.404840225563902</v>
      </c>
      <c r="M33">
        <v>71.898496240601503</v>
      </c>
      <c r="N33">
        <v>71.898496240601503</v>
      </c>
      <c r="O33">
        <v>76.691729323308294</v>
      </c>
      <c r="P33">
        <v>80.952380952380906</v>
      </c>
      <c r="Q33">
        <v>84.325396825396794</v>
      </c>
      <c r="R33">
        <v>88.5416666666667</v>
      </c>
      <c r="S33">
        <v>93.75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</row>
    <row r="34" spans="1:31" x14ac:dyDescent="0.3">
      <c r="A34" t="s">
        <v>267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e">
        <v>#NUM!</v>
      </c>
      <c r="V34" t="e">
        <v>#NUM!</v>
      </c>
      <c r="W34" t="e">
        <v>#NUM!</v>
      </c>
      <c r="X34">
        <v>0</v>
      </c>
      <c r="Y34">
        <v>0</v>
      </c>
      <c r="Z34">
        <v>0</v>
      </c>
      <c r="AA34">
        <v>0</v>
      </c>
      <c r="AB34">
        <v>0</v>
      </c>
      <c r="AC34" t="e">
        <v>#NUM!</v>
      </c>
      <c r="AD34">
        <v>0</v>
      </c>
      <c r="AE34" t="e">
        <v>#NUM!</v>
      </c>
    </row>
    <row r="35" spans="1:31" x14ac:dyDescent="0.3">
      <c r="A35" t="s">
        <v>267</v>
      </c>
      <c r="B35" t="s">
        <v>188</v>
      </c>
      <c r="C35" t="s">
        <v>0</v>
      </c>
      <c r="D35" t="s">
        <v>189</v>
      </c>
      <c r="E35" t="s">
        <v>123</v>
      </c>
      <c r="F35">
        <v>49.865581477765097</v>
      </c>
      <c r="G35">
        <v>51.860204736875701</v>
      </c>
      <c r="H35">
        <v>52.710372027644098</v>
      </c>
      <c r="I35">
        <v>54.638800272557901</v>
      </c>
      <c r="J35">
        <v>55.844067925629098</v>
      </c>
      <c r="K35">
        <v>59.058115000485401</v>
      </c>
      <c r="L35">
        <v>62.313286693425603</v>
      </c>
      <c r="M35">
        <v>65.292407969605307</v>
      </c>
      <c r="N35">
        <v>67.165550821192298</v>
      </c>
      <c r="O35">
        <v>69.879310450331403</v>
      </c>
      <c r="P35">
        <v>73.122653973342594</v>
      </c>
      <c r="Q35">
        <v>75.451400915168705</v>
      </c>
      <c r="R35">
        <v>77.892475650659506</v>
      </c>
      <c r="S35">
        <v>83.414703402012194</v>
      </c>
      <c r="T35">
        <v>87.138574089602002</v>
      </c>
      <c r="U35">
        <v>89.157228315615995</v>
      </c>
      <c r="V35">
        <v>92.151314341140406</v>
      </c>
      <c r="W35">
        <v>95.213744727099794</v>
      </c>
      <c r="X35">
        <v>97.649445173607006</v>
      </c>
      <c r="Y35">
        <v>98.961937716262995</v>
      </c>
      <c r="Z35">
        <v>100</v>
      </c>
      <c r="AA35">
        <v>102.120141342756</v>
      </c>
      <c r="AB35">
        <v>102.386773565583</v>
      </c>
      <c r="AC35">
        <v>102.386773565583</v>
      </c>
      <c r="AD35">
        <v>106.250425398247</v>
      </c>
      <c r="AE35">
        <v>107.89009245686201</v>
      </c>
    </row>
    <row r="36" spans="1:31" x14ac:dyDescent="0.3">
      <c r="A36" t="s">
        <v>267</v>
      </c>
      <c r="B36" t="s">
        <v>190</v>
      </c>
      <c r="C36" t="s">
        <v>0</v>
      </c>
      <c r="D36" t="s">
        <v>191</v>
      </c>
      <c r="E36" t="s">
        <v>123</v>
      </c>
      <c r="F36">
        <v>80.671683089287498</v>
      </c>
      <c r="G36">
        <v>80.671683089287498</v>
      </c>
      <c r="H36">
        <v>80.671683089287498</v>
      </c>
      <c r="I36">
        <v>80.671683089287498</v>
      </c>
      <c r="J36">
        <v>80.671683089287498</v>
      </c>
      <c r="K36">
        <v>80.671683089287498</v>
      </c>
      <c r="L36">
        <v>80.671683089287498</v>
      </c>
      <c r="M36">
        <v>80.671683089287498</v>
      </c>
      <c r="N36">
        <v>80.671683089287498</v>
      </c>
      <c r="O36">
        <v>80.671683089287498</v>
      </c>
      <c r="P36">
        <v>80.671683089287498</v>
      </c>
      <c r="Q36">
        <v>80.671683089287498</v>
      </c>
      <c r="R36">
        <v>80.671683089287498</v>
      </c>
      <c r="S36">
        <v>86.877197173078798</v>
      </c>
      <c r="T36">
        <v>86.877197173078798</v>
      </c>
      <c r="U36">
        <v>88.486034157765502</v>
      </c>
      <c r="V36">
        <v>91.485560739384695</v>
      </c>
      <c r="W36">
        <v>94.695580414450802</v>
      </c>
      <c r="X36">
        <v>97.480744544287504</v>
      </c>
      <c r="Y36">
        <v>98.684210526315795</v>
      </c>
      <c r="Z36">
        <v>100</v>
      </c>
      <c r="AA36">
        <v>101.960784313725</v>
      </c>
      <c r="AB36">
        <v>101.96078431372599</v>
      </c>
      <c r="AC36">
        <v>101.96078431372599</v>
      </c>
      <c r="AD36">
        <v>106.150953532098</v>
      </c>
      <c r="AE36">
        <v>107.74720847243</v>
      </c>
    </row>
    <row r="37" spans="1:31" x14ac:dyDescent="0.3">
      <c r="A37" t="s">
        <v>267</v>
      </c>
      <c r="B37" t="s">
        <v>192</v>
      </c>
      <c r="C37" t="s">
        <v>0</v>
      </c>
      <c r="D37" t="s">
        <v>193</v>
      </c>
      <c r="E37" t="s">
        <v>123</v>
      </c>
      <c r="F37">
        <v>48.815084531661</v>
      </c>
      <c r="G37">
        <v>51.196308167351702</v>
      </c>
      <c r="H37">
        <v>52.200157347103698</v>
      </c>
      <c r="I37">
        <v>54.537477825332303</v>
      </c>
      <c r="J37">
        <v>55.710326810823297</v>
      </c>
      <c r="K37">
        <v>58.875686288711002</v>
      </c>
      <c r="L37">
        <v>62.2887695518247</v>
      </c>
      <c r="M37">
        <v>65.403208029415893</v>
      </c>
      <c r="N37">
        <v>67.447058280335099</v>
      </c>
      <c r="O37">
        <v>70.008338974525103</v>
      </c>
      <c r="P37">
        <v>73.692988394236906</v>
      </c>
      <c r="Q37">
        <v>75.9604649602134</v>
      </c>
      <c r="R37">
        <v>78.6733387087925</v>
      </c>
      <c r="S37">
        <v>84.099086205950599</v>
      </c>
      <c r="T37">
        <v>87.921771942584698</v>
      </c>
      <c r="U37">
        <v>89.919994032188896</v>
      </c>
      <c r="V37">
        <v>92.060946271050497</v>
      </c>
      <c r="W37">
        <v>95.348837209302303</v>
      </c>
      <c r="X37">
        <v>97.619047619047606</v>
      </c>
      <c r="Y37">
        <v>100</v>
      </c>
      <c r="Z37">
        <v>100</v>
      </c>
      <c r="AA37">
        <v>102.941176470588</v>
      </c>
      <c r="AB37">
        <v>102.941176470588</v>
      </c>
      <c r="AC37">
        <v>102.941176470588</v>
      </c>
      <c r="AD37">
        <v>105.96885813148801</v>
      </c>
      <c r="AE37">
        <v>105.96885813148801</v>
      </c>
    </row>
    <row r="38" spans="1:31" x14ac:dyDescent="0.3">
      <c r="A38" t="s">
        <v>267</v>
      </c>
      <c r="B38" t="s">
        <v>194</v>
      </c>
      <c r="C38" t="s">
        <v>0</v>
      </c>
      <c r="D38" t="s">
        <v>195</v>
      </c>
      <c r="E38" t="s">
        <v>123</v>
      </c>
      <c r="F38">
        <v>53.5697188012116</v>
      </c>
      <c r="G38">
        <v>53.5697188012116</v>
      </c>
      <c r="H38">
        <v>53.5697188012116</v>
      </c>
      <c r="I38">
        <v>53.5697188012116</v>
      </c>
      <c r="J38">
        <v>54.979448243348699</v>
      </c>
      <c r="K38">
        <v>58.415663758557997</v>
      </c>
      <c r="L38">
        <v>61.722210763759399</v>
      </c>
      <c r="M38">
        <v>64.701903697182303</v>
      </c>
      <c r="N38">
        <v>66.5719009138639</v>
      </c>
      <c r="O38">
        <v>69.491721129384203</v>
      </c>
      <c r="P38">
        <v>72.590078122414099</v>
      </c>
      <c r="Q38">
        <v>75.093184264566304</v>
      </c>
      <c r="R38">
        <v>77.533035016844593</v>
      </c>
      <c r="S38">
        <v>83.042996896214305</v>
      </c>
      <c r="T38">
        <v>86.950902632506697</v>
      </c>
      <c r="U38">
        <v>89.111173505364107</v>
      </c>
      <c r="V38">
        <v>92.312772553461002</v>
      </c>
      <c r="W38">
        <v>95.314813937313303</v>
      </c>
      <c r="X38">
        <v>97.697684285746206</v>
      </c>
      <c r="Y38">
        <v>98.870056497175099</v>
      </c>
      <c r="Z38">
        <v>100</v>
      </c>
      <c r="AA38">
        <v>102.02020202020201</v>
      </c>
      <c r="AB38">
        <v>102.438317602252</v>
      </c>
      <c r="AC38">
        <v>102.438317602252</v>
      </c>
      <c r="AD38">
        <v>106.053787635273</v>
      </c>
      <c r="AE38">
        <v>108.005697837149</v>
      </c>
    </row>
    <row r="39" spans="1:31" x14ac:dyDescent="0.3">
      <c r="A39" t="s">
        <v>267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>
        <v>0</v>
      </c>
      <c r="O39">
        <v>0</v>
      </c>
      <c r="P39">
        <v>0</v>
      </c>
      <c r="Q39">
        <v>73.800915529068206</v>
      </c>
      <c r="R39">
        <v>78.1421458543075</v>
      </c>
      <c r="S39">
        <v>83.283076502617206</v>
      </c>
      <c r="T39">
        <v>86.957329877732704</v>
      </c>
      <c r="U39">
        <v>89.339722477122606</v>
      </c>
      <c r="V39">
        <v>92.913311376207503</v>
      </c>
      <c r="W39">
        <v>96.010421755414399</v>
      </c>
      <c r="X39">
        <v>98.876404494382001</v>
      </c>
      <c r="Y39">
        <v>98.876404494382001</v>
      </c>
      <c r="Z39">
        <v>100</v>
      </c>
      <c r="AA39">
        <v>102.53164556962</v>
      </c>
      <c r="AB39">
        <v>102.53164556962</v>
      </c>
      <c r="AC39">
        <v>102.53164556962</v>
      </c>
      <c r="AD39">
        <v>106.759754665275</v>
      </c>
      <c r="AE39">
        <v>107.907709016514</v>
      </c>
    </row>
    <row r="40" spans="1:31" x14ac:dyDescent="0.3">
      <c r="A40" t="s">
        <v>267</v>
      </c>
      <c r="B40" t="s">
        <v>198</v>
      </c>
      <c r="C40" t="s">
        <v>0</v>
      </c>
      <c r="D40" t="s">
        <v>199</v>
      </c>
      <c r="E40" t="s">
        <v>123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</row>
    <row r="41" spans="1:31" x14ac:dyDescent="0.3">
      <c r="A41" t="s">
        <v>267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267</v>
      </c>
      <c r="B42" t="s">
        <v>202</v>
      </c>
      <c r="C42" t="s">
        <v>0</v>
      </c>
      <c r="D42" t="s">
        <v>203</v>
      </c>
      <c r="E42" t="s">
        <v>123</v>
      </c>
      <c r="F42">
        <v>49.847884243383803</v>
      </c>
      <c r="G42">
        <v>51.793167530930504</v>
      </c>
      <c r="H42">
        <v>53.067719752049598</v>
      </c>
      <c r="I42">
        <v>55.003666609956902</v>
      </c>
      <c r="J42">
        <v>56.051355497765698</v>
      </c>
      <c r="K42">
        <v>59.2163682854355</v>
      </c>
      <c r="L42">
        <v>62.461100794226503</v>
      </c>
      <c r="M42">
        <v>65.211518584881304</v>
      </c>
      <c r="N42">
        <v>66.865059468174707</v>
      </c>
      <c r="O42">
        <v>69.759218758588204</v>
      </c>
      <c r="P42">
        <v>73.042005523698194</v>
      </c>
      <c r="Q42">
        <v>75.196059305898402</v>
      </c>
      <c r="R42">
        <v>77.684561987964102</v>
      </c>
      <c r="S42">
        <v>83.153733737116795</v>
      </c>
      <c r="T42">
        <v>86.973130956013193</v>
      </c>
      <c r="U42">
        <v>89.059607582483295</v>
      </c>
      <c r="V42">
        <v>92.032224658000004</v>
      </c>
      <c r="W42">
        <v>95.1190197707528</v>
      </c>
      <c r="X42">
        <v>97.615894039735096</v>
      </c>
      <c r="Y42">
        <v>98.675496688741703</v>
      </c>
      <c r="Z42">
        <v>100</v>
      </c>
      <c r="AA42">
        <v>102.130681818182</v>
      </c>
      <c r="AB42">
        <v>102.435549525102</v>
      </c>
      <c r="AC42">
        <v>102.435549525102</v>
      </c>
      <c r="AD42">
        <v>106.433034384618</v>
      </c>
      <c r="AE42">
        <v>108.145447066549</v>
      </c>
    </row>
    <row r="43" spans="1:31" x14ac:dyDescent="0.3">
      <c r="A43" t="s">
        <v>267</v>
      </c>
      <c r="B43" t="s">
        <v>204</v>
      </c>
      <c r="C43" t="s">
        <v>0</v>
      </c>
      <c r="D43" t="s">
        <v>205</v>
      </c>
      <c r="E43" t="s">
        <v>123</v>
      </c>
      <c r="F43">
        <v>50.0521839101986</v>
      </c>
      <c r="G43">
        <v>51.995958042633497</v>
      </c>
      <c r="H43">
        <v>53.266970350342397</v>
      </c>
      <c r="I43">
        <v>55.197756056005097</v>
      </c>
      <c r="J43">
        <v>56.243168102520301</v>
      </c>
      <c r="K43">
        <v>59.413237577389701</v>
      </c>
      <c r="L43">
        <v>62.6631924534178</v>
      </c>
      <c r="M43">
        <v>65.399190997158598</v>
      </c>
      <c r="N43">
        <v>67.044453663753799</v>
      </c>
      <c r="O43">
        <v>69.912136785064803</v>
      </c>
      <c r="P43">
        <v>73.154438780893898</v>
      </c>
      <c r="Q43">
        <v>75.283271655470202</v>
      </c>
      <c r="R43">
        <v>77.746308992704598</v>
      </c>
      <c r="S43">
        <v>83.219827872938097</v>
      </c>
      <c r="T43">
        <v>87.042260911721399</v>
      </c>
      <c r="U43">
        <v>89.122516203951207</v>
      </c>
      <c r="V43">
        <v>92.081431084560506</v>
      </c>
      <c r="W43">
        <v>95.150812120712501</v>
      </c>
      <c r="X43">
        <v>97.639189523620303</v>
      </c>
      <c r="Y43">
        <v>98.687664041994793</v>
      </c>
      <c r="Z43">
        <v>100</v>
      </c>
      <c r="AA43">
        <v>102.086230876217</v>
      </c>
      <c r="AB43">
        <v>102.387815014699</v>
      </c>
      <c r="AC43">
        <v>102.387815014699</v>
      </c>
      <c r="AD43">
        <v>106.36887222061701</v>
      </c>
      <c r="AE43">
        <v>108.03690037365401</v>
      </c>
    </row>
    <row r="44" spans="1:31" x14ac:dyDescent="0.3">
      <c r="A44" t="s">
        <v>267</v>
      </c>
      <c r="B44" t="s">
        <v>206</v>
      </c>
      <c r="C44" t="s">
        <v>0</v>
      </c>
      <c r="D44" t="s">
        <v>207</v>
      </c>
      <c r="E44" t="s">
        <v>123</v>
      </c>
      <c r="F44">
        <v>51.529015555278697</v>
      </c>
      <c r="G44">
        <v>53.2135117765391</v>
      </c>
      <c r="H44">
        <v>54.373546587994298</v>
      </c>
      <c r="I44">
        <v>56.241754740837898</v>
      </c>
      <c r="J44">
        <v>57.145091630346997</v>
      </c>
      <c r="K44">
        <v>60.241944856178698</v>
      </c>
      <c r="L44">
        <v>63.379717277103197</v>
      </c>
      <c r="M44">
        <v>66.100521574224004</v>
      </c>
      <c r="N44">
        <v>67.764152942027806</v>
      </c>
      <c r="O44">
        <v>70.452952586397402</v>
      </c>
      <c r="P44">
        <v>73.712284713799093</v>
      </c>
      <c r="Q44">
        <v>75.793196117228803</v>
      </c>
      <c r="R44">
        <v>78.164529880046501</v>
      </c>
      <c r="S44">
        <v>83.705520303353097</v>
      </c>
      <c r="T44">
        <v>87.652127950902198</v>
      </c>
      <c r="U44">
        <v>89.668567990031505</v>
      </c>
      <c r="V44">
        <v>92.486092556820296</v>
      </c>
      <c r="W44">
        <v>95.441833659151698</v>
      </c>
      <c r="X44">
        <v>97.792519606089698</v>
      </c>
      <c r="Y44">
        <v>98.841519925857298</v>
      </c>
      <c r="Z44">
        <v>100</v>
      </c>
      <c r="AA44">
        <v>101.961277344732</v>
      </c>
      <c r="AB44">
        <v>102.25049190140901</v>
      </c>
      <c r="AC44">
        <v>102.25049190140901</v>
      </c>
      <c r="AD44">
        <v>106.240034215481</v>
      </c>
      <c r="AE44">
        <v>107.822332597414</v>
      </c>
    </row>
    <row r="45" spans="1:31" x14ac:dyDescent="0.3">
      <c r="A45" t="s">
        <v>267</v>
      </c>
      <c r="B45" t="s">
        <v>208</v>
      </c>
      <c r="C45" t="s">
        <v>0</v>
      </c>
      <c r="D45" t="s">
        <v>209</v>
      </c>
      <c r="E45" t="s">
        <v>123</v>
      </c>
      <c r="F45">
        <v>51.518488184347397</v>
      </c>
      <c r="G45">
        <v>53.203543293862303</v>
      </c>
      <c r="H45">
        <v>54.363360796094</v>
      </c>
      <c r="I45">
        <v>56.233460407479598</v>
      </c>
      <c r="J45">
        <v>57.137535333644898</v>
      </c>
      <c r="K45">
        <v>60.235746439065103</v>
      </c>
      <c r="L45">
        <v>63.3731960081574</v>
      </c>
      <c r="M45">
        <v>66.094437038012401</v>
      </c>
      <c r="N45">
        <v>67.757915268971601</v>
      </c>
      <c r="O45">
        <v>70.447102551085294</v>
      </c>
      <c r="P45">
        <v>73.706164041028401</v>
      </c>
      <c r="Q45">
        <v>75.786902656736103</v>
      </c>
      <c r="R45">
        <v>78.158039516716599</v>
      </c>
      <c r="S45">
        <v>83.698569845897296</v>
      </c>
      <c r="T45">
        <v>87.645585348415807</v>
      </c>
      <c r="U45">
        <v>89.662962605131796</v>
      </c>
      <c r="V45">
        <v>92.483514394491607</v>
      </c>
      <c r="W45">
        <v>95.440392433094402</v>
      </c>
      <c r="X45">
        <v>97.791533624556806</v>
      </c>
      <c r="Y45">
        <v>98.840982846546098</v>
      </c>
      <c r="Z45">
        <v>100</v>
      </c>
      <c r="AA45">
        <v>101.962264150943</v>
      </c>
      <c r="AB45">
        <v>102.251780130722</v>
      </c>
      <c r="AC45">
        <v>102.251780130722</v>
      </c>
      <c r="AD45">
        <v>106.25680633506801</v>
      </c>
      <c r="AE45">
        <v>107.84460965554</v>
      </c>
    </row>
    <row r="46" spans="1:31" x14ac:dyDescent="0.3">
      <c r="A46" t="s">
        <v>267</v>
      </c>
      <c r="B46" t="s">
        <v>210</v>
      </c>
      <c r="C46" t="s">
        <v>0</v>
      </c>
      <c r="D46" t="s">
        <v>211</v>
      </c>
      <c r="E46" t="s">
        <v>123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>
        <v>0</v>
      </c>
      <c r="T46">
        <v>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</row>
    <row r="47" spans="1:31" x14ac:dyDescent="0.3">
      <c r="A47" t="s">
        <v>267</v>
      </c>
      <c r="B47" t="s">
        <v>212</v>
      </c>
      <c r="C47" t="s">
        <v>0</v>
      </c>
      <c r="D47" t="s">
        <v>213</v>
      </c>
      <c r="E47" t="s">
        <v>123</v>
      </c>
      <c r="F47">
        <v>56.013214756522402</v>
      </c>
      <c r="G47">
        <v>57.880321915073097</v>
      </c>
      <c r="H47">
        <v>59.689081974919198</v>
      </c>
      <c r="I47">
        <v>61.219571256327299</v>
      </c>
      <c r="J47">
        <v>62.494978990834198</v>
      </c>
      <c r="K47">
        <v>66.570738490236394</v>
      </c>
      <c r="L47">
        <v>69.818091587321106</v>
      </c>
      <c r="M47">
        <v>72.503402802218005</v>
      </c>
      <c r="N47">
        <v>73.983064083895997</v>
      </c>
      <c r="O47">
        <v>76.884360714636998</v>
      </c>
      <c r="P47">
        <v>79.959735143222503</v>
      </c>
      <c r="Q47">
        <v>82.420034686090901</v>
      </c>
      <c r="R47">
        <v>84.2932172925929</v>
      </c>
      <c r="S47">
        <v>90.314161384920993</v>
      </c>
      <c r="T47">
        <v>93.324633431085005</v>
      </c>
      <c r="U47">
        <v>95.052867383512506</v>
      </c>
      <c r="V47">
        <v>97.075268817204304</v>
      </c>
      <c r="W47">
        <v>98.387096774193594</v>
      </c>
      <c r="X47">
        <v>100</v>
      </c>
      <c r="Y47">
        <v>100</v>
      </c>
      <c r="Z47">
        <v>100</v>
      </c>
      <c r="AA47">
        <v>101.136363636364</v>
      </c>
      <c r="AB47">
        <v>101.136363636364</v>
      </c>
      <c r="AC47">
        <v>101.136363636364</v>
      </c>
      <c r="AD47">
        <v>105.026223776224</v>
      </c>
      <c r="AE47">
        <v>107.045958848843</v>
      </c>
    </row>
    <row r="48" spans="1:31" x14ac:dyDescent="0.3">
      <c r="A48" t="s">
        <v>267</v>
      </c>
      <c r="B48" t="s">
        <v>214</v>
      </c>
      <c r="C48" t="s">
        <v>0</v>
      </c>
      <c r="D48" t="s">
        <v>215</v>
      </c>
      <c r="E48" t="s">
        <v>123</v>
      </c>
      <c r="F48">
        <v>49.8177047843905</v>
      </c>
      <c r="G48">
        <v>51.717166665251099</v>
      </c>
      <c r="H48">
        <v>52.987165300959902</v>
      </c>
      <c r="I48">
        <v>55.0089331343829</v>
      </c>
      <c r="J48">
        <v>56.0412723621059</v>
      </c>
      <c r="K48">
        <v>59.245978552900802</v>
      </c>
      <c r="L48">
        <v>62.469205365364303</v>
      </c>
      <c r="M48">
        <v>65.247197394154696</v>
      </c>
      <c r="N48">
        <v>67.020219062474197</v>
      </c>
      <c r="O48">
        <v>69.792513542824693</v>
      </c>
      <c r="P48">
        <v>73.068488668304198</v>
      </c>
      <c r="Q48">
        <v>75.231930071090702</v>
      </c>
      <c r="R48">
        <v>77.612687351821407</v>
      </c>
      <c r="S48">
        <v>83.177097897529293</v>
      </c>
      <c r="T48">
        <v>87.095357881131903</v>
      </c>
      <c r="U48">
        <v>89.269544494904693</v>
      </c>
      <c r="V48">
        <v>92.218978784383907</v>
      </c>
      <c r="W48">
        <v>95.183390401492005</v>
      </c>
      <c r="X48">
        <v>97.574932873891299</v>
      </c>
      <c r="Y48">
        <v>98.718914845516196</v>
      </c>
      <c r="Z48">
        <v>100</v>
      </c>
      <c r="AA48">
        <v>102.043596730245</v>
      </c>
      <c r="AB48">
        <v>102.430614164115</v>
      </c>
      <c r="AC48">
        <v>102.430614164115</v>
      </c>
      <c r="AD48">
        <v>106.621517752057</v>
      </c>
      <c r="AE48">
        <v>108.436085835865</v>
      </c>
    </row>
    <row r="49" spans="1:31" x14ac:dyDescent="0.3">
      <c r="A49" t="s">
        <v>267</v>
      </c>
      <c r="B49" t="s">
        <v>216</v>
      </c>
      <c r="C49" t="s">
        <v>0</v>
      </c>
      <c r="D49" t="s">
        <v>217</v>
      </c>
      <c r="E49" t="s">
        <v>123</v>
      </c>
      <c r="F49">
        <v>49.2607885095005</v>
      </c>
      <c r="G49">
        <v>51.162399830639302</v>
      </c>
      <c r="H49">
        <v>52.408475471213599</v>
      </c>
      <c r="I49">
        <v>54.472507895593601</v>
      </c>
      <c r="J49">
        <v>55.495835356059899</v>
      </c>
      <c r="K49">
        <v>58.667025947834802</v>
      </c>
      <c r="L49">
        <v>61.903827379439498</v>
      </c>
      <c r="M49">
        <v>64.703878251125602</v>
      </c>
      <c r="N49">
        <v>66.499130364451602</v>
      </c>
      <c r="O49">
        <v>69.276017126923193</v>
      </c>
      <c r="P49">
        <v>72.574875085348097</v>
      </c>
      <c r="Q49">
        <v>74.733512395578998</v>
      </c>
      <c r="R49">
        <v>77.146560279196905</v>
      </c>
      <c r="S49">
        <v>82.721604674373296</v>
      </c>
      <c r="T49">
        <v>86.709061516696295</v>
      </c>
      <c r="U49">
        <v>88.918636057276203</v>
      </c>
      <c r="V49">
        <v>91.921260759133602</v>
      </c>
      <c r="W49">
        <v>95.003568310669294</v>
      </c>
      <c r="X49">
        <v>97.454343213979499</v>
      </c>
      <c r="Y49">
        <v>98.653998416468696</v>
      </c>
      <c r="Z49">
        <v>100</v>
      </c>
      <c r="AA49">
        <v>102.121433796635</v>
      </c>
      <c r="AB49">
        <v>102.540250339888</v>
      </c>
      <c r="AC49">
        <v>102.540250339888</v>
      </c>
      <c r="AD49">
        <v>106.81554416513499</v>
      </c>
      <c r="AE49">
        <v>108.64666777939399</v>
      </c>
    </row>
    <row r="50" spans="1:31" x14ac:dyDescent="0.3">
      <c r="A50" t="s">
        <v>267</v>
      </c>
      <c r="B50" t="s">
        <v>218</v>
      </c>
      <c r="C50" t="s">
        <v>0</v>
      </c>
      <c r="D50" t="s">
        <v>219</v>
      </c>
      <c r="E50" t="s">
        <v>123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</row>
    <row r="51" spans="1:31" x14ac:dyDescent="0.3">
      <c r="A51" t="s">
        <v>267</v>
      </c>
      <c r="B51" t="s">
        <v>220</v>
      </c>
      <c r="C51" t="s">
        <v>0</v>
      </c>
      <c r="D51" t="s">
        <v>221</v>
      </c>
      <c r="E51" t="s">
        <v>123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</row>
    <row r="52" spans="1:31" x14ac:dyDescent="0.3">
      <c r="A52" t="s">
        <v>267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</row>
    <row r="53" spans="1:31" x14ac:dyDescent="0.3">
      <c r="A53" t="s">
        <v>267</v>
      </c>
      <c r="B53" t="s">
        <v>224</v>
      </c>
      <c r="C53" t="s">
        <v>0</v>
      </c>
      <c r="D53" t="s">
        <v>225</v>
      </c>
      <c r="E53" t="s">
        <v>123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104.166666666667</v>
      </c>
      <c r="AE53">
        <v>104.166666666667</v>
      </c>
    </row>
    <row r="54" spans="1:31" x14ac:dyDescent="0.3">
      <c r="A54" t="s">
        <v>267</v>
      </c>
      <c r="B54" t="s">
        <v>226</v>
      </c>
      <c r="C54" t="s">
        <v>0</v>
      </c>
      <c r="D54" t="s">
        <v>227</v>
      </c>
      <c r="E54" t="s">
        <v>123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103.030303030303</v>
      </c>
      <c r="AE54">
        <v>103.030303030303</v>
      </c>
    </row>
    <row r="55" spans="1:31" x14ac:dyDescent="0.3">
      <c r="A55" t="s">
        <v>267</v>
      </c>
      <c r="B55" t="s">
        <v>228</v>
      </c>
      <c r="C55" t="s">
        <v>0</v>
      </c>
      <c r="D55" t="s">
        <v>229</v>
      </c>
      <c r="E55" t="s">
        <v>123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</row>
    <row r="56" spans="1:31" x14ac:dyDescent="0.3">
      <c r="A56" t="s">
        <v>267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267</v>
      </c>
      <c r="B57" t="s">
        <v>232</v>
      </c>
      <c r="C57" t="s">
        <v>0</v>
      </c>
      <c r="D57" t="s">
        <v>233</v>
      </c>
      <c r="E57" t="s">
        <v>123</v>
      </c>
      <c r="F57">
        <v>51.185296493114798</v>
      </c>
      <c r="G57">
        <v>52.922164689733201</v>
      </c>
      <c r="H57">
        <v>54.111632429993499</v>
      </c>
      <c r="I57">
        <v>56.011498235068203</v>
      </c>
      <c r="J57">
        <v>56.939945758260301</v>
      </c>
      <c r="K57">
        <v>60.051938020465897</v>
      </c>
      <c r="L57">
        <v>63.2026026362661</v>
      </c>
      <c r="M57">
        <v>65.934080114341796</v>
      </c>
      <c r="N57">
        <v>67.618185951440296</v>
      </c>
      <c r="O57">
        <v>70.322393349613606</v>
      </c>
      <c r="P57">
        <v>73.584367258714593</v>
      </c>
      <c r="Q57">
        <v>75.680454153380694</v>
      </c>
      <c r="R57">
        <v>78.053112218305699</v>
      </c>
      <c r="S57">
        <v>83.596389639117206</v>
      </c>
      <c r="T57">
        <v>87.537217009574405</v>
      </c>
      <c r="U57">
        <v>89.583541563045003</v>
      </c>
      <c r="V57">
        <v>92.426821838286003</v>
      </c>
      <c r="W57">
        <v>95.383185808606697</v>
      </c>
      <c r="X57">
        <v>97.742323769925306</v>
      </c>
      <c r="Y57">
        <v>98.813739376770499</v>
      </c>
      <c r="Z57">
        <v>100</v>
      </c>
      <c r="AA57">
        <v>101.982015048633</v>
      </c>
      <c r="AB57">
        <v>102.299309019318</v>
      </c>
      <c r="AC57">
        <v>102.299309019318</v>
      </c>
      <c r="AD57">
        <v>106.343454958549</v>
      </c>
      <c r="AE57">
        <v>107.991080060635</v>
      </c>
    </row>
    <row r="58" spans="1:31" x14ac:dyDescent="0.3">
      <c r="A58" t="s">
        <v>267</v>
      </c>
      <c r="B58" t="s">
        <v>234</v>
      </c>
      <c r="C58" t="s">
        <v>0</v>
      </c>
      <c r="D58" t="s">
        <v>235</v>
      </c>
      <c r="E58" t="s">
        <v>123</v>
      </c>
      <c r="F58">
        <v>51.185296493114798</v>
      </c>
      <c r="G58">
        <v>52.922164689733201</v>
      </c>
      <c r="H58">
        <v>54.111632429993499</v>
      </c>
      <c r="I58">
        <v>56.011498235068203</v>
      </c>
      <c r="J58">
        <v>56.939945758260301</v>
      </c>
      <c r="K58">
        <v>60.051938020465897</v>
      </c>
      <c r="L58">
        <v>63.2026026362661</v>
      </c>
      <c r="M58">
        <v>65.934080114341796</v>
      </c>
      <c r="N58">
        <v>67.618185951440296</v>
      </c>
      <c r="O58">
        <v>70.322393349613606</v>
      </c>
      <c r="P58">
        <v>73.584367258714593</v>
      </c>
      <c r="Q58">
        <v>75.680454153380694</v>
      </c>
      <c r="R58">
        <v>78.053112218305699</v>
      </c>
      <c r="S58">
        <v>83.596389639117206</v>
      </c>
      <c r="T58">
        <v>87.537217009574405</v>
      </c>
      <c r="U58">
        <v>89.583541563045003</v>
      </c>
      <c r="V58">
        <v>92.426821838286003</v>
      </c>
      <c r="W58">
        <v>95.383185808606697</v>
      </c>
      <c r="X58">
        <v>97.742323769925306</v>
      </c>
      <c r="Y58">
        <v>98.813739376770499</v>
      </c>
      <c r="Z58">
        <v>100</v>
      </c>
      <c r="AA58">
        <v>101.982015048633</v>
      </c>
      <c r="AB58">
        <v>102.299309019318</v>
      </c>
      <c r="AC58">
        <v>102.299309019318</v>
      </c>
      <c r="AD58">
        <v>106.343454958549</v>
      </c>
      <c r="AE58">
        <v>107.991080060635</v>
      </c>
    </row>
    <row r="59" spans="1:31" x14ac:dyDescent="0.3">
      <c r="A59" t="s">
        <v>267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268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268</v>
      </c>
      <c r="B3" t="s">
        <v>124</v>
      </c>
      <c r="C3" t="s">
        <v>0</v>
      </c>
      <c r="D3" t="s">
        <v>125</v>
      </c>
      <c r="E3" t="s">
        <v>123</v>
      </c>
      <c r="F3">
        <v>55.459934978007297</v>
      </c>
      <c r="G3">
        <v>58.101148818169797</v>
      </c>
      <c r="H3">
        <v>61.005722917816598</v>
      </c>
      <c r="I3">
        <v>63.658788891541299</v>
      </c>
      <c r="J3">
        <v>65.854461639776105</v>
      </c>
      <c r="K3">
        <v>67.790044547743506</v>
      </c>
      <c r="L3">
        <v>72.211742513558093</v>
      </c>
      <c r="M3">
        <v>73.816133639295899</v>
      </c>
      <c r="N3">
        <v>75.532590596192506</v>
      </c>
      <c r="O3">
        <v>77.755315131184304</v>
      </c>
      <c r="P3">
        <v>79.698312728403707</v>
      </c>
      <c r="Q3">
        <v>81.642174014462299</v>
      </c>
      <c r="R3">
        <v>84.506638784250299</v>
      </c>
      <c r="S3">
        <v>91.434271227297302</v>
      </c>
      <c r="T3">
        <v>94.820433803484605</v>
      </c>
      <c r="U3">
        <v>96.257452769197599</v>
      </c>
      <c r="V3">
        <v>96.256800164393596</v>
      </c>
      <c r="W3">
        <v>98.305258307306303</v>
      </c>
      <c r="X3">
        <v>100</v>
      </c>
      <c r="Y3">
        <v>100</v>
      </c>
      <c r="Z3">
        <v>100</v>
      </c>
      <c r="AA3">
        <v>100</v>
      </c>
      <c r="AB3">
        <v>101.515151515152</v>
      </c>
      <c r="AC3">
        <v>104.22165374047501</v>
      </c>
      <c r="AD3">
        <v>105.755230285846</v>
      </c>
      <c r="AE3">
        <v>105.75445226244</v>
      </c>
    </row>
    <row r="4" spans="1:31" x14ac:dyDescent="0.3">
      <c r="A4" t="s">
        <v>268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268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268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268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268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268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268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268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268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268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268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268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268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268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268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268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268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268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268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268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268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268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268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268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268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268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268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268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268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268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268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268</v>
      </c>
      <c r="B35" t="s">
        <v>188</v>
      </c>
      <c r="C35" t="s">
        <v>0</v>
      </c>
      <c r="D35" t="s">
        <v>189</v>
      </c>
      <c r="E35" t="s">
        <v>123</v>
      </c>
      <c r="F35">
        <v>60.829999270039998</v>
      </c>
      <c r="G35">
        <v>60.514753623005703</v>
      </c>
      <c r="H35">
        <v>60.820372073974703</v>
      </c>
      <c r="I35">
        <v>62.3639647427486</v>
      </c>
      <c r="J35">
        <v>62.683894077011601</v>
      </c>
      <c r="K35">
        <v>65.268667808329795</v>
      </c>
      <c r="L35">
        <v>68.473792020326499</v>
      </c>
      <c r="M35">
        <v>69.836446449072199</v>
      </c>
      <c r="N35">
        <v>70.192941511820607</v>
      </c>
      <c r="O35">
        <v>72.712612398580305</v>
      </c>
      <c r="P35">
        <v>74.751366760785402</v>
      </c>
      <c r="Q35">
        <v>76.341705473700301</v>
      </c>
      <c r="R35">
        <v>77.912449027036899</v>
      </c>
      <c r="S35">
        <v>79.999443482132307</v>
      </c>
      <c r="T35">
        <v>83.876060785474607</v>
      </c>
      <c r="U35">
        <v>86.904123858058597</v>
      </c>
      <c r="V35">
        <v>91.158256811041099</v>
      </c>
      <c r="W35">
        <v>93.714058528689307</v>
      </c>
      <c r="X35">
        <v>96.109223191963906</v>
      </c>
      <c r="Y35">
        <v>98.344429011606607</v>
      </c>
      <c r="Z35">
        <v>100</v>
      </c>
      <c r="AA35">
        <v>102.16216216216201</v>
      </c>
      <c r="AB35">
        <v>104.049016251594</v>
      </c>
      <c r="AC35">
        <v>105.931064150132</v>
      </c>
      <c r="AD35">
        <v>108.103997131713</v>
      </c>
      <c r="AE35">
        <v>109.41608022796299</v>
      </c>
    </row>
    <row r="36" spans="1:31" x14ac:dyDescent="0.3">
      <c r="A36" t="s">
        <v>268</v>
      </c>
      <c r="B36" t="s">
        <v>190</v>
      </c>
      <c r="C36" t="s">
        <v>0</v>
      </c>
      <c r="D36" t="s">
        <v>191</v>
      </c>
      <c r="E36" t="s">
        <v>123</v>
      </c>
      <c r="F36">
        <v>60.829999270039998</v>
      </c>
      <c r="G36">
        <v>60.514753623005703</v>
      </c>
      <c r="H36">
        <v>60.820372073974703</v>
      </c>
      <c r="I36">
        <v>62.3639647427486</v>
      </c>
      <c r="J36">
        <v>62.683894077011601</v>
      </c>
      <c r="K36">
        <v>65.268667808329795</v>
      </c>
      <c r="L36">
        <v>68.473792020326499</v>
      </c>
      <c r="M36">
        <v>69.836446449072199</v>
      </c>
      <c r="N36">
        <v>70.192941511820607</v>
      </c>
      <c r="O36">
        <v>72.712612398580305</v>
      </c>
      <c r="P36">
        <v>74.751366760785402</v>
      </c>
      <c r="Q36">
        <v>76.341705473700301</v>
      </c>
      <c r="R36">
        <v>77.912449027036899</v>
      </c>
      <c r="S36">
        <v>79.999443482132307</v>
      </c>
      <c r="T36">
        <v>83.876060785474607</v>
      </c>
      <c r="U36">
        <v>86.904123858058597</v>
      </c>
      <c r="V36">
        <v>91.158256811041099</v>
      </c>
      <c r="W36">
        <v>93.714058528689307</v>
      </c>
      <c r="X36">
        <v>96.109223191963906</v>
      </c>
      <c r="Y36">
        <v>98.344429011606607</v>
      </c>
      <c r="Z36">
        <v>100</v>
      </c>
      <c r="AA36">
        <v>102.16216216216201</v>
      </c>
      <c r="AB36">
        <v>104.049016251594</v>
      </c>
      <c r="AC36">
        <v>105.931064150132</v>
      </c>
      <c r="AD36">
        <v>108.103997131713</v>
      </c>
      <c r="AE36">
        <v>109.41608022796299</v>
      </c>
    </row>
    <row r="37" spans="1:31" x14ac:dyDescent="0.3">
      <c r="A37" t="s">
        <v>268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268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268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268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268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268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268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268</v>
      </c>
      <c r="B44" t="s">
        <v>206</v>
      </c>
      <c r="C44" t="s">
        <v>0</v>
      </c>
      <c r="D44" t="s">
        <v>207</v>
      </c>
      <c r="E44" t="s">
        <v>123</v>
      </c>
      <c r="F44">
        <v>60.466478727892799</v>
      </c>
      <c r="G44">
        <v>60.466433475442201</v>
      </c>
      <c r="H44">
        <v>60.966163779102601</v>
      </c>
      <c r="I44">
        <v>62.715193067847402</v>
      </c>
      <c r="J44">
        <v>63.220876039035097</v>
      </c>
      <c r="K44">
        <v>65.709890831976793</v>
      </c>
      <c r="L44">
        <v>69.039923279107796</v>
      </c>
      <c r="M44">
        <v>70.304280974346497</v>
      </c>
      <c r="N44">
        <v>70.832947892851905</v>
      </c>
      <c r="O44">
        <v>73.3133788648002</v>
      </c>
      <c r="P44">
        <v>75.371325969409</v>
      </c>
      <c r="Q44">
        <v>77.067928835765301</v>
      </c>
      <c r="R44">
        <v>78.902701958805395</v>
      </c>
      <c r="S44">
        <v>81.8523707691173</v>
      </c>
      <c r="T44">
        <v>85.584274387164399</v>
      </c>
      <c r="U44">
        <v>88.358830760825001</v>
      </c>
      <c r="V44">
        <v>91.749523800025898</v>
      </c>
      <c r="W44">
        <v>94.213901573959802</v>
      </c>
      <c r="X44">
        <v>96.585445780638906</v>
      </c>
      <c r="Y44">
        <v>98.465443094493907</v>
      </c>
      <c r="Z44">
        <v>100</v>
      </c>
      <c r="AA44">
        <v>102.272727272727</v>
      </c>
      <c r="AB44">
        <v>104.44028872813401</v>
      </c>
      <c r="AC44">
        <v>106.702661533879</v>
      </c>
      <c r="AD44">
        <v>108.84831460674199</v>
      </c>
      <c r="AE44">
        <v>110.157493421409</v>
      </c>
    </row>
    <row r="45" spans="1:31" x14ac:dyDescent="0.3">
      <c r="A45" t="s">
        <v>268</v>
      </c>
      <c r="B45" t="s">
        <v>208</v>
      </c>
      <c r="C45" t="s">
        <v>0</v>
      </c>
      <c r="D45" t="s">
        <v>209</v>
      </c>
      <c r="E45" t="s">
        <v>123</v>
      </c>
      <c r="F45">
        <v>60.466478727892799</v>
      </c>
      <c r="G45">
        <v>60.466433475442201</v>
      </c>
      <c r="H45">
        <v>60.966163779102601</v>
      </c>
      <c r="I45">
        <v>62.715193067847402</v>
      </c>
      <c r="J45">
        <v>63.220876039035097</v>
      </c>
      <c r="K45">
        <v>65.709890831976793</v>
      </c>
      <c r="L45">
        <v>69.039923279107796</v>
      </c>
      <c r="M45">
        <v>70.304280974346497</v>
      </c>
      <c r="N45">
        <v>70.832947892851905</v>
      </c>
      <c r="O45">
        <v>73.3133788648002</v>
      </c>
      <c r="P45">
        <v>75.371325969409</v>
      </c>
      <c r="Q45">
        <v>77.067928835765301</v>
      </c>
      <c r="R45">
        <v>78.902701958805395</v>
      </c>
      <c r="S45">
        <v>81.8523707691173</v>
      </c>
      <c r="T45">
        <v>85.584274387164399</v>
      </c>
      <c r="U45">
        <v>88.358830760825001</v>
      </c>
      <c r="V45">
        <v>91.749523800025898</v>
      </c>
      <c r="W45">
        <v>94.213901573959802</v>
      </c>
      <c r="X45">
        <v>96.585445780638906</v>
      </c>
      <c r="Y45">
        <v>98.465443094493907</v>
      </c>
      <c r="Z45">
        <v>100</v>
      </c>
      <c r="AA45">
        <v>102.272727272727</v>
      </c>
      <c r="AB45">
        <v>104.44028872813401</v>
      </c>
      <c r="AC45">
        <v>106.702661533879</v>
      </c>
      <c r="AD45">
        <v>108.84831460674199</v>
      </c>
      <c r="AE45">
        <v>110.157493421409</v>
      </c>
    </row>
    <row r="46" spans="1:31" x14ac:dyDescent="0.3">
      <c r="A46" t="s">
        <v>268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268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268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268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268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268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268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268</v>
      </c>
      <c r="B53" t="s">
        <v>224</v>
      </c>
      <c r="C53" t="s">
        <v>0</v>
      </c>
      <c r="D53" t="s">
        <v>225</v>
      </c>
      <c r="E53" t="s">
        <v>123</v>
      </c>
      <c r="F53">
        <v>62.3089932646945</v>
      </c>
      <c r="G53">
        <v>62.308671741662799</v>
      </c>
      <c r="H53">
        <v>62.3085310763799</v>
      </c>
      <c r="I53">
        <v>64.904719871229005</v>
      </c>
      <c r="J53">
        <v>64.904719871229005</v>
      </c>
      <c r="K53">
        <v>67.307692307692307</v>
      </c>
      <c r="L53">
        <v>69.801066959166405</v>
      </c>
      <c r="M53">
        <v>69.801066959166405</v>
      </c>
      <c r="N53">
        <v>69.801066959166405</v>
      </c>
      <c r="O53">
        <v>72.207379594194506</v>
      </c>
      <c r="P53">
        <v>74.538212480492007</v>
      </c>
      <c r="Q53">
        <v>76.667518527983603</v>
      </c>
      <c r="R53">
        <v>78.797171820427593</v>
      </c>
      <c r="S53">
        <v>80.985838422308305</v>
      </c>
      <c r="T53">
        <v>84.359709802598303</v>
      </c>
      <c r="U53">
        <v>87.268919174435993</v>
      </c>
      <c r="V53">
        <v>91.119096509240293</v>
      </c>
      <c r="W53">
        <v>93.760316936282607</v>
      </c>
      <c r="X53">
        <v>96.558865923116699</v>
      </c>
      <c r="Y53">
        <v>97.999654118867795</v>
      </c>
      <c r="Z53">
        <v>100</v>
      </c>
      <c r="AA53">
        <v>104.347826086957</v>
      </c>
      <c r="AB53">
        <v>108.5776330076</v>
      </c>
      <c r="AC53">
        <v>112.118207996979</v>
      </c>
      <c r="AD53">
        <v>114.63844797178101</v>
      </c>
      <c r="AE53">
        <v>117.052214941655</v>
      </c>
    </row>
    <row r="54" spans="1:31" x14ac:dyDescent="0.3">
      <c r="A54" t="s">
        <v>268</v>
      </c>
      <c r="B54" t="s">
        <v>226</v>
      </c>
      <c r="C54" t="s">
        <v>0</v>
      </c>
      <c r="D54" t="s">
        <v>227</v>
      </c>
      <c r="E54" t="s">
        <v>123</v>
      </c>
      <c r="F54">
        <v>62.3089932646945</v>
      </c>
      <c r="G54">
        <v>62.308671741662799</v>
      </c>
      <c r="H54">
        <v>62.3085310763799</v>
      </c>
      <c r="I54">
        <v>64.904719871229005</v>
      </c>
      <c r="J54">
        <v>64.904719871229005</v>
      </c>
      <c r="K54">
        <v>67.307692307692307</v>
      </c>
      <c r="L54">
        <v>69.801066959166405</v>
      </c>
      <c r="M54">
        <v>69.801066959166405</v>
      </c>
      <c r="N54">
        <v>69.801066959166405</v>
      </c>
      <c r="O54">
        <v>72.207379594194506</v>
      </c>
      <c r="P54">
        <v>74.538212480492007</v>
      </c>
      <c r="Q54">
        <v>76.667518527983603</v>
      </c>
      <c r="R54">
        <v>78.797171820427593</v>
      </c>
      <c r="S54">
        <v>80.985838422308305</v>
      </c>
      <c r="T54">
        <v>84.359709802598303</v>
      </c>
      <c r="U54">
        <v>87.268919174435993</v>
      </c>
      <c r="V54">
        <v>91.119096509240293</v>
      </c>
      <c r="W54">
        <v>93.760316936282607</v>
      </c>
      <c r="X54">
        <v>96.558865923116699</v>
      </c>
      <c r="Y54">
        <v>97.999654118867795</v>
      </c>
      <c r="Z54">
        <v>100</v>
      </c>
      <c r="AA54">
        <v>104.347826086957</v>
      </c>
      <c r="AB54">
        <v>108.5776330076</v>
      </c>
      <c r="AC54">
        <v>112.118207996979</v>
      </c>
      <c r="AD54">
        <v>114.63844797178101</v>
      </c>
      <c r="AE54">
        <v>117.052214941655</v>
      </c>
    </row>
    <row r="55" spans="1:31" x14ac:dyDescent="0.3">
      <c r="A55" t="s">
        <v>268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268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268</v>
      </c>
      <c r="B57" t="s">
        <v>232</v>
      </c>
      <c r="C57" t="s">
        <v>0</v>
      </c>
      <c r="D57" t="s">
        <v>233</v>
      </c>
      <c r="E57" t="s">
        <v>123</v>
      </c>
      <c r="F57">
        <v>60.056212615007603</v>
      </c>
      <c r="G57">
        <v>60.056255226414599</v>
      </c>
      <c r="H57">
        <v>60.552667171272198</v>
      </c>
      <c r="I57">
        <v>62.289833852415299</v>
      </c>
      <c r="J57">
        <v>62.7921404333662</v>
      </c>
      <c r="K57">
        <v>65.264308087088295</v>
      </c>
      <c r="L57">
        <v>68.571529365592099</v>
      </c>
      <c r="M57">
        <v>69.827490932473296</v>
      </c>
      <c r="N57">
        <v>70.352471130548494</v>
      </c>
      <c r="O57">
        <v>72.816065523509195</v>
      </c>
      <c r="P57">
        <v>74.860052580883305</v>
      </c>
      <c r="Q57">
        <v>76.544981008179207</v>
      </c>
      <c r="R57">
        <v>78.367584979849994</v>
      </c>
      <c r="S57">
        <v>81.297240288275603</v>
      </c>
      <c r="T57">
        <v>85.003755979915397</v>
      </c>
      <c r="U57">
        <v>87.971442138108799</v>
      </c>
      <c r="V57">
        <v>91.347414073856399</v>
      </c>
      <c r="W57">
        <v>93.989574329144702</v>
      </c>
      <c r="X57">
        <v>96.355482906580306</v>
      </c>
      <c r="Y57">
        <v>98.465578074997893</v>
      </c>
      <c r="Z57">
        <v>100</v>
      </c>
      <c r="AA57">
        <v>102.272727272727</v>
      </c>
      <c r="AB57">
        <v>104.44028872813401</v>
      </c>
      <c r="AC57">
        <v>106.702661533879</v>
      </c>
      <c r="AD57">
        <v>108.84831460674199</v>
      </c>
      <c r="AE57">
        <v>110.157493421409</v>
      </c>
    </row>
    <row r="58" spans="1:31" x14ac:dyDescent="0.3">
      <c r="A58" t="s">
        <v>268</v>
      </c>
      <c r="B58" t="s">
        <v>234</v>
      </c>
      <c r="C58" t="s">
        <v>0</v>
      </c>
      <c r="D58" t="s">
        <v>235</v>
      </c>
      <c r="E58" t="s">
        <v>123</v>
      </c>
      <c r="F58">
        <v>60.056212615007603</v>
      </c>
      <c r="G58">
        <v>60.056255226414599</v>
      </c>
      <c r="H58">
        <v>60.552667171272198</v>
      </c>
      <c r="I58">
        <v>62.289833852415299</v>
      </c>
      <c r="J58">
        <v>62.7921404333662</v>
      </c>
      <c r="K58">
        <v>65.264308087088295</v>
      </c>
      <c r="L58">
        <v>68.571529365592099</v>
      </c>
      <c r="M58">
        <v>69.827490932473296</v>
      </c>
      <c r="N58">
        <v>70.352471130548494</v>
      </c>
      <c r="O58">
        <v>72.816065523509195</v>
      </c>
      <c r="P58">
        <v>74.860052580883305</v>
      </c>
      <c r="Q58">
        <v>76.544981008179207</v>
      </c>
      <c r="R58">
        <v>78.367584979849994</v>
      </c>
      <c r="S58">
        <v>81.297240288275603</v>
      </c>
      <c r="T58">
        <v>85.003755979915397</v>
      </c>
      <c r="U58">
        <v>87.971442138108799</v>
      </c>
      <c r="V58">
        <v>91.347414073856399</v>
      </c>
      <c r="W58">
        <v>93.989574329144702</v>
      </c>
      <c r="X58">
        <v>96.355482906580306</v>
      </c>
      <c r="Y58">
        <v>98.465578074997893</v>
      </c>
      <c r="Z58">
        <v>100</v>
      </c>
      <c r="AA58">
        <v>102.272727272727</v>
      </c>
      <c r="AB58">
        <v>104.44028872813401</v>
      </c>
      <c r="AC58">
        <v>106.702661533879</v>
      </c>
      <c r="AD58">
        <v>108.84831460674199</v>
      </c>
      <c r="AE58">
        <v>110.157493421409</v>
      </c>
    </row>
    <row r="59" spans="1:31" x14ac:dyDescent="0.3">
      <c r="A59" t="s">
        <v>268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269</v>
      </c>
      <c r="B2" t="s">
        <v>121</v>
      </c>
      <c r="C2" t="s">
        <v>0</v>
      </c>
      <c r="D2" t="s">
        <v>122</v>
      </c>
      <c r="E2" t="s">
        <v>123</v>
      </c>
      <c r="F2">
        <v>82.4856970202094</v>
      </c>
      <c r="G2">
        <v>79.500175411411803</v>
      </c>
      <c r="H2">
        <v>80.240024759572094</v>
      </c>
      <c r="I2">
        <v>78.381182487149601</v>
      </c>
      <c r="J2">
        <v>77.392695764388804</v>
      </c>
      <c r="K2">
        <v>78.8347956854644</v>
      </c>
      <c r="L2">
        <v>80.039694309477994</v>
      </c>
      <c r="M2">
        <v>81.318106093587701</v>
      </c>
      <c r="N2">
        <v>81.772080168080905</v>
      </c>
      <c r="O2">
        <v>82.010830767111798</v>
      </c>
      <c r="P2">
        <v>84.094380454914202</v>
      </c>
      <c r="Q2">
        <v>86.581353191888894</v>
      </c>
      <c r="R2">
        <v>90.694231114524399</v>
      </c>
      <c r="S2">
        <v>92.287285446639004</v>
      </c>
      <c r="T2">
        <v>94.117020969744601</v>
      </c>
      <c r="U2">
        <v>93.025457582208901</v>
      </c>
      <c r="V2">
        <v>94.898846281158299</v>
      </c>
      <c r="W2">
        <v>98.530179684774097</v>
      </c>
      <c r="X2">
        <v>99.869537919259798</v>
      </c>
      <c r="Y2">
        <v>99.335793357933596</v>
      </c>
      <c r="Z2">
        <v>100</v>
      </c>
      <c r="AA2">
        <v>100.658857979502</v>
      </c>
      <c r="AB2">
        <v>101.55025113599601</v>
      </c>
      <c r="AC2">
        <v>105.479080524209</v>
      </c>
      <c r="AD2">
        <v>107.91419902962799</v>
      </c>
      <c r="AE2">
        <v>109.23911246154501</v>
      </c>
    </row>
    <row r="3" spans="1:31" x14ac:dyDescent="0.3">
      <c r="A3" t="s">
        <v>269</v>
      </c>
      <c r="B3" t="s">
        <v>124</v>
      </c>
      <c r="C3" t="s">
        <v>0</v>
      </c>
      <c r="D3" t="s">
        <v>125</v>
      </c>
      <c r="E3" t="s">
        <v>123</v>
      </c>
      <c r="F3">
        <v>75.729080207744104</v>
      </c>
      <c r="G3">
        <v>76.630616876883906</v>
      </c>
      <c r="H3">
        <v>77.866594568446601</v>
      </c>
      <c r="I3">
        <v>78.722271431836106</v>
      </c>
      <c r="J3">
        <v>79.400911702800201</v>
      </c>
      <c r="K3">
        <v>81.261870570834503</v>
      </c>
      <c r="L3">
        <v>82.920276092688297</v>
      </c>
      <c r="M3">
        <v>83.558124370324407</v>
      </c>
      <c r="N3">
        <v>84.014726142839805</v>
      </c>
      <c r="O3">
        <v>84.714848860696804</v>
      </c>
      <c r="P3">
        <v>85.899671921685595</v>
      </c>
      <c r="Q3">
        <v>86.898505316123803</v>
      </c>
      <c r="R3">
        <v>90.151390541861005</v>
      </c>
      <c r="S3">
        <v>93.955246682867795</v>
      </c>
      <c r="T3">
        <v>94.460382417722002</v>
      </c>
      <c r="U3">
        <v>93.893052793591494</v>
      </c>
      <c r="V3">
        <v>96.384092969747996</v>
      </c>
      <c r="W3">
        <v>99.107991249327796</v>
      </c>
      <c r="X3">
        <v>100.25706940873999</v>
      </c>
      <c r="Y3">
        <v>100.25706940873999</v>
      </c>
      <c r="Z3">
        <v>100</v>
      </c>
      <c r="AA3">
        <v>100</v>
      </c>
      <c r="AB3">
        <v>101.440922190202</v>
      </c>
      <c r="AC3">
        <v>104.652771969311</v>
      </c>
      <c r="AD3">
        <v>107.336176378781</v>
      </c>
      <c r="AE3">
        <v>107.768983541598</v>
      </c>
    </row>
    <row r="4" spans="1:31" x14ac:dyDescent="0.3">
      <c r="A4" t="s">
        <v>269</v>
      </c>
      <c r="B4" t="s">
        <v>126</v>
      </c>
      <c r="C4" t="s">
        <v>0</v>
      </c>
      <c r="D4" t="s">
        <v>127</v>
      </c>
      <c r="E4" t="s">
        <v>123</v>
      </c>
      <c r="F4">
        <v>69.789831074668598</v>
      </c>
      <c r="G4">
        <v>70.626639600743701</v>
      </c>
      <c r="H4">
        <v>71.572770055772594</v>
      </c>
      <c r="I4">
        <v>72.344314149349998</v>
      </c>
      <c r="J4">
        <v>72.694036621483903</v>
      </c>
      <c r="K4">
        <v>74.551557858245502</v>
      </c>
      <c r="L4">
        <v>76.303662915111801</v>
      </c>
      <c r="M4">
        <v>77.471517128542104</v>
      </c>
      <c r="N4">
        <v>78.123307014346807</v>
      </c>
      <c r="O4">
        <v>79.921512031754602</v>
      </c>
      <c r="P4">
        <v>82.126952669748306</v>
      </c>
      <c r="Q4">
        <v>83.596487406417296</v>
      </c>
      <c r="R4">
        <v>85.337462650001399</v>
      </c>
      <c r="S4">
        <v>89.260450463950505</v>
      </c>
      <c r="T4">
        <v>91.366033877735802</v>
      </c>
      <c r="U4">
        <v>92.077646937145204</v>
      </c>
      <c r="V4">
        <v>94.289919091307496</v>
      </c>
      <c r="W4">
        <v>96.647873042827101</v>
      </c>
      <c r="X4">
        <v>98.312070406133003</v>
      </c>
      <c r="Y4">
        <v>99.022303696914193</v>
      </c>
      <c r="Z4">
        <v>100</v>
      </c>
      <c r="AA4">
        <v>101.014229488344</v>
      </c>
      <c r="AB4">
        <v>101.643516400108</v>
      </c>
      <c r="AC4">
        <v>102.41343298853199</v>
      </c>
      <c r="AD4">
        <v>104.851848059688</v>
      </c>
      <c r="AE4">
        <v>105.94928067993</v>
      </c>
    </row>
    <row r="5" spans="1:31" x14ac:dyDescent="0.3">
      <c r="A5" t="s">
        <v>269</v>
      </c>
      <c r="B5" t="s">
        <v>128</v>
      </c>
      <c r="C5" t="s">
        <v>0</v>
      </c>
      <c r="D5" t="s">
        <v>129</v>
      </c>
      <c r="E5" t="s">
        <v>123</v>
      </c>
      <c r="F5">
        <v>88.951920524575797</v>
      </c>
      <c r="G5">
        <v>88.951920524575797</v>
      </c>
      <c r="H5">
        <v>89.705750359529802</v>
      </c>
      <c r="I5">
        <v>89.019226759839498</v>
      </c>
      <c r="J5">
        <v>88.548225560052003</v>
      </c>
      <c r="K5">
        <v>88.321178827846694</v>
      </c>
      <c r="L5">
        <v>89.522827519382105</v>
      </c>
      <c r="M5">
        <v>89.154420821771495</v>
      </c>
      <c r="N5">
        <v>89.154420821771396</v>
      </c>
      <c r="O5">
        <v>89.154420821771396</v>
      </c>
      <c r="P5">
        <v>90.547458647111597</v>
      </c>
      <c r="Q5">
        <v>90.972564086769395</v>
      </c>
      <c r="R5">
        <v>93.053017735323394</v>
      </c>
      <c r="S5">
        <v>94.967688882140706</v>
      </c>
      <c r="T5">
        <v>94.743178979346098</v>
      </c>
      <c r="U5">
        <v>93.466316728950602</v>
      </c>
      <c r="V5">
        <v>95.590551200063103</v>
      </c>
      <c r="W5">
        <v>97.937640626850396</v>
      </c>
      <c r="X5">
        <v>98.566790352504597</v>
      </c>
      <c r="Y5">
        <v>98.75</v>
      </c>
      <c r="Z5">
        <v>100</v>
      </c>
      <c r="AA5">
        <v>100.704225352113</v>
      </c>
      <c r="AB5">
        <v>101.821387915448</v>
      </c>
      <c r="AC5">
        <v>103.529084148831</v>
      </c>
      <c r="AD5">
        <v>105.35741234571999</v>
      </c>
      <c r="AE5">
        <v>105.579217424343</v>
      </c>
    </row>
    <row r="6" spans="1:31" x14ac:dyDescent="0.3">
      <c r="A6" t="s">
        <v>269</v>
      </c>
      <c r="B6" t="s">
        <v>130</v>
      </c>
      <c r="C6" t="s">
        <v>0</v>
      </c>
      <c r="D6" t="s">
        <v>131</v>
      </c>
      <c r="E6" t="s">
        <v>123</v>
      </c>
      <c r="F6">
        <v>94.464654182563095</v>
      </c>
      <c r="G6">
        <v>94.464654182563095</v>
      </c>
      <c r="H6">
        <v>95.917956554602497</v>
      </c>
      <c r="I6">
        <v>94.486345262742802</v>
      </c>
      <c r="J6">
        <v>94.486345262742702</v>
      </c>
      <c r="K6">
        <v>96.204278812974394</v>
      </c>
      <c r="L6">
        <v>97.619047619047606</v>
      </c>
      <c r="M6">
        <v>97.619047619047606</v>
      </c>
      <c r="N6">
        <v>97.619047619047606</v>
      </c>
      <c r="O6">
        <v>97.619047619047606</v>
      </c>
      <c r="P6">
        <v>97.619047619047606</v>
      </c>
      <c r="Q6">
        <v>97.619047619047606</v>
      </c>
      <c r="R6">
        <v>97.619047619047606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</row>
    <row r="7" spans="1:31" x14ac:dyDescent="0.3">
      <c r="A7" t="s">
        <v>269</v>
      </c>
      <c r="B7" t="s">
        <v>132</v>
      </c>
      <c r="C7" t="s">
        <v>0</v>
      </c>
      <c r="D7" t="s">
        <v>133</v>
      </c>
      <c r="E7" t="s">
        <v>123</v>
      </c>
      <c r="F7">
        <v>83.455453840530893</v>
      </c>
      <c r="G7">
        <v>84.242305497247798</v>
      </c>
      <c r="H7">
        <v>85.40160327932</v>
      </c>
      <c r="I7">
        <v>85.514943164229507</v>
      </c>
      <c r="J7">
        <v>85.444152648365005</v>
      </c>
      <c r="K7">
        <v>86.754434246685406</v>
      </c>
      <c r="L7">
        <v>87.444421793716302</v>
      </c>
      <c r="M7">
        <v>87.444421793716302</v>
      </c>
      <c r="N7">
        <v>87.102039562730695</v>
      </c>
      <c r="O7">
        <v>88.031353272905406</v>
      </c>
      <c r="P7">
        <v>89.5234101080394</v>
      </c>
      <c r="Q7">
        <v>90.303910632085106</v>
      </c>
      <c r="R7">
        <v>91.893768213635894</v>
      </c>
      <c r="S7">
        <v>94.041535751183304</v>
      </c>
      <c r="T7">
        <v>94.536491202505303</v>
      </c>
      <c r="U7">
        <v>94.062227868713407</v>
      </c>
      <c r="V7">
        <v>95.358644485587007</v>
      </c>
      <c r="W7">
        <v>97.407899023242905</v>
      </c>
      <c r="X7">
        <v>98.751456251149705</v>
      </c>
      <c r="Y7">
        <v>99.279538904899098</v>
      </c>
      <c r="Z7">
        <v>100</v>
      </c>
      <c r="AA7">
        <v>100.490196078431</v>
      </c>
      <c r="AB7">
        <v>101.34543178973701</v>
      </c>
      <c r="AC7">
        <v>102.867788061257</v>
      </c>
      <c r="AD7">
        <v>104.722244473814</v>
      </c>
      <c r="AE7">
        <v>105.808074197621</v>
      </c>
    </row>
    <row r="8" spans="1:31" x14ac:dyDescent="0.3">
      <c r="A8" t="s">
        <v>269</v>
      </c>
      <c r="B8" t="s">
        <v>134</v>
      </c>
      <c r="C8" t="s">
        <v>0</v>
      </c>
      <c r="D8" t="s">
        <v>135</v>
      </c>
      <c r="E8" t="s">
        <v>123</v>
      </c>
      <c r="F8">
        <v>76.316496897466806</v>
      </c>
      <c r="G8">
        <v>78.273330151248004</v>
      </c>
      <c r="H8">
        <v>79.570678164804605</v>
      </c>
      <c r="I8">
        <v>80.517948142957096</v>
      </c>
      <c r="J8">
        <v>81.177931324456694</v>
      </c>
      <c r="K8">
        <v>83.945360801426801</v>
      </c>
      <c r="L8">
        <v>85.021583375804099</v>
      </c>
      <c r="M8">
        <v>86.371132318277205</v>
      </c>
      <c r="N8">
        <v>86.371132318277205</v>
      </c>
      <c r="O8">
        <v>88.1338084880379</v>
      </c>
      <c r="P8">
        <v>89.925146058932995</v>
      </c>
      <c r="Q8">
        <v>91.267312418021604</v>
      </c>
      <c r="R8">
        <v>92.906844976429099</v>
      </c>
      <c r="S8">
        <v>95.623419390944605</v>
      </c>
      <c r="T8">
        <v>94.799079568608903</v>
      </c>
      <c r="U8">
        <v>93.001940619441001</v>
      </c>
      <c r="V8">
        <v>95.407163221667901</v>
      </c>
      <c r="W8">
        <v>97.563257305773305</v>
      </c>
      <c r="X8">
        <v>99.180327868852501</v>
      </c>
      <c r="Y8">
        <v>99.180327868852501</v>
      </c>
      <c r="Z8">
        <v>100</v>
      </c>
      <c r="AA8">
        <v>101.020408163265</v>
      </c>
      <c r="AB8">
        <v>101.836734693878</v>
      </c>
      <c r="AC8">
        <v>104.10818602533899</v>
      </c>
      <c r="AD8">
        <v>107.46651460680199</v>
      </c>
      <c r="AE8">
        <v>108.853179311406</v>
      </c>
    </row>
    <row r="9" spans="1:31" x14ac:dyDescent="0.3">
      <c r="A9" t="s">
        <v>269</v>
      </c>
      <c r="B9" t="s">
        <v>136</v>
      </c>
      <c r="C9" t="s">
        <v>0</v>
      </c>
      <c r="D9" t="s">
        <v>137</v>
      </c>
      <c r="E9" t="s">
        <v>123</v>
      </c>
      <c r="F9">
        <v>78.023148269608001</v>
      </c>
      <c r="G9">
        <v>79.553013921953195</v>
      </c>
      <c r="H9">
        <v>80.406129352751606</v>
      </c>
      <c r="I9">
        <v>81.089467562548407</v>
      </c>
      <c r="J9">
        <v>81.3134716165886</v>
      </c>
      <c r="K9">
        <v>83.368324689931995</v>
      </c>
      <c r="L9">
        <v>85.420468066914907</v>
      </c>
      <c r="M9">
        <v>85.993759798907604</v>
      </c>
      <c r="N9">
        <v>86.263332713637695</v>
      </c>
      <c r="O9">
        <v>87.448268602561299</v>
      </c>
      <c r="P9">
        <v>89.573747353317998</v>
      </c>
      <c r="Q9">
        <v>90.849726660345397</v>
      </c>
      <c r="R9">
        <v>91.0374327071642</v>
      </c>
      <c r="S9">
        <v>93.914462183237205</v>
      </c>
      <c r="T9">
        <v>94.667283523383304</v>
      </c>
      <c r="U9">
        <v>94.000612512655294</v>
      </c>
      <c r="V9">
        <v>95.763123997267598</v>
      </c>
      <c r="W9">
        <v>98.009766202482098</v>
      </c>
      <c r="X9">
        <v>99.403269987351507</v>
      </c>
      <c r="Y9">
        <v>99.071925754060302</v>
      </c>
      <c r="Z9">
        <v>100</v>
      </c>
      <c r="AA9">
        <v>100.421052631579</v>
      </c>
      <c r="AB9">
        <v>101.002361185163</v>
      </c>
      <c r="AC9">
        <v>101.75191488598</v>
      </c>
      <c r="AD9">
        <v>103.24826657548</v>
      </c>
      <c r="AE9">
        <v>103.70511731254</v>
      </c>
    </row>
    <row r="10" spans="1:31" x14ac:dyDescent="0.3">
      <c r="A10" t="s">
        <v>269</v>
      </c>
      <c r="B10" t="s">
        <v>138</v>
      </c>
      <c r="C10" t="s">
        <v>0</v>
      </c>
      <c r="D10" t="s">
        <v>139</v>
      </c>
      <c r="E10" t="s">
        <v>123</v>
      </c>
      <c r="F10">
        <v>70.530069316880599</v>
      </c>
      <c r="G10">
        <v>72.119479329655306</v>
      </c>
      <c r="H10">
        <v>73.026642591663602</v>
      </c>
      <c r="I10">
        <v>73.939475624059398</v>
      </c>
      <c r="J10">
        <v>74.398727025450995</v>
      </c>
      <c r="K10">
        <v>76.6637936562025</v>
      </c>
      <c r="L10">
        <v>79.084755561135196</v>
      </c>
      <c r="M10">
        <v>80.258119886968004</v>
      </c>
      <c r="N10">
        <v>81.078755059636407</v>
      </c>
      <c r="O10">
        <v>82.6592376144052</v>
      </c>
      <c r="P10">
        <v>84.987666842980005</v>
      </c>
      <c r="Q10">
        <v>86.499305186036906</v>
      </c>
      <c r="R10">
        <v>87.133464314966801</v>
      </c>
      <c r="S10">
        <v>90.667738998569206</v>
      </c>
      <c r="T10">
        <v>92.202312860322095</v>
      </c>
      <c r="U10">
        <v>92.393207918003995</v>
      </c>
      <c r="V10">
        <v>94.382102804692906</v>
      </c>
      <c r="W10">
        <v>97.149004841312504</v>
      </c>
      <c r="X10">
        <v>98.693094984485697</v>
      </c>
      <c r="Y10">
        <v>99.020979020978999</v>
      </c>
      <c r="Z10">
        <v>100</v>
      </c>
      <c r="AA10">
        <v>100.915032679739</v>
      </c>
      <c r="AB10">
        <v>101.417597583522</v>
      </c>
      <c r="AC10">
        <v>102.026346668657</v>
      </c>
      <c r="AD10">
        <v>104.169757312957</v>
      </c>
      <c r="AE10">
        <v>105.163201864988</v>
      </c>
    </row>
    <row r="11" spans="1:31" x14ac:dyDescent="0.3">
      <c r="A11" t="s">
        <v>269</v>
      </c>
      <c r="B11" t="s">
        <v>140</v>
      </c>
      <c r="C11" t="s">
        <v>0</v>
      </c>
      <c r="D11" t="s">
        <v>141</v>
      </c>
      <c r="E11" t="s">
        <v>123</v>
      </c>
      <c r="F11">
        <v>57.565109890520802</v>
      </c>
      <c r="G11">
        <v>59.292063187236401</v>
      </c>
      <c r="H11">
        <v>60.432295171606299</v>
      </c>
      <c r="I11">
        <v>61.859829703218999</v>
      </c>
      <c r="J11">
        <v>62.882306227239198</v>
      </c>
      <c r="K11">
        <v>65.397598476328795</v>
      </c>
      <c r="L11">
        <v>68.449486405224107</v>
      </c>
      <c r="M11">
        <v>70.560263519041598</v>
      </c>
      <c r="N11">
        <v>72.220505013607294</v>
      </c>
      <c r="O11">
        <v>74.644011893258593</v>
      </c>
      <c r="P11">
        <v>77.348505077796901</v>
      </c>
      <c r="Q11">
        <v>79.344595531417497</v>
      </c>
      <c r="R11">
        <v>80.947516653264302</v>
      </c>
      <c r="S11">
        <v>85.853426753462102</v>
      </c>
      <c r="T11">
        <v>89.124033486927303</v>
      </c>
      <c r="U11">
        <v>90.4676118812026</v>
      </c>
      <c r="V11">
        <v>92.835873972333602</v>
      </c>
      <c r="W11">
        <v>96.236455436521595</v>
      </c>
      <c r="X11">
        <v>97.970445624567105</v>
      </c>
      <c r="Y11">
        <v>98.943661971831006</v>
      </c>
      <c r="Z11">
        <v>100</v>
      </c>
      <c r="AA11">
        <v>101.72413793103399</v>
      </c>
      <c r="AB11">
        <v>102.049135176821</v>
      </c>
      <c r="AC11">
        <v>102.39624107878301</v>
      </c>
      <c r="AD11">
        <v>105.838131535212</v>
      </c>
      <c r="AE11">
        <v>107.714694151085</v>
      </c>
    </row>
    <row r="12" spans="1:31" x14ac:dyDescent="0.3">
      <c r="A12" t="s">
        <v>269</v>
      </c>
      <c r="B12" t="s">
        <v>142</v>
      </c>
      <c r="C12" t="s">
        <v>0</v>
      </c>
      <c r="D12" t="s">
        <v>143</v>
      </c>
      <c r="E12" t="s">
        <v>123</v>
      </c>
      <c r="F12">
        <v>87.861691814750102</v>
      </c>
      <c r="G12">
        <v>87.861691814750102</v>
      </c>
      <c r="H12">
        <v>88.576014512431001</v>
      </c>
      <c r="I12">
        <v>88.834253621796705</v>
      </c>
      <c r="J12">
        <v>89.085908731206899</v>
      </c>
      <c r="K12">
        <v>89.630776674516994</v>
      </c>
      <c r="L12">
        <v>90.802420814053207</v>
      </c>
      <c r="M12">
        <v>91.110225630372</v>
      </c>
      <c r="N12">
        <v>91.110225630372</v>
      </c>
      <c r="O12">
        <v>91.707669732866293</v>
      </c>
      <c r="P12">
        <v>93.101403315432606</v>
      </c>
      <c r="Q12">
        <v>93.866620328984098</v>
      </c>
      <c r="R12">
        <v>94.159039706955994</v>
      </c>
      <c r="S12">
        <v>96.651484875669595</v>
      </c>
      <c r="T12">
        <v>96.967339401407102</v>
      </c>
      <c r="U12">
        <v>96.159278239728707</v>
      </c>
      <c r="V12">
        <v>97.490202506022499</v>
      </c>
      <c r="W12">
        <v>99.007559743470296</v>
      </c>
      <c r="X12">
        <v>99.410029498525105</v>
      </c>
      <c r="Y12">
        <v>99.410029498525105</v>
      </c>
      <c r="Z12">
        <v>100</v>
      </c>
      <c r="AA12">
        <v>100.280898876405</v>
      </c>
      <c r="AB12">
        <v>100.280898876405</v>
      </c>
      <c r="AC12">
        <v>100.982163903512</v>
      </c>
      <c r="AD12">
        <v>103.298268580198</v>
      </c>
      <c r="AE12">
        <v>103.727783210469</v>
      </c>
    </row>
    <row r="13" spans="1:31" x14ac:dyDescent="0.3">
      <c r="A13" t="s">
        <v>269</v>
      </c>
      <c r="B13" t="s">
        <v>144</v>
      </c>
      <c r="C13" t="s">
        <v>0</v>
      </c>
      <c r="D13" t="s">
        <v>145</v>
      </c>
      <c r="E13" t="s">
        <v>123</v>
      </c>
      <c r="F13">
        <v>87.212193385700402</v>
      </c>
      <c r="G13">
        <v>87.522557063229598</v>
      </c>
      <c r="H13">
        <v>88.280328120054094</v>
      </c>
      <c r="I13">
        <v>88.696091046836102</v>
      </c>
      <c r="J13">
        <v>88.696091046836102</v>
      </c>
      <c r="K13">
        <v>89.301525115415203</v>
      </c>
      <c r="L13">
        <v>90.370090373206494</v>
      </c>
      <c r="M13">
        <v>89.957441558716994</v>
      </c>
      <c r="N13">
        <v>89.5221636156909</v>
      </c>
      <c r="O13">
        <v>90.284517807065399</v>
      </c>
      <c r="P13">
        <v>91.134654509580102</v>
      </c>
      <c r="Q13">
        <v>92.198483161442894</v>
      </c>
      <c r="R13">
        <v>93.591209493186795</v>
      </c>
      <c r="S13">
        <v>96.652054080385398</v>
      </c>
      <c r="T13">
        <v>96.531840082772902</v>
      </c>
      <c r="U13">
        <v>95.150621385245202</v>
      </c>
      <c r="V13">
        <v>96.423539397087893</v>
      </c>
      <c r="W13">
        <v>98.360619429618694</v>
      </c>
      <c r="X13">
        <v>99.295162132037902</v>
      </c>
      <c r="Y13">
        <v>99.480069324090096</v>
      </c>
      <c r="Z13">
        <v>100</v>
      </c>
      <c r="AA13">
        <v>100.389105058366</v>
      </c>
      <c r="AB13">
        <v>100.89612074047901</v>
      </c>
      <c r="AC13">
        <v>101.62199211271199</v>
      </c>
      <c r="AD13">
        <v>103.21814905689099</v>
      </c>
      <c r="AE13">
        <v>103.540202564089</v>
      </c>
    </row>
    <row r="14" spans="1:31" x14ac:dyDescent="0.3">
      <c r="A14" t="s">
        <v>269</v>
      </c>
      <c r="B14" t="s">
        <v>146</v>
      </c>
      <c r="C14" t="s">
        <v>0</v>
      </c>
      <c r="D14" t="s">
        <v>147</v>
      </c>
      <c r="E14" t="s">
        <v>123</v>
      </c>
      <c r="F14">
        <v>55.9161771214211</v>
      </c>
      <c r="G14">
        <v>57.4150956223449</v>
      </c>
      <c r="H14">
        <v>58.616933970291299</v>
      </c>
      <c r="I14">
        <v>60.264634152168803</v>
      </c>
      <c r="J14">
        <v>60.968231403691497</v>
      </c>
      <c r="K14">
        <v>63.699351124015003</v>
      </c>
      <c r="L14">
        <v>66.340879291576798</v>
      </c>
      <c r="M14">
        <v>68.663605520970094</v>
      </c>
      <c r="N14">
        <v>70.061991502070498</v>
      </c>
      <c r="O14">
        <v>72.763814992887603</v>
      </c>
      <c r="P14">
        <v>75.686566904931595</v>
      </c>
      <c r="Q14">
        <v>77.700846795947797</v>
      </c>
      <c r="R14">
        <v>79.879611981618297</v>
      </c>
      <c r="S14">
        <v>85.028014003147902</v>
      </c>
      <c r="T14">
        <v>88.613063172849806</v>
      </c>
      <c r="U14">
        <v>90.346515795501205</v>
      </c>
      <c r="V14">
        <v>93.011351180525494</v>
      </c>
      <c r="W14">
        <v>95.433521784185004</v>
      </c>
      <c r="X14">
        <v>97.701340682063304</v>
      </c>
      <c r="Y14">
        <v>98.874507597073702</v>
      </c>
      <c r="Z14">
        <v>100</v>
      </c>
      <c r="AA14">
        <v>101.804302567661</v>
      </c>
      <c r="AB14">
        <v>102.28418816899</v>
      </c>
      <c r="AC14">
        <v>102.50686782392999</v>
      </c>
      <c r="AD14">
        <v>105.84396330864401</v>
      </c>
      <c r="AE14">
        <v>107.503669076848</v>
      </c>
    </row>
    <row r="15" spans="1:31" x14ac:dyDescent="0.3">
      <c r="A15" t="s">
        <v>269</v>
      </c>
      <c r="B15" t="s">
        <v>148</v>
      </c>
      <c r="C15" t="s">
        <v>0</v>
      </c>
      <c r="D15" t="s">
        <v>149</v>
      </c>
      <c r="E15" t="s">
        <v>123</v>
      </c>
      <c r="F15">
        <v>56.947134652142601</v>
      </c>
      <c r="G15">
        <v>58.342897756361801</v>
      </c>
      <c r="H15">
        <v>59.4419040204046</v>
      </c>
      <c r="I15">
        <v>60.952826565250597</v>
      </c>
      <c r="J15">
        <v>61.636729247609701</v>
      </c>
      <c r="K15">
        <v>64.285872338481198</v>
      </c>
      <c r="L15">
        <v>66.840790588786106</v>
      </c>
      <c r="M15">
        <v>69.108603126619897</v>
      </c>
      <c r="N15">
        <v>70.465760908467303</v>
      </c>
      <c r="O15">
        <v>73.1069810839615</v>
      </c>
      <c r="P15">
        <v>75.980494916282296</v>
      </c>
      <c r="Q15">
        <v>77.973737131450207</v>
      </c>
      <c r="R15">
        <v>80.133154294633002</v>
      </c>
      <c r="S15">
        <v>85.1998787434256</v>
      </c>
      <c r="T15">
        <v>88.6759770435321</v>
      </c>
      <c r="U15">
        <v>90.357038219712805</v>
      </c>
      <c r="V15">
        <v>93.018397938508997</v>
      </c>
      <c r="W15">
        <v>95.522308208448806</v>
      </c>
      <c r="X15">
        <v>97.748463696357504</v>
      </c>
      <c r="Y15">
        <v>98.861047835990902</v>
      </c>
      <c r="Z15">
        <v>100</v>
      </c>
      <c r="AA15">
        <v>101.698630136986</v>
      </c>
      <c r="AB15">
        <v>102.16149776439801</v>
      </c>
      <c r="AC15">
        <v>102.39853140190201</v>
      </c>
      <c r="AD15">
        <v>105.705388206641</v>
      </c>
      <c r="AE15">
        <v>107.28308056793399</v>
      </c>
    </row>
    <row r="16" spans="1:31" x14ac:dyDescent="0.3">
      <c r="A16" t="s">
        <v>269</v>
      </c>
      <c r="B16" t="s">
        <v>150</v>
      </c>
      <c r="C16" t="s">
        <v>0</v>
      </c>
      <c r="D16" t="s">
        <v>151</v>
      </c>
      <c r="E16" t="s">
        <v>123</v>
      </c>
      <c r="F16">
        <v>68.794864903116903</v>
      </c>
      <c r="G16">
        <v>69.644184222908507</v>
      </c>
      <c r="H16">
        <v>70.053855894807896</v>
      </c>
      <c r="I16">
        <v>70.422560399517494</v>
      </c>
      <c r="J16">
        <v>70.839261940342993</v>
      </c>
      <c r="K16">
        <v>72.119489565770905</v>
      </c>
      <c r="L16">
        <v>73.348799047005599</v>
      </c>
      <c r="M16">
        <v>74.768453222108903</v>
      </c>
      <c r="N16">
        <v>75.551368962654607</v>
      </c>
      <c r="O16">
        <v>77.202765005554099</v>
      </c>
      <c r="P16">
        <v>79.234416716226605</v>
      </c>
      <c r="Q16">
        <v>80.851445628802693</v>
      </c>
      <c r="R16">
        <v>82.7538325847745</v>
      </c>
      <c r="S16">
        <v>86.928358264125194</v>
      </c>
      <c r="T16">
        <v>89.299131671328595</v>
      </c>
      <c r="U16">
        <v>90.496170969871798</v>
      </c>
      <c r="V16">
        <v>93.126873614344902</v>
      </c>
      <c r="W16">
        <v>96.091124233369101</v>
      </c>
      <c r="X16">
        <v>98.025844855517505</v>
      </c>
      <c r="Y16">
        <v>98.803827751196195</v>
      </c>
      <c r="Z16">
        <v>100</v>
      </c>
      <c r="AA16">
        <v>101.302083333333</v>
      </c>
      <c r="AB16">
        <v>101.302083333333</v>
      </c>
      <c r="AC16">
        <v>101.594863921002</v>
      </c>
      <c r="AD16">
        <v>104.777992816699</v>
      </c>
      <c r="AE16">
        <v>106.014311316011</v>
      </c>
    </row>
    <row r="17" spans="1:31" x14ac:dyDescent="0.3">
      <c r="A17" t="s">
        <v>269</v>
      </c>
      <c r="B17" t="s">
        <v>152</v>
      </c>
      <c r="C17" t="s">
        <v>0</v>
      </c>
      <c r="D17" t="s">
        <v>153</v>
      </c>
      <c r="E17" t="s">
        <v>123</v>
      </c>
      <c r="F17">
        <v>66.632635044870199</v>
      </c>
      <c r="G17">
        <v>67.351046204383593</v>
      </c>
      <c r="H17">
        <v>68.188745784040094</v>
      </c>
      <c r="I17">
        <v>69.379073017178001</v>
      </c>
      <c r="J17">
        <v>69.740422355809102</v>
      </c>
      <c r="K17">
        <v>71.145770917135195</v>
      </c>
      <c r="L17">
        <v>73.1451836829564</v>
      </c>
      <c r="M17">
        <v>74.833149460255399</v>
      </c>
      <c r="N17">
        <v>75.493927821935301</v>
      </c>
      <c r="O17">
        <v>77.644751976406397</v>
      </c>
      <c r="P17">
        <v>79.576213468356798</v>
      </c>
      <c r="Q17">
        <v>80.972287388854298</v>
      </c>
      <c r="R17">
        <v>83.032247733384807</v>
      </c>
      <c r="S17">
        <v>87.269755548743802</v>
      </c>
      <c r="T17">
        <v>89.367026042572107</v>
      </c>
      <c r="U17">
        <v>90.254777956902302</v>
      </c>
      <c r="V17">
        <v>92.647393572843697</v>
      </c>
      <c r="W17">
        <v>95.520180970451307</v>
      </c>
      <c r="X17">
        <v>97.523225394471197</v>
      </c>
      <c r="Y17">
        <v>98.665183537263601</v>
      </c>
      <c r="Z17">
        <v>100</v>
      </c>
      <c r="AA17">
        <v>101.36054421768701</v>
      </c>
      <c r="AB17">
        <v>102.126768634019</v>
      </c>
      <c r="AC17">
        <v>102.585971730395</v>
      </c>
      <c r="AD17">
        <v>105.477030933707</v>
      </c>
      <c r="AE17">
        <v>107.28575258329199</v>
      </c>
    </row>
    <row r="18" spans="1:31" x14ac:dyDescent="0.3">
      <c r="A18" t="s">
        <v>269</v>
      </c>
      <c r="B18" t="s">
        <v>154</v>
      </c>
      <c r="C18" t="s">
        <v>0</v>
      </c>
      <c r="D18" t="s">
        <v>155</v>
      </c>
      <c r="E18" t="s">
        <v>123</v>
      </c>
      <c r="F18">
        <v>83.274006667032594</v>
      </c>
      <c r="G18">
        <v>83.274006667032594</v>
      </c>
      <c r="H18">
        <v>83.274006667032594</v>
      </c>
      <c r="I18">
        <v>83.967956722591197</v>
      </c>
      <c r="J18">
        <v>83.967956722591296</v>
      </c>
      <c r="K18">
        <v>83.967956722591296</v>
      </c>
      <c r="L18">
        <v>83.967956722591296</v>
      </c>
      <c r="M18">
        <v>84.900934019508895</v>
      </c>
      <c r="N18">
        <v>84.900934019508895</v>
      </c>
      <c r="O18">
        <v>84.900934019508895</v>
      </c>
      <c r="P18">
        <v>86.444587365318199</v>
      </c>
      <c r="Q18">
        <v>87.688394377768802</v>
      </c>
      <c r="R18">
        <v>88.492875060133699</v>
      </c>
      <c r="S18">
        <v>91.324647062057906</v>
      </c>
      <c r="T18">
        <v>93.295682610159901</v>
      </c>
      <c r="U18">
        <v>93.295682610159901</v>
      </c>
      <c r="V18">
        <v>95.266718158261895</v>
      </c>
      <c r="W18">
        <v>97.521551724137893</v>
      </c>
      <c r="X18">
        <v>99.137931034482804</v>
      </c>
      <c r="Y18">
        <v>99.137931034482804</v>
      </c>
      <c r="Z18">
        <v>100</v>
      </c>
      <c r="AA18">
        <v>101.408450704225</v>
      </c>
      <c r="AB18">
        <v>101.82923265735501</v>
      </c>
      <c r="AC18">
        <v>102.89737146145301</v>
      </c>
      <c r="AD18">
        <v>105.15885215291399</v>
      </c>
      <c r="AE18">
        <v>106.16036503056</v>
      </c>
    </row>
    <row r="19" spans="1:31" x14ac:dyDescent="0.3">
      <c r="A19" t="s">
        <v>269</v>
      </c>
      <c r="B19" t="s">
        <v>156</v>
      </c>
      <c r="C19" t="s">
        <v>0</v>
      </c>
      <c r="D19" t="s">
        <v>157</v>
      </c>
      <c r="E19" t="s">
        <v>123</v>
      </c>
      <c r="F19">
        <v>74.809511448137897</v>
      </c>
      <c r="G19">
        <v>75.893707266226897</v>
      </c>
      <c r="H19">
        <v>77.009791196612596</v>
      </c>
      <c r="I19">
        <v>78.586783507806004</v>
      </c>
      <c r="J19">
        <v>78.837059888404099</v>
      </c>
      <c r="K19">
        <v>80.917803404520399</v>
      </c>
      <c r="L19">
        <v>83.362450033055694</v>
      </c>
      <c r="M19">
        <v>85.562631998737501</v>
      </c>
      <c r="N19">
        <v>86.960714220939096</v>
      </c>
      <c r="O19">
        <v>89.142524255156204</v>
      </c>
      <c r="P19">
        <v>91.662454269436296</v>
      </c>
      <c r="Q19">
        <v>92.880559974013494</v>
      </c>
      <c r="R19">
        <v>95.065984914578493</v>
      </c>
      <c r="S19">
        <v>96.763591788053105</v>
      </c>
      <c r="T19">
        <v>97.612395224790504</v>
      </c>
      <c r="U19">
        <v>97.612395224790504</v>
      </c>
      <c r="V19">
        <v>98.387096774193594</v>
      </c>
      <c r="W19">
        <v>100</v>
      </c>
      <c r="X19">
        <v>100</v>
      </c>
      <c r="Y19">
        <v>100</v>
      </c>
      <c r="Z19">
        <v>100</v>
      </c>
      <c r="AA19">
        <v>100.537634408602</v>
      </c>
      <c r="AB19">
        <v>100.537634408602</v>
      </c>
      <c r="AC19">
        <v>100.537634408602</v>
      </c>
      <c r="AD19">
        <v>101.078159324777</v>
      </c>
      <c r="AE19">
        <v>101.078159324777</v>
      </c>
    </row>
    <row r="20" spans="1:31" x14ac:dyDescent="0.3">
      <c r="A20" t="s">
        <v>269</v>
      </c>
      <c r="B20" t="s">
        <v>158</v>
      </c>
      <c r="C20" t="s">
        <v>0</v>
      </c>
      <c r="D20" t="s">
        <v>159</v>
      </c>
      <c r="E20" t="s">
        <v>123</v>
      </c>
      <c r="F20">
        <v>69.151298670285499</v>
      </c>
      <c r="G20">
        <v>69.151298670285499</v>
      </c>
      <c r="H20">
        <v>70.284926517339301</v>
      </c>
      <c r="I20">
        <v>70.605862254861407</v>
      </c>
      <c r="J20">
        <v>71.217698149617604</v>
      </c>
      <c r="K20">
        <v>73.345111607856495</v>
      </c>
      <c r="L20">
        <v>75.156102017927097</v>
      </c>
      <c r="M20">
        <v>75.435146951161897</v>
      </c>
      <c r="N20">
        <v>76.062901294722195</v>
      </c>
      <c r="O20">
        <v>77.806463502051102</v>
      </c>
      <c r="P20">
        <v>80.1136081253226</v>
      </c>
      <c r="Q20">
        <v>82.819594889023307</v>
      </c>
      <c r="R20">
        <v>86.157216801139498</v>
      </c>
      <c r="S20">
        <v>90.650812948625898</v>
      </c>
      <c r="T20">
        <v>90.331619945285695</v>
      </c>
      <c r="U20">
        <v>90.580125089564405</v>
      </c>
      <c r="V20">
        <v>94.047879053389295</v>
      </c>
      <c r="W20">
        <v>97.522554387874095</v>
      </c>
      <c r="X20">
        <v>98.595915835539301</v>
      </c>
      <c r="Y20">
        <v>99.061990212071805</v>
      </c>
      <c r="Z20">
        <v>100</v>
      </c>
      <c r="AA20">
        <v>99.340804218852995</v>
      </c>
      <c r="AB20">
        <v>100.792266869689</v>
      </c>
      <c r="AC20">
        <v>102.798720297421</v>
      </c>
      <c r="AD20">
        <v>104.792047283798</v>
      </c>
      <c r="AE20">
        <v>104.537697654468</v>
      </c>
    </row>
    <row r="21" spans="1:31" x14ac:dyDescent="0.3">
      <c r="A21" t="s">
        <v>269</v>
      </c>
      <c r="B21" t="s">
        <v>160</v>
      </c>
      <c r="C21" t="s">
        <v>0</v>
      </c>
      <c r="D21" t="s">
        <v>161</v>
      </c>
      <c r="E21" t="s">
        <v>123</v>
      </c>
      <c r="F21">
        <v>66.886374922707702</v>
      </c>
      <c r="G21">
        <v>66.886374922707702</v>
      </c>
      <c r="H21">
        <v>68.108043871067693</v>
      </c>
      <c r="I21">
        <v>68.601580420857999</v>
      </c>
      <c r="J21">
        <v>69.506216646187994</v>
      </c>
      <c r="K21">
        <v>71.969559573303897</v>
      </c>
      <c r="L21">
        <v>73.914682805014806</v>
      </c>
      <c r="M21">
        <v>74.349840735742404</v>
      </c>
      <c r="N21">
        <v>75.271805102704604</v>
      </c>
      <c r="O21">
        <v>77.128403537232202</v>
      </c>
      <c r="P21">
        <v>79.561127376399398</v>
      </c>
      <c r="Q21">
        <v>82.515794497062501</v>
      </c>
      <c r="R21">
        <v>86.105667470831506</v>
      </c>
      <c r="S21">
        <v>91.019886706139502</v>
      </c>
      <c r="T21">
        <v>90.5883268984811</v>
      </c>
      <c r="U21">
        <v>90.800576961504703</v>
      </c>
      <c r="V21">
        <v>94.359681794603802</v>
      </c>
      <c r="W21">
        <v>97.865569382803898</v>
      </c>
      <c r="X21">
        <v>98.889103093163101</v>
      </c>
      <c r="Y21">
        <v>99.365185432676199</v>
      </c>
      <c r="Z21">
        <v>100</v>
      </c>
      <c r="AA21">
        <v>99.406207827260502</v>
      </c>
      <c r="AB21">
        <v>100.914054799921</v>
      </c>
      <c r="AC21">
        <v>103.054950851607</v>
      </c>
      <c r="AD21">
        <v>104.930014174273</v>
      </c>
      <c r="AE21">
        <v>104.382711869104</v>
      </c>
    </row>
    <row r="22" spans="1:31" x14ac:dyDescent="0.3">
      <c r="A22" t="s">
        <v>269</v>
      </c>
      <c r="B22" t="s">
        <v>162</v>
      </c>
      <c r="C22" t="s">
        <v>0</v>
      </c>
      <c r="D22" t="s">
        <v>163</v>
      </c>
      <c r="E22" t="s">
        <v>123</v>
      </c>
      <c r="F22">
        <v>62.7857794271915</v>
      </c>
      <c r="G22">
        <v>62.7857794271915</v>
      </c>
      <c r="H22">
        <v>64.241078950338306</v>
      </c>
      <c r="I22">
        <v>65.072678677850703</v>
      </c>
      <c r="J22">
        <v>66.440572824232007</v>
      </c>
      <c r="K22">
        <v>69.558019056454</v>
      </c>
      <c r="L22">
        <v>71.876619691669205</v>
      </c>
      <c r="M22">
        <v>72.631229872159096</v>
      </c>
      <c r="N22">
        <v>74.055371634358295</v>
      </c>
      <c r="O22">
        <v>76.245181010643094</v>
      </c>
      <c r="P22">
        <v>78.987813421097897</v>
      </c>
      <c r="Q22">
        <v>82.435694165669602</v>
      </c>
      <c r="R22">
        <v>86.542269336284207</v>
      </c>
      <c r="S22">
        <v>92.541733415056001</v>
      </c>
      <c r="T22">
        <v>91.790582981492307</v>
      </c>
      <c r="U22">
        <v>91.925569132935706</v>
      </c>
      <c r="V22">
        <v>95.749162996350705</v>
      </c>
      <c r="W22">
        <v>99.362338958477096</v>
      </c>
      <c r="X22">
        <v>100.221874762616</v>
      </c>
      <c r="Y22">
        <v>100.739371534196</v>
      </c>
      <c r="Z22">
        <v>100</v>
      </c>
      <c r="AA22">
        <v>99.701937406855393</v>
      </c>
      <c r="AB22">
        <v>101.479443584287</v>
      </c>
      <c r="AC22">
        <v>104.050256155089</v>
      </c>
      <c r="AD22">
        <v>105.52035396575801</v>
      </c>
      <c r="AE22">
        <v>104.226948197025</v>
      </c>
    </row>
    <row r="23" spans="1:31" x14ac:dyDescent="0.3">
      <c r="A23" t="s">
        <v>269</v>
      </c>
      <c r="B23" t="s">
        <v>164</v>
      </c>
      <c r="C23" t="s">
        <v>0</v>
      </c>
      <c r="D23" t="s">
        <v>165</v>
      </c>
      <c r="E23" t="s">
        <v>123</v>
      </c>
      <c r="F23">
        <v>79.116777560330107</v>
      </c>
      <c r="G23">
        <v>80.485579940266604</v>
      </c>
      <c r="H23">
        <v>81.849742312135504</v>
      </c>
      <c r="I23">
        <v>81.849742312135504</v>
      </c>
      <c r="J23">
        <v>81.849742312135504</v>
      </c>
      <c r="K23">
        <v>83.975709644918197</v>
      </c>
      <c r="L23">
        <v>85.332892831098704</v>
      </c>
      <c r="M23">
        <v>85.661096265064501</v>
      </c>
      <c r="N23">
        <v>85.661096265064501</v>
      </c>
      <c r="O23">
        <v>86.366706613211605</v>
      </c>
      <c r="P23">
        <v>87.257085031904495</v>
      </c>
      <c r="Q23">
        <v>88.436234829632994</v>
      </c>
      <c r="R23">
        <v>90.472948116618497</v>
      </c>
      <c r="S23">
        <v>92.696108166492607</v>
      </c>
      <c r="T23">
        <v>93.214687792598895</v>
      </c>
      <c r="U23">
        <v>92.601433267647593</v>
      </c>
      <c r="V23">
        <v>94.342061712528206</v>
      </c>
      <c r="W23">
        <v>96.965711169191806</v>
      </c>
      <c r="X23">
        <v>97.947642421538006</v>
      </c>
      <c r="Y23">
        <v>98.433734939759006</v>
      </c>
      <c r="Z23">
        <v>100</v>
      </c>
      <c r="AA23">
        <v>100.21119324181601</v>
      </c>
      <c r="AB23">
        <v>100.866168361044</v>
      </c>
      <c r="AC23">
        <v>102.09410432369999</v>
      </c>
      <c r="AD23">
        <v>103.885228960958</v>
      </c>
      <c r="AE23">
        <v>104.920894587102</v>
      </c>
    </row>
    <row r="24" spans="1:31" x14ac:dyDescent="0.3">
      <c r="A24" t="s">
        <v>269</v>
      </c>
      <c r="B24" t="s">
        <v>166</v>
      </c>
      <c r="C24" t="s">
        <v>0</v>
      </c>
      <c r="D24" t="s">
        <v>167</v>
      </c>
      <c r="E24" t="s">
        <v>123</v>
      </c>
      <c r="F24">
        <v>80.734129668572706</v>
      </c>
      <c r="G24">
        <v>81.193368176357495</v>
      </c>
      <c r="H24">
        <v>81.794800533219401</v>
      </c>
      <c r="I24">
        <v>82.363313482190506</v>
      </c>
      <c r="J24">
        <v>83.032933917005096</v>
      </c>
      <c r="K24">
        <v>85.397795958945096</v>
      </c>
      <c r="L24">
        <v>87.544861388569799</v>
      </c>
      <c r="M24">
        <v>87.162903005548102</v>
      </c>
      <c r="N24">
        <v>86.517251872173702</v>
      </c>
      <c r="O24">
        <v>87.547219156366197</v>
      </c>
      <c r="P24">
        <v>88.575458307531605</v>
      </c>
      <c r="Q24">
        <v>89.735835490599698</v>
      </c>
      <c r="R24">
        <v>91.689354381195599</v>
      </c>
      <c r="S24">
        <v>93.515835544167601</v>
      </c>
      <c r="T24">
        <v>93.311949274812605</v>
      </c>
      <c r="U24">
        <v>91.897059975725199</v>
      </c>
      <c r="V24">
        <v>93.658039833315399</v>
      </c>
      <c r="W24">
        <v>96.552548790636394</v>
      </c>
      <c r="X24">
        <v>97.784086402761901</v>
      </c>
      <c r="Y24">
        <v>98.3269961977186</v>
      </c>
      <c r="Z24">
        <v>100</v>
      </c>
      <c r="AA24">
        <v>100.60539350577901</v>
      </c>
      <c r="AB24">
        <v>101.78709059981399</v>
      </c>
      <c r="AC24">
        <v>103.48354210981</v>
      </c>
      <c r="AD24">
        <v>105.344554038761</v>
      </c>
      <c r="AE24">
        <v>106.452830077928</v>
      </c>
    </row>
    <row r="25" spans="1:31" x14ac:dyDescent="0.3">
      <c r="A25" t="s">
        <v>269</v>
      </c>
      <c r="B25" t="s">
        <v>168</v>
      </c>
      <c r="C25" t="s">
        <v>0</v>
      </c>
      <c r="D25" t="s">
        <v>169</v>
      </c>
      <c r="E25" t="s">
        <v>123</v>
      </c>
      <c r="F25">
        <v>79.742213203070406</v>
      </c>
      <c r="G25">
        <v>79.742213203070406</v>
      </c>
      <c r="H25">
        <v>80.395837901456304</v>
      </c>
      <c r="I25">
        <v>80.395837901456304</v>
      </c>
      <c r="J25">
        <v>80.931810154132606</v>
      </c>
      <c r="K25">
        <v>83.365849557264497</v>
      </c>
      <c r="L25">
        <v>85.204802121027598</v>
      </c>
      <c r="M25">
        <v>85.860223675804804</v>
      </c>
      <c r="N25">
        <v>85.860223675804804</v>
      </c>
      <c r="O25">
        <v>86.940226489336894</v>
      </c>
      <c r="P25">
        <v>88.803231342679894</v>
      </c>
      <c r="Q25">
        <v>90.352124912610293</v>
      </c>
      <c r="R25">
        <v>92.990143158234005</v>
      </c>
      <c r="S25">
        <v>94.4661771766187</v>
      </c>
      <c r="T25">
        <v>93.893654890699807</v>
      </c>
      <c r="U25">
        <v>92.506063931723901</v>
      </c>
      <c r="V25">
        <v>94.453560014497</v>
      </c>
      <c r="W25">
        <v>97.359823399558493</v>
      </c>
      <c r="X25">
        <v>98.675496688741703</v>
      </c>
      <c r="Y25">
        <v>98.675496688741703</v>
      </c>
      <c r="Z25">
        <v>100</v>
      </c>
      <c r="AA25">
        <v>100.43668122270699</v>
      </c>
      <c r="AB25">
        <v>101.618289237092</v>
      </c>
      <c r="AC25">
        <v>103.340633122467</v>
      </c>
      <c r="AD25">
        <v>105.343358570576</v>
      </c>
      <c r="AE25">
        <v>106.711454136428</v>
      </c>
    </row>
    <row r="26" spans="1:31" x14ac:dyDescent="0.3">
      <c r="A26" t="s">
        <v>269</v>
      </c>
      <c r="B26" t="s">
        <v>170</v>
      </c>
      <c r="C26" t="s">
        <v>0</v>
      </c>
      <c r="D26" t="s">
        <v>171</v>
      </c>
      <c r="E26" t="s">
        <v>123</v>
      </c>
      <c r="F26">
        <v>79.319948882616202</v>
      </c>
      <c r="G26">
        <v>79.926602411355105</v>
      </c>
      <c r="H26">
        <v>80.591549186823997</v>
      </c>
      <c r="I26">
        <v>81.238351347231898</v>
      </c>
      <c r="J26">
        <v>81.880044485835597</v>
      </c>
      <c r="K26">
        <v>84.560641180312402</v>
      </c>
      <c r="L26">
        <v>86.706209687872501</v>
      </c>
      <c r="M26">
        <v>86.251456839859202</v>
      </c>
      <c r="N26">
        <v>85.419449217609795</v>
      </c>
      <c r="O26">
        <v>86.3564084412033</v>
      </c>
      <c r="P26">
        <v>86.935981652218103</v>
      </c>
      <c r="Q26">
        <v>88.146789196120807</v>
      </c>
      <c r="R26">
        <v>89.875157611730998</v>
      </c>
      <c r="S26">
        <v>91.711687013758706</v>
      </c>
      <c r="T26">
        <v>92.008969629686604</v>
      </c>
      <c r="U26">
        <v>91.508013352210995</v>
      </c>
      <c r="V26">
        <v>93.510924725173297</v>
      </c>
      <c r="W26">
        <v>96.326307405070906</v>
      </c>
      <c r="X26">
        <v>97.553394123606907</v>
      </c>
      <c r="Y26">
        <v>98.226950354609897</v>
      </c>
      <c r="Z26">
        <v>100</v>
      </c>
      <c r="AA26">
        <v>100.64935064935101</v>
      </c>
      <c r="AB26">
        <v>101.714935689912</v>
      </c>
      <c r="AC26">
        <v>103.260202809419</v>
      </c>
      <c r="AD26">
        <v>104.994696697595</v>
      </c>
      <c r="AE26">
        <v>106.243147312311</v>
      </c>
    </row>
    <row r="27" spans="1:31" x14ac:dyDescent="0.3">
      <c r="A27" t="s">
        <v>269</v>
      </c>
      <c r="B27" t="s">
        <v>172</v>
      </c>
      <c r="C27" t="s">
        <v>0</v>
      </c>
      <c r="D27" t="s">
        <v>173</v>
      </c>
      <c r="E27" t="s">
        <v>123</v>
      </c>
      <c r="F27">
        <v>82.797488233328096</v>
      </c>
      <c r="G27">
        <v>83.100775736014299</v>
      </c>
      <c r="H27">
        <v>83.566326300361695</v>
      </c>
      <c r="I27">
        <v>84.209144194979899</v>
      </c>
      <c r="J27">
        <v>84.962693583749299</v>
      </c>
      <c r="K27">
        <v>86.813732659647897</v>
      </c>
      <c r="L27">
        <v>89.050152002168204</v>
      </c>
      <c r="M27">
        <v>88.448461785937297</v>
      </c>
      <c r="N27">
        <v>87.843685978853998</v>
      </c>
      <c r="O27">
        <v>88.953624249344898</v>
      </c>
      <c r="P27">
        <v>90.319140411067295</v>
      </c>
      <c r="Q27">
        <v>91.257521090662806</v>
      </c>
      <c r="R27">
        <v>93.355395138724006</v>
      </c>
      <c r="S27">
        <v>95.278446349446796</v>
      </c>
      <c r="T27">
        <v>94.636840650123901</v>
      </c>
      <c r="U27">
        <v>92.291856987996994</v>
      </c>
      <c r="V27">
        <v>93.615715592333004</v>
      </c>
      <c r="W27">
        <v>96.613598769962294</v>
      </c>
      <c r="X27">
        <v>97.830777967064193</v>
      </c>
      <c r="Y27">
        <v>98.3333333333333</v>
      </c>
      <c r="Z27">
        <v>100</v>
      </c>
      <c r="AA27">
        <v>100.60240963855399</v>
      </c>
      <c r="AB27">
        <v>101.965996516185</v>
      </c>
      <c r="AC27">
        <v>103.901117617952</v>
      </c>
      <c r="AD27">
        <v>105.875846461568</v>
      </c>
      <c r="AE27">
        <v>106.74131659613199</v>
      </c>
    </row>
    <row r="28" spans="1:31" x14ac:dyDescent="0.3">
      <c r="A28" t="s">
        <v>269</v>
      </c>
      <c r="B28" t="s">
        <v>174</v>
      </c>
      <c r="C28" t="s">
        <v>0</v>
      </c>
      <c r="D28" t="s">
        <v>175</v>
      </c>
      <c r="E28" t="s">
        <v>123</v>
      </c>
      <c r="F28">
        <v>71.930505613510903</v>
      </c>
      <c r="G28">
        <v>73.131850174905694</v>
      </c>
      <c r="H28">
        <v>75.7815548913877</v>
      </c>
      <c r="I28">
        <v>77.151395780321806</v>
      </c>
      <c r="J28">
        <v>78.904836593510893</v>
      </c>
      <c r="K28">
        <v>83.032791166584801</v>
      </c>
      <c r="L28">
        <v>86.404681163197395</v>
      </c>
      <c r="M28">
        <v>87.247280004327905</v>
      </c>
      <c r="N28">
        <v>87.476476011344502</v>
      </c>
      <c r="O28">
        <v>88.241417088270694</v>
      </c>
      <c r="P28">
        <v>88.685798325405898</v>
      </c>
      <c r="Q28">
        <v>89.528819222035196</v>
      </c>
      <c r="R28">
        <v>90.601663071310597</v>
      </c>
      <c r="S28">
        <v>92.323894277010993</v>
      </c>
      <c r="T28">
        <v>92.487203052265201</v>
      </c>
      <c r="U28">
        <v>92.342352303553696</v>
      </c>
      <c r="V28">
        <v>94.079977212491599</v>
      </c>
      <c r="W28">
        <v>96.912492655448304</v>
      </c>
      <c r="X28">
        <v>96.648964463319302</v>
      </c>
      <c r="Y28">
        <v>97.827610371408596</v>
      </c>
      <c r="Z28">
        <v>100</v>
      </c>
      <c r="AA28">
        <v>100.19940179461599</v>
      </c>
      <c r="AB28">
        <v>100.948756295217</v>
      </c>
      <c r="AC28">
        <v>102.110247738333</v>
      </c>
      <c r="AD28">
        <v>103.879599956326</v>
      </c>
      <c r="AE28">
        <v>104.510912442248</v>
      </c>
    </row>
    <row r="29" spans="1:31" x14ac:dyDescent="0.3">
      <c r="A29" t="s">
        <v>269</v>
      </c>
      <c r="B29" t="s">
        <v>176</v>
      </c>
      <c r="C29" t="s">
        <v>0</v>
      </c>
      <c r="D29" t="s">
        <v>177</v>
      </c>
      <c r="E29" t="s">
        <v>123</v>
      </c>
      <c r="F29">
        <v>73.716405494368303</v>
      </c>
      <c r="G29">
        <v>75.562612429826501</v>
      </c>
      <c r="H29">
        <v>78.726875931913</v>
      </c>
      <c r="I29">
        <v>80.201586864355207</v>
      </c>
      <c r="J29">
        <v>82.330832533320404</v>
      </c>
      <c r="K29">
        <v>87.620622432495793</v>
      </c>
      <c r="L29">
        <v>91.249083790896705</v>
      </c>
      <c r="M29">
        <v>92.247120644859706</v>
      </c>
      <c r="N29">
        <v>92.776515885289299</v>
      </c>
      <c r="O29">
        <v>93.145653216397903</v>
      </c>
      <c r="P29">
        <v>93.628899147481604</v>
      </c>
      <c r="Q29">
        <v>94.508043740415701</v>
      </c>
      <c r="R29">
        <v>95.152050852786502</v>
      </c>
      <c r="S29">
        <v>95.912253655871396</v>
      </c>
      <c r="T29">
        <v>96.202896848768006</v>
      </c>
      <c r="U29">
        <v>96.202896848768006</v>
      </c>
      <c r="V29">
        <v>98.060607960330401</v>
      </c>
      <c r="W29">
        <v>99.738451062313203</v>
      </c>
      <c r="X29">
        <v>98.513592891372497</v>
      </c>
      <c r="Y29">
        <v>99.144079885877304</v>
      </c>
      <c r="Z29">
        <v>100</v>
      </c>
      <c r="AA29">
        <v>100.70754716981099</v>
      </c>
      <c r="AB29">
        <v>101.570402531119</v>
      </c>
      <c r="AC29">
        <v>102.304646404838</v>
      </c>
      <c r="AD29">
        <v>102.87237474226799</v>
      </c>
      <c r="AE29">
        <v>103.747352413223</v>
      </c>
    </row>
    <row r="30" spans="1:31" x14ac:dyDescent="0.3">
      <c r="A30" t="s">
        <v>269</v>
      </c>
      <c r="B30" t="s">
        <v>178</v>
      </c>
      <c r="C30" t="s">
        <v>0</v>
      </c>
      <c r="D30" t="s">
        <v>179</v>
      </c>
      <c r="E30" t="s">
        <v>123</v>
      </c>
      <c r="F30">
        <v>71.140667726239798</v>
      </c>
      <c r="G30">
        <v>71.140667726239798</v>
      </c>
      <c r="H30">
        <v>75.306562683181795</v>
      </c>
      <c r="I30">
        <v>77.565759563677204</v>
      </c>
      <c r="J30">
        <v>79.662131443776602</v>
      </c>
      <c r="K30">
        <v>85.563030069241506</v>
      </c>
      <c r="L30">
        <v>89.771047941499305</v>
      </c>
      <c r="M30">
        <v>90.779711401516096</v>
      </c>
      <c r="N30">
        <v>90.779711401516096</v>
      </c>
      <c r="O30">
        <v>91.320066826525206</v>
      </c>
      <c r="P30">
        <v>92.135424566047703</v>
      </c>
      <c r="Q30">
        <v>91.751526963689201</v>
      </c>
      <c r="R30">
        <v>91.996197702258996</v>
      </c>
      <c r="S30">
        <v>91.996197702258996</v>
      </c>
      <c r="T30">
        <v>92.855975250878302</v>
      </c>
      <c r="U30">
        <v>91.333746148404799</v>
      </c>
      <c r="V30">
        <v>92.849658947548505</v>
      </c>
      <c r="W30">
        <v>95.801526717557294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100.526315789474</v>
      </c>
      <c r="AD30">
        <v>101.18335053319601</v>
      </c>
      <c r="AE30">
        <v>101.18335053319601</v>
      </c>
    </row>
    <row r="31" spans="1:31" x14ac:dyDescent="0.3">
      <c r="A31" t="s">
        <v>269</v>
      </c>
      <c r="B31" t="s">
        <v>180</v>
      </c>
      <c r="C31" t="s">
        <v>0</v>
      </c>
      <c r="D31" t="s">
        <v>181</v>
      </c>
      <c r="E31" t="s">
        <v>123</v>
      </c>
      <c r="F31">
        <v>59.040075547670199</v>
      </c>
      <c r="G31">
        <v>60.6215061426971</v>
      </c>
      <c r="H31">
        <v>62.1370437962645</v>
      </c>
      <c r="I31">
        <v>63.899796811761398</v>
      </c>
      <c r="J31">
        <v>65.680975816967305</v>
      </c>
      <c r="K31">
        <v>69.864477461360096</v>
      </c>
      <c r="L31">
        <v>72.997413670389705</v>
      </c>
      <c r="M31">
        <v>73.983865206475997</v>
      </c>
      <c r="N31">
        <v>73.983865206475997</v>
      </c>
      <c r="O31">
        <v>75.615862233089501</v>
      </c>
      <c r="P31">
        <v>75.330519356738193</v>
      </c>
      <c r="Q31">
        <v>75.330519356738193</v>
      </c>
      <c r="R31">
        <v>75.588500587412</v>
      </c>
      <c r="S31">
        <v>75.588500587412</v>
      </c>
      <c r="T31">
        <v>76.521691952688698</v>
      </c>
      <c r="U31">
        <v>77.088519300486396</v>
      </c>
      <c r="V31">
        <v>77.875136844368896</v>
      </c>
      <c r="W31">
        <v>82.380310050241405</v>
      </c>
      <c r="X31">
        <v>79.096045197740096</v>
      </c>
      <c r="Y31">
        <v>85.875706214689302</v>
      </c>
      <c r="Z31">
        <v>100</v>
      </c>
      <c r="AA31">
        <v>100</v>
      </c>
      <c r="AB31">
        <v>98.997493734335805</v>
      </c>
      <c r="AC31">
        <v>98.6321893294121</v>
      </c>
      <c r="AD31">
        <v>102.941362649629</v>
      </c>
      <c r="AE31">
        <v>103.58074999527901</v>
      </c>
    </row>
    <row r="32" spans="1:31" x14ac:dyDescent="0.3">
      <c r="A32" t="s">
        <v>269</v>
      </c>
      <c r="B32" t="s">
        <v>182</v>
      </c>
      <c r="C32" t="s">
        <v>0</v>
      </c>
      <c r="D32" t="s">
        <v>183</v>
      </c>
      <c r="E32" t="s">
        <v>123</v>
      </c>
      <c r="F32">
        <v>73.752108471073299</v>
      </c>
      <c r="G32">
        <v>73.752108471073299</v>
      </c>
      <c r="H32">
        <v>75.501170332047394</v>
      </c>
      <c r="I32">
        <v>76.456881348908695</v>
      </c>
      <c r="J32">
        <v>77.904928344153205</v>
      </c>
      <c r="K32">
        <v>80.329984479379803</v>
      </c>
      <c r="L32">
        <v>82.764226433300394</v>
      </c>
      <c r="M32">
        <v>83.093964387217895</v>
      </c>
      <c r="N32">
        <v>82.855872798715794</v>
      </c>
      <c r="O32">
        <v>83.898085035177601</v>
      </c>
      <c r="P32">
        <v>84.737065885529404</v>
      </c>
      <c r="Q32">
        <v>86.945197895575802</v>
      </c>
      <c r="R32">
        <v>90.016631516886903</v>
      </c>
      <c r="S32">
        <v>94.258252897263802</v>
      </c>
      <c r="T32">
        <v>93.128058018399699</v>
      </c>
      <c r="U32">
        <v>92.651699665364404</v>
      </c>
      <c r="V32">
        <v>94.987456799785306</v>
      </c>
      <c r="W32">
        <v>98.700321560689005</v>
      </c>
      <c r="X32">
        <v>99.742930591259594</v>
      </c>
      <c r="Y32">
        <v>100</v>
      </c>
      <c r="Z32">
        <v>100</v>
      </c>
      <c r="AA32">
        <v>99.843505477308298</v>
      </c>
      <c r="AB32">
        <v>101.527981796711</v>
      </c>
      <c r="AC32">
        <v>104.167088357176</v>
      </c>
      <c r="AD32">
        <v>106.299163265071</v>
      </c>
      <c r="AE32">
        <v>106.77943056898</v>
      </c>
    </row>
    <row r="33" spans="1:31" x14ac:dyDescent="0.3">
      <c r="A33" t="s">
        <v>269</v>
      </c>
      <c r="B33" t="s">
        <v>184</v>
      </c>
      <c r="C33" t="s">
        <v>0</v>
      </c>
      <c r="D33" t="s">
        <v>185</v>
      </c>
      <c r="E33" t="s">
        <v>123</v>
      </c>
      <c r="F33">
        <v>78.884972423474494</v>
      </c>
      <c r="G33">
        <v>77.707584775363003</v>
      </c>
      <c r="H33">
        <v>76.844167166747795</v>
      </c>
      <c r="I33">
        <v>76.844167166747894</v>
      </c>
      <c r="J33">
        <v>76.158058531330497</v>
      </c>
      <c r="K33">
        <v>77.4488730827089</v>
      </c>
      <c r="L33">
        <v>80.030502185465906</v>
      </c>
      <c r="M33">
        <v>81.111995458242504</v>
      </c>
      <c r="N33">
        <v>81.111995458242504</v>
      </c>
      <c r="O33">
        <v>83.958030386601806</v>
      </c>
      <c r="P33">
        <v>85.957031110092402</v>
      </c>
      <c r="Q33">
        <v>88.344726418706003</v>
      </c>
      <c r="R33">
        <v>90.2244014488913</v>
      </c>
      <c r="S33">
        <v>94.372649791369</v>
      </c>
      <c r="T33">
        <v>94.372649791369</v>
      </c>
      <c r="U33">
        <v>94.372649791369</v>
      </c>
      <c r="V33">
        <v>94.372649791369</v>
      </c>
      <c r="W33">
        <v>97.352838732149095</v>
      </c>
      <c r="X33">
        <v>98.850574712643706</v>
      </c>
      <c r="Y33">
        <v>100</v>
      </c>
      <c r="Z33">
        <v>100</v>
      </c>
      <c r="AA33">
        <v>96.153846153846203</v>
      </c>
      <c r="AB33">
        <v>96.153846153846104</v>
      </c>
      <c r="AC33">
        <v>96.153846153846104</v>
      </c>
      <c r="AD33">
        <v>96.153846153846203</v>
      </c>
      <c r="AE33">
        <v>96.153846153846104</v>
      </c>
    </row>
    <row r="34" spans="1:31" x14ac:dyDescent="0.3">
      <c r="A34" t="s">
        <v>269</v>
      </c>
      <c r="B34" t="s">
        <v>186</v>
      </c>
      <c r="C34" t="s">
        <v>0</v>
      </c>
      <c r="D34" t="s">
        <v>187</v>
      </c>
      <c r="E34" t="s">
        <v>123</v>
      </c>
      <c r="F34">
        <v>88.515523707767301</v>
      </c>
      <c r="G34">
        <v>88.515523707767301</v>
      </c>
      <c r="H34">
        <v>89.176087317526694</v>
      </c>
      <c r="I34">
        <v>88.608086761364106</v>
      </c>
      <c r="J34">
        <v>88.013401615314706</v>
      </c>
      <c r="K34">
        <v>88.013401615314706</v>
      </c>
      <c r="L34">
        <v>90.289610277779701</v>
      </c>
      <c r="M34">
        <v>90.289610277779701</v>
      </c>
      <c r="N34">
        <v>90.289610277779701</v>
      </c>
      <c r="O34">
        <v>90.289610277779701</v>
      </c>
      <c r="P34">
        <v>91.982540470488104</v>
      </c>
      <c r="Q34">
        <v>92.871260668270594</v>
      </c>
      <c r="R34">
        <v>94.710295532988795</v>
      </c>
      <c r="S34">
        <v>96.923152905254895</v>
      </c>
      <c r="T34">
        <v>95.972925915987702</v>
      </c>
      <c r="U34">
        <v>92.8188860971525</v>
      </c>
      <c r="V34">
        <v>94.2922017494882</v>
      </c>
      <c r="W34">
        <v>97.319932998325001</v>
      </c>
      <c r="X34">
        <v>98.492462311557802</v>
      </c>
      <c r="Y34">
        <v>98.492462311557802</v>
      </c>
      <c r="Z34">
        <v>100</v>
      </c>
      <c r="AA34">
        <v>100.78431372548999</v>
      </c>
      <c r="AB34">
        <v>102.34686122511</v>
      </c>
      <c r="AC34">
        <v>104.002959303186</v>
      </c>
      <c r="AD34">
        <v>105.375935663625</v>
      </c>
      <c r="AE34">
        <v>106.399003000165</v>
      </c>
    </row>
    <row r="35" spans="1:31" x14ac:dyDescent="0.3">
      <c r="A35" t="s">
        <v>269</v>
      </c>
      <c r="B35" t="s">
        <v>188</v>
      </c>
      <c r="C35" t="s">
        <v>0</v>
      </c>
      <c r="D35" t="s">
        <v>189</v>
      </c>
      <c r="E35" t="s">
        <v>123</v>
      </c>
      <c r="F35">
        <v>87.486633577086295</v>
      </c>
      <c r="G35">
        <v>86.335493661598306</v>
      </c>
      <c r="H35">
        <v>86.473299716924103</v>
      </c>
      <c r="I35">
        <v>85.203500895823893</v>
      </c>
      <c r="J35">
        <v>84.382657919948898</v>
      </c>
      <c r="K35">
        <v>85.931421919663705</v>
      </c>
      <c r="L35">
        <v>87.305539460355106</v>
      </c>
      <c r="M35">
        <v>87.667374141363098</v>
      </c>
      <c r="N35">
        <v>87.608457895300305</v>
      </c>
      <c r="O35">
        <v>88.989205852673095</v>
      </c>
      <c r="P35">
        <v>89.174728866959398</v>
      </c>
      <c r="Q35">
        <v>90.551691592110998</v>
      </c>
      <c r="R35">
        <v>91.675161711119799</v>
      </c>
      <c r="S35">
        <v>93.714977769536304</v>
      </c>
      <c r="T35">
        <v>94.1646041193559</v>
      </c>
      <c r="U35">
        <v>94.442868315926106</v>
      </c>
      <c r="V35">
        <v>96.105594870783904</v>
      </c>
      <c r="W35">
        <v>97.753423101422399</v>
      </c>
      <c r="X35">
        <v>99.031245625623995</v>
      </c>
      <c r="Y35">
        <v>99.739243807040395</v>
      </c>
      <c r="Z35">
        <v>100</v>
      </c>
      <c r="AA35">
        <v>100.666370501999</v>
      </c>
      <c r="AB35">
        <v>102.02557888008501</v>
      </c>
      <c r="AC35">
        <v>103.35376387407101</v>
      </c>
      <c r="AD35">
        <v>105.12233829762501</v>
      </c>
      <c r="AE35">
        <v>106.297948863003</v>
      </c>
    </row>
    <row r="36" spans="1:31" x14ac:dyDescent="0.3">
      <c r="A36" t="s">
        <v>269</v>
      </c>
      <c r="B36" t="s">
        <v>190</v>
      </c>
      <c r="C36" t="s">
        <v>0</v>
      </c>
      <c r="D36" t="s">
        <v>191</v>
      </c>
      <c r="E36" t="s">
        <v>123</v>
      </c>
      <c r="F36">
        <v>72.042998138352502</v>
      </c>
      <c r="G36">
        <v>71.324961612056697</v>
      </c>
      <c r="H36">
        <v>71.517212182439593</v>
      </c>
      <c r="I36">
        <v>72.309646666455507</v>
      </c>
      <c r="J36">
        <v>72.550678822010397</v>
      </c>
      <c r="K36">
        <v>74.066663155604601</v>
      </c>
      <c r="L36">
        <v>76.521911658000306</v>
      </c>
      <c r="M36">
        <v>77.496713080395196</v>
      </c>
      <c r="N36">
        <v>77.496713080395196</v>
      </c>
      <c r="O36">
        <v>79.9491407095217</v>
      </c>
      <c r="P36">
        <v>81.3080496167657</v>
      </c>
      <c r="Q36">
        <v>82.693982280687806</v>
      </c>
      <c r="R36">
        <v>83.735468203618396</v>
      </c>
      <c r="S36">
        <v>85.606651850626605</v>
      </c>
      <c r="T36">
        <v>87.499673636021299</v>
      </c>
      <c r="U36">
        <v>89.340010940029401</v>
      </c>
      <c r="V36">
        <v>92.567121601361293</v>
      </c>
      <c r="W36">
        <v>94.864887031182306</v>
      </c>
      <c r="X36">
        <v>96.904992128627001</v>
      </c>
      <c r="Y36">
        <v>98.961937716262995</v>
      </c>
      <c r="Z36">
        <v>100</v>
      </c>
      <c r="AA36">
        <v>101.594896331738</v>
      </c>
      <c r="AB36">
        <v>102.863071181927</v>
      </c>
      <c r="AC36">
        <v>104.256879734527</v>
      </c>
      <c r="AD36">
        <v>106.545096573694</v>
      </c>
      <c r="AE36">
        <v>108.193473595228</v>
      </c>
    </row>
    <row r="37" spans="1:31" x14ac:dyDescent="0.3">
      <c r="A37" t="s">
        <v>269</v>
      </c>
      <c r="B37" t="s">
        <v>192</v>
      </c>
      <c r="C37" t="s">
        <v>0</v>
      </c>
      <c r="D37" t="s">
        <v>193</v>
      </c>
      <c r="E37" t="s">
        <v>123</v>
      </c>
      <c r="F37">
        <v>92.591532804701401</v>
      </c>
      <c r="G37">
        <v>91.360626164757093</v>
      </c>
      <c r="H37">
        <v>91.752171705463198</v>
      </c>
      <c r="I37">
        <v>89.810326801643896</v>
      </c>
      <c r="J37">
        <v>89.233386800776799</v>
      </c>
      <c r="K37">
        <v>91.398807714041297</v>
      </c>
      <c r="L37">
        <v>92.997346532085302</v>
      </c>
      <c r="M37">
        <v>93.199955130194397</v>
      </c>
      <c r="N37">
        <v>93.333863111703295</v>
      </c>
      <c r="O37">
        <v>93.808442076678105</v>
      </c>
      <c r="P37">
        <v>92.473090588042098</v>
      </c>
      <c r="Q37">
        <v>94.333716153193805</v>
      </c>
      <c r="R37">
        <v>95.953951735977697</v>
      </c>
      <c r="S37">
        <v>97.935788949113203</v>
      </c>
      <c r="T37">
        <v>97.757723878296702</v>
      </c>
      <c r="U37">
        <v>97.437731328776806</v>
      </c>
      <c r="V37">
        <v>98.426946875261905</v>
      </c>
      <c r="W37">
        <v>99.668367826841802</v>
      </c>
      <c r="X37">
        <v>100.32733224222601</v>
      </c>
      <c r="Y37">
        <v>100.32733224222601</v>
      </c>
      <c r="Z37">
        <v>100</v>
      </c>
      <c r="AA37">
        <v>99.714693295292406</v>
      </c>
      <c r="AB37">
        <v>101.332483304508</v>
      </c>
      <c r="AC37">
        <v>102.471050532649</v>
      </c>
      <c r="AD37">
        <v>103.153054196759</v>
      </c>
      <c r="AE37">
        <v>102.88685276657399</v>
      </c>
    </row>
    <row r="38" spans="1:31" x14ac:dyDescent="0.3">
      <c r="A38" t="s">
        <v>269</v>
      </c>
      <c r="B38" t="s">
        <v>194</v>
      </c>
      <c r="C38" t="s">
        <v>0</v>
      </c>
      <c r="D38" t="s">
        <v>195</v>
      </c>
      <c r="E38" t="s">
        <v>123</v>
      </c>
      <c r="F38">
        <v>99.534530298937995</v>
      </c>
      <c r="G38">
        <v>97.691298256365101</v>
      </c>
      <c r="H38">
        <v>96.617767506295095</v>
      </c>
      <c r="I38">
        <v>93.462901628538503</v>
      </c>
      <c r="J38">
        <v>90.569313342825296</v>
      </c>
      <c r="K38">
        <v>90.569313342825296</v>
      </c>
      <c r="L38">
        <v>90.352120744880906</v>
      </c>
      <c r="M38">
        <v>90.549827792462693</v>
      </c>
      <c r="N38">
        <v>90.166142081477602</v>
      </c>
      <c r="O38">
        <v>91.9048831133519</v>
      </c>
      <c r="P38">
        <v>92.781838104891506</v>
      </c>
      <c r="Q38">
        <v>93.689683878912007</v>
      </c>
      <c r="R38">
        <v>94.503197776558096</v>
      </c>
      <c r="S38">
        <v>96.739077850135999</v>
      </c>
      <c r="T38">
        <v>96.546370523741302</v>
      </c>
      <c r="U38">
        <v>95.854281846151693</v>
      </c>
      <c r="V38">
        <v>96.670757841434096</v>
      </c>
      <c r="W38">
        <v>98.073816736084794</v>
      </c>
      <c r="X38">
        <v>99.261151079136695</v>
      </c>
      <c r="Y38">
        <v>99.820143884892104</v>
      </c>
      <c r="Z38">
        <v>100</v>
      </c>
      <c r="AA38">
        <v>100.75839653304401</v>
      </c>
      <c r="AB38">
        <v>102.003608436645</v>
      </c>
      <c r="AC38">
        <v>103.392357360221</v>
      </c>
      <c r="AD38">
        <v>105.42916740202701</v>
      </c>
      <c r="AE38">
        <v>107.232776797707</v>
      </c>
    </row>
    <row r="39" spans="1:31" x14ac:dyDescent="0.3">
      <c r="A39" t="s">
        <v>269</v>
      </c>
      <c r="B39" t="s">
        <v>196</v>
      </c>
      <c r="C39" t="s">
        <v>0</v>
      </c>
      <c r="D39" t="s">
        <v>197</v>
      </c>
      <c r="E39" t="s">
        <v>123</v>
      </c>
      <c r="F39">
        <v>102.789849859905</v>
      </c>
      <c r="G39">
        <v>97.379857762015106</v>
      </c>
      <c r="H39">
        <v>105.49484590885</v>
      </c>
      <c r="I39">
        <v>100.41075694938699</v>
      </c>
      <c r="J39">
        <v>95.752525956889798</v>
      </c>
      <c r="K39">
        <v>93.503305548506404</v>
      </c>
      <c r="L39">
        <v>90.932767938925494</v>
      </c>
      <c r="M39">
        <v>88.281666832834404</v>
      </c>
      <c r="N39">
        <v>84.1234723805632</v>
      </c>
      <c r="O39">
        <v>87.154948862745698</v>
      </c>
      <c r="P39">
        <v>86.902325822563796</v>
      </c>
      <c r="Q39">
        <v>88.478274736444504</v>
      </c>
      <c r="R39">
        <v>89.834841129337207</v>
      </c>
      <c r="S39">
        <v>92.209945793720905</v>
      </c>
      <c r="T39">
        <v>92.509815536139499</v>
      </c>
      <c r="U39">
        <v>93.565863658698206</v>
      </c>
      <c r="V39">
        <v>95.369060174604499</v>
      </c>
      <c r="W39">
        <v>96.917977625236205</v>
      </c>
      <c r="X39">
        <v>98.302520162739597</v>
      </c>
      <c r="Y39">
        <v>99.2351816443595</v>
      </c>
      <c r="Z39">
        <v>100</v>
      </c>
      <c r="AA39">
        <v>101.29449838187701</v>
      </c>
      <c r="AB39">
        <v>102.18304661329699</v>
      </c>
      <c r="AC39">
        <v>102.89265110366701</v>
      </c>
      <c r="AD39">
        <v>104.20991121737001</v>
      </c>
      <c r="AE39">
        <v>105.19674749783699</v>
      </c>
    </row>
    <row r="40" spans="1:31" x14ac:dyDescent="0.3">
      <c r="A40" t="s">
        <v>269</v>
      </c>
      <c r="B40" t="s">
        <v>198</v>
      </c>
      <c r="C40" t="s">
        <v>0</v>
      </c>
      <c r="D40" t="s">
        <v>199</v>
      </c>
      <c r="E40" t="s">
        <v>123</v>
      </c>
      <c r="F40">
        <v>61.537058097504897</v>
      </c>
      <c r="G40">
        <v>61.0148042638858</v>
      </c>
      <c r="H40">
        <v>63.261692128992799</v>
      </c>
      <c r="I40">
        <v>66.971269209820804</v>
      </c>
      <c r="J40">
        <v>69.828232571439301</v>
      </c>
      <c r="K40">
        <v>74.186123436816899</v>
      </c>
      <c r="L40">
        <v>77.834507820094402</v>
      </c>
      <c r="M40">
        <v>76.411190448836805</v>
      </c>
      <c r="N40">
        <v>76.362876987257707</v>
      </c>
      <c r="O40">
        <v>78.220251974786294</v>
      </c>
      <c r="P40">
        <v>82.248884740304504</v>
      </c>
      <c r="Q40">
        <v>85.445584676602607</v>
      </c>
      <c r="R40">
        <v>90.997333021223994</v>
      </c>
      <c r="S40">
        <v>95.764455414125607</v>
      </c>
      <c r="T40">
        <v>93.342384770017901</v>
      </c>
      <c r="U40">
        <v>89.473008492625297</v>
      </c>
      <c r="V40">
        <v>92.250475791784893</v>
      </c>
      <c r="W40">
        <v>97.214650561908897</v>
      </c>
      <c r="X40">
        <v>99.031904577274105</v>
      </c>
      <c r="Y40">
        <v>99.686974668135207</v>
      </c>
      <c r="Z40">
        <v>100</v>
      </c>
      <c r="AA40">
        <v>102.403405722908</v>
      </c>
      <c r="AB40">
        <v>105.71947196428501</v>
      </c>
      <c r="AC40">
        <v>110.19988383540399</v>
      </c>
      <c r="AD40">
        <v>115.31423494558101</v>
      </c>
      <c r="AE40">
        <v>117.62689230031501</v>
      </c>
    </row>
    <row r="41" spans="1:31" x14ac:dyDescent="0.3">
      <c r="A41" t="s">
        <v>269</v>
      </c>
      <c r="B41" t="s">
        <v>200</v>
      </c>
      <c r="C41" t="s">
        <v>0</v>
      </c>
      <c r="D41" t="s">
        <v>201</v>
      </c>
      <c r="E41" t="s">
        <v>123</v>
      </c>
      <c r="F41">
        <v>60.954065501410398</v>
      </c>
      <c r="G41">
        <v>60.408320549406398</v>
      </c>
      <c r="H41">
        <v>62.978177279961301</v>
      </c>
      <c r="I41">
        <v>66.906219865620301</v>
      </c>
      <c r="J41">
        <v>69.515766112281696</v>
      </c>
      <c r="K41">
        <v>74.514269112287906</v>
      </c>
      <c r="L41">
        <v>77.608192466941006</v>
      </c>
      <c r="M41">
        <v>76.045792202073798</v>
      </c>
      <c r="N41">
        <v>76.128386545815303</v>
      </c>
      <c r="O41">
        <v>77.995863754490301</v>
      </c>
      <c r="P41">
        <v>82.064362729019194</v>
      </c>
      <c r="Q41">
        <v>85.256734184269902</v>
      </c>
      <c r="R41">
        <v>90.8307530553097</v>
      </c>
      <c r="S41">
        <v>95.513910198091693</v>
      </c>
      <c r="T41">
        <v>92.588008844402694</v>
      </c>
      <c r="U41">
        <v>89.366199475473806</v>
      </c>
      <c r="V41">
        <v>92.426626544673596</v>
      </c>
      <c r="W41">
        <v>96.962197562218805</v>
      </c>
      <c r="X41">
        <v>98.970566779547994</v>
      </c>
      <c r="Y41">
        <v>99.633735893882402</v>
      </c>
      <c r="Z41">
        <v>100</v>
      </c>
      <c r="AA41">
        <v>102.31385612676701</v>
      </c>
      <c r="AB41">
        <v>105.715374226574</v>
      </c>
      <c r="AC41">
        <v>110.1682187392</v>
      </c>
      <c r="AD41">
        <v>115.009730867754</v>
      </c>
      <c r="AE41">
        <v>117.05298211970801</v>
      </c>
    </row>
    <row r="42" spans="1:31" x14ac:dyDescent="0.3">
      <c r="A42" t="s">
        <v>269</v>
      </c>
      <c r="B42" t="s">
        <v>202</v>
      </c>
      <c r="C42" t="s">
        <v>0</v>
      </c>
      <c r="D42" t="s">
        <v>203</v>
      </c>
      <c r="E42" t="s">
        <v>123</v>
      </c>
      <c r="F42">
        <v>63.456651142277501</v>
      </c>
      <c r="G42">
        <v>64.936977374212404</v>
      </c>
      <c r="H42">
        <v>66.184052385514093</v>
      </c>
      <c r="I42">
        <v>67.455192956298703</v>
      </c>
      <c r="J42">
        <v>68.079778076264404</v>
      </c>
      <c r="K42">
        <v>70.648826305557407</v>
      </c>
      <c r="L42">
        <v>73.363106130688493</v>
      </c>
      <c r="M42">
        <v>75.445313494851902</v>
      </c>
      <c r="N42">
        <v>76.508993644829701</v>
      </c>
      <c r="O42">
        <v>78.874489100515206</v>
      </c>
      <c r="P42">
        <v>81.309342365545106</v>
      </c>
      <c r="Q42">
        <v>82.932577875565102</v>
      </c>
      <c r="R42">
        <v>84.674295989268401</v>
      </c>
      <c r="S42">
        <v>88.364869745379593</v>
      </c>
      <c r="T42">
        <v>91.1237362020765</v>
      </c>
      <c r="U42">
        <v>91.835084650180093</v>
      </c>
      <c r="V42">
        <v>93.647619215644198</v>
      </c>
      <c r="W42">
        <v>96.071439948284393</v>
      </c>
      <c r="X42">
        <v>98.152987813830507</v>
      </c>
      <c r="Y42">
        <v>98.960831334931996</v>
      </c>
      <c r="Z42">
        <v>100</v>
      </c>
      <c r="AA42">
        <v>101.365187713311</v>
      </c>
      <c r="AB42">
        <v>101.792888927291</v>
      </c>
      <c r="AC42">
        <v>102.173850337947</v>
      </c>
      <c r="AD42">
        <v>104.633468075425</v>
      </c>
      <c r="AE42">
        <v>106.360567961127</v>
      </c>
    </row>
    <row r="43" spans="1:31" x14ac:dyDescent="0.3">
      <c r="A43" t="s">
        <v>269</v>
      </c>
      <c r="B43" t="s">
        <v>204</v>
      </c>
      <c r="C43" t="s">
        <v>0</v>
      </c>
      <c r="D43" t="s">
        <v>205</v>
      </c>
      <c r="E43" t="s">
        <v>123</v>
      </c>
      <c r="F43">
        <v>70.924556450387598</v>
      </c>
      <c r="G43">
        <v>72.474819979357804</v>
      </c>
      <c r="H43">
        <v>74.008678603259497</v>
      </c>
      <c r="I43">
        <v>75.190037792231706</v>
      </c>
      <c r="J43">
        <v>75.907998222539504</v>
      </c>
      <c r="K43">
        <v>78.472054721808306</v>
      </c>
      <c r="L43">
        <v>81.252063101646897</v>
      </c>
      <c r="M43">
        <v>82.953964423370607</v>
      </c>
      <c r="N43">
        <v>83.850158502218605</v>
      </c>
      <c r="O43">
        <v>85.697324877768196</v>
      </c>
      <c r="P43">
        <v>87.637432491430502</v>
      </c>
      <c r="Q43">
        <v>88.764272652044994</v>
      </c>
      <c r="R43">
        <v>89.918304365831105</v>
      </c>
      <c r="S43">
        <v>92.132813657549804</v>
      </c>
      <c r="T43">
        <v>93.561672430154502</v>
      </c>
      <c r="U43">
        <v>93.612771104338094</v>
      </c>
      <c r="V43">
        <v>94.993630901909697</v>
      </c>
      <c r="W43">
        <v>97.008342055714806</v>
      </c>
      <c r="X43">
        <v>98.420557561565104</v>
      </c>
      <c r="Y43">
        <v>98.956617243272902</v>
      </c>
      <c r="Z43">
        <v>100</v>
      </c>
      <c r="AA43">
        <v>100.70194384449201</v>
      </c>
      <c r="AB43">
        <v>101.013553779029</v>
      </c>
      <c r="AC43">
        <v>101.628336643789</v>
      </c>
      <c r="AD43">
        <v>103.345756781411</v>
      </c>
      <c r="AE43">
        <v>104.94947915957999</v>
      </c>
    </row>
    <row r="44" spans="1:31" x14ac:dyDescent="0.3">
      <c r="A44" t="s">
        <v>269</v>
      </c>
      <c r="B44" t="s">
        <v>206</v>
      </c>
      <c r="C44" t="s">
        <v>0</v>
      </c>
      <c r="D44" t="s">
        <v>207</v>
      </c>
      <c r="E44" t="s">
        <v>123</v>
      </c>
      <c r="F44">
        <v>74.430358064599105</v>
      </c>
      <c r="G44">
        <v>74.745447210584203</v>
      </c>
      <c r="H44">
        <v>75.794764841025696</v>
      </c>
      <c r="I44">
        <v>76.177697359509807</v>
      </c>
      <c r="J44">
        <v>76.5216375640411</v>
      </c>
      <c r="K44">
        <v>78.556839172479201</v>
      </c>
      <c r="L44">
        <v>80.423820725024399</v>
      </c>
      <c r="M44">
        <v>81.248881904909794</v>
      </c>
      <c r="N44">
        <v>81.614428764110102</v>
      </c>
      <c r="O44">
        <v>83.063205606076494</v>
      </c>
      <c r="P44">
        <v>84.799284152808596</v>
      </c>
      <c r="Q44">
        <v>86.382780510070006</v>
      </c>
      <c r="R44">
        <v>88.398474707409605</v>
      </c>
      <c r="S44">
        <v>91.544370793942704</v>
      </c>
      <c r="T44">
        <v>92.600411047504707</v>
      </c>
      <c r="U44">
        <v>92.595675180320697</v>
      </c>
      <c r="V44">
        <v>94.697597006913995</v>
      </c>
      <c r="W44">
        <v>97.289093390227507</v>
      </c>
      <c r="X44">
        <v>98.544976695609094</v>
      </c>
      <c r="Y44">
        <v>99.091615661128898</v>
      </c>
      <c r="Z44">
        <v>100</v>
      </c>
      <c r="AA44">
        <v>100.418760469012</v>
      </c>
      <c r="AB44">
        <v>101.374407919079</v>
      </c>
      <c r="AC44">
        <v>102.828805204443</v>
      </c>
      <c r="AD44">
        <v>104.88055366509499</v>
      </c>
      <c r="AE44">
        <v>105.728398286797</v>
      </c>
    </row>
    <row r="45" spans="1:31" x14ac:dyDescent="0.3">
      <c r="A45" t="s">
        <v>269</v>
      </c>
      <c r="B45" t="s">
        <v>208</v>
      </c>
      <c r="C45" t="s">
        <v>0</v>
      </c>
      <c r="D45" t="s">
        <v>209</v>
      </c>
      <c r="E45" t="s">
        <v>123</v>
      </c>
      <c r="F45">
        <v>73.743567040568806</v>
      </c>
      <c r="G45">
        <v>74.321601271336803</v>
      </c>
      <c r="H45">
        <v>75.399623830624293</v>
      </c>
      <c r="I45">
        <v>75.986918683708893</v>
      </c>
      <c r="J45">
        <v>76.457923430162296</v>
      </c>
      <c r="K45">
        <v>78.545638054447807</v>
      </c>
      <c r="L45">
        <v>80.471097448454003</v>
      </c>
      <c r="M45">
        <v>81.252317931182006</v>
      </c>
      <c r="N45">
        <v>81.609599896226896</v>
      </c>
      <c r="O45">
        <v>83.1650694113128</v>
      </c>
      <c r="P45">
        <v>84.869893194755406</v>
      </c>
      <c r="Q45">
        <v>86.373644692330203</v>
      </c>
      <c r="R45">
        <v>88.212046387491597</v>
      </c>
      <c r="S45">
        <v>91.480282984030794</v>
      </c>
      <c r="T45">
        <v>92.470623555498705</v>
      </c>
      <c r="U45">
        <v>92.557952070605893</v>
      </c>
      <c r="V45">
        <v>94.679480275146403</v>
      </c>
      <c r="W45">
        <v>97.183501362894205</v>
      </c>
      <c r="X45">
        <v>98.431789056183504</v>
      </c>
      <c r="Y45">
        <v>99.074411107066695</v>
      </c>
      <c r="Z45">
        <v>100</v>
      </c>
      <c r="AA45">
        <v>100.403377110694</v>
      </c>
      <c r="AB45">
        <v>101.363230704694</v>
      </c>
      <c r="AC45">
        <v>102.652443322753</v>
      </c>
      <c r="AD45">
        <v>104.676836396835</v>
      </c>
      <c r="AE45">
        <v>105.491242939735</v>
      </c>
    </row>
    <row r="46" spans="1:31" x14ac:dyDescent="0.3">
      <c r="A46" t="s">
        <v>269</v>
      </c>
      <c r="B46" t="s">
        <v>210</v>
      </c>
      <c r="C46" t="s">
        <v>0</v>
      </c>
      <c r="D46" t="s">
        <v>211</v>
      </c>
      <c r="E46" t="s">
        <v>123</v>
      </c>
      <c r="F46">
        <v>89.777467195462293</v>
      </c>
      <c r="G46">
        <v>91.427788283614206</v>
      </c>
      <c r="H46">
        <v>93.967449069270103</v>
      </c>
      <c r="I46">
        <v>94.629191668349506</v>
      </c>
      <c r="J46">
        <v>95.614912414894803</v>
      </c>
      <c r="K46">
        <v>97.928176424932602</v>
      </c>
      <c r="L46">
        <v>100.59087608603301</v>
      </c>
      <c r="M46">
        <v>100.828679575599</v>
      </c>
      <c r="N46">
        <v>101.241911868941</v>
      </c>
      <c r="O46">
        <v>101.46057690537501</v>
      </c>
      <c r="P46">
        <v>101.885988129297</v>
      </c>
      <c r="Q46">
        <v>101.885988129297</v>
      </c>
      <c r="R46">
        <v>101.550836852556</v>
      </c>
      <c r="S46">
        <v>100.85812991631801</v>
      </c>
      <c r="T46">
        <v>99.122521562117001</v>
      </c>
      <c r="U46">
        <v>97.500516663827895</v>
      </c>
      <c r="V46">
        <v>97.826605348322303</v>
      </c>
      <c r="W46">
        <v>98.947368421052602</v>
      </c>
      <c r="X46">
        <v>98.947368421052602</v>
      </c>
      <c r="Y46">
        <v>98.947368421052602</v>
      </c>
      <c r="Z46">
        <v>100</v>
      </c>
      <c r="AA46">
        <v>99.558823529411796</v>
      </c>
      <c r="AB46">
        <v>99.690864409424293</v>
      </c>
      <c r="AC46">
        <v>100.687773053518</v>
      </c>
      <c r="AD46">
        <v>101.05170476335</v>
      </c>
      <c r="AE46">
        <v>102.422826944671</v>
      </c>
    </row>
    <row r="47" spans="1:31" x14ac:dyDescent="0.3">
      <c r="A47" t="s">
        <v>269</v>
      </c>
      <c r="B47" t="s">
        <v>212</v>
      </c>
      <c r="C47" t="s">
        <v>0</v>
      </c>
      <c r="D47" t="s">
        <v>213</v>
      </c>
      <c r="E47" t="s">
        <v>123</v>
      </c>
      <c r="F47">
        <v>68.026427756768598</v>
      </c>
      <c r="G47">
        <v>68.407819553570107</v>
      </c>
      <c r="H47">
        <v>69.818290059829295</v>
      </c>
      <c r="I47">
        <v>70.233875119709197</v>
      </c>
      <c r="J47">
        <v>71.187149273030599</v>
      </c>
      <c r="K47">
        <v>73.659338975817903</v>
      </c>
      <c r="L47">
        <v>75.004565211010998</v>
      </c>
      <c r="M47">
        <v>74.286531878316794</v>
      </c>
      <c r="N47">
        <v>74.286531878316794</v>
      </c>
      <c r="O47">
        <v>76.318525823123295</v>
      </c>
      <c r="P47">
        <v>78.688186429173697</v>
      </c>
      <c r="Q47">
        <v>82.024469352641404</v>
      </c>
      <c r="R47">
        <v>86.481623863985106</v>
      </c>
      <c r="S47">
        <v>91.418622177336204</v>
      </c>
      <c r="T47">
        <v>90.562909645255004</v>
      </c>
      <c r="U47">
        <v>91.292549587611205</v>
      </c>
      <c r="V47">
        <v>95.216821129364604</v>
      </c>
      <c r="W47">
        <v>98.507662419468303</v>
      </c>
      <c r="X47">
        <v>99.888990652460606</v>
      </c>
      <c r="Y47">
        <v>100.70838252656399</v>
      </c>
      <c r="Z47">
        <v>100</v>
      </c>
      <c r="AA47">
        <v>98.763736263736305</v>
      </c>
      <c r="AB47">
        <v>100.83793427896801</v>
      </c>
      <c r="AC47">
        <v>102.85718586774399</v>
      </c>
      <c r="AD47">
        <v>104.581468138121</v>
      </c>
      <c r="AE47">
        <v>103.232168016741</v>
      </c>
    </row>
    <row r="48" spans="1:31" x14ac:dyDescent="0.3">
      <c r="A48" t="s">
        <v>269</v>
      </c>
      <c r="B48" t="s">
        <v>214</v>
      </c>
      <c r="C48" t="s">
        <v>0</v>
      </c>
      <c r="D48" t="s">
        <v>215</v>
      </c>
      <c r="E48" t="s">
        <v>123</v>
      </c>
      <c r="F48">
        <v>66.760167838532993</v>
      </c>
      <c r="G48">
        <v>67.2677782388823</v>
      </c>
      <c r="H48">
        <v>68.223333256725795</v>
      </c>
      <c r="I48">
        <v>69.158120246777798</v>
      </c>
      <c r="J48">
        <v>70.442990107377497</v>
      </c>
      <c r="K48">
        <v>72.840482561989305</v>
      </c>
      <c r="L48">
        <v>75.172317448243604</v>
      </c>
      <c r="M48">
        <v>75.141993802641295</v>
      </c>
      <c r="N48">
        <v>75.357423830745205</v>
      </c>
      <c r="O48">
        <v>77.310562356285701</v>
      </c>
      <c r="P48">
        <v>79.988294373441704</v>
      </c>
      <c r="Q48">
        <v>82.8033980164805</v>
      </c>
      <c r="R48">
        <v>86.748593028671195</v>
      </c>
      <c r="S48">
        <v>91.5267545979913</v>
      </c>
      <c r="T48">
        <v>91.583816165695794</v>
      </c>
      <c r="U48">
        <v>90.992680422809798</v>
      </c>
      <c r="V48">
        <v>94.030975571894103</v>
      </c>
      <c r="W48">
        <v>97.368953577967403</v>
      </c>
      <c r="X48">
        <v>99.148120503810603</v>
      </c>
      <c r="Y48">
        <v>99.957386363636402</v>
      </c>
      <c r="Z48">
        <v>100</v>
      </c>
      <c r="AA48">
        <v>100.3130707018</v>
      </c>
      <c r="AB48">
        <v>102.019245991376</v>
      </c>
      <c r="AC48">
        <v>103.994202891209</v>
      </c>
      <c r="AD48">
        <v>106.886494280355</v>
      </c>
      <c r="AE48">
        <v>107.02526631926899</v>
      </c>
    </row>
    <row r="49" spans="1:31" x14ac:dyDescent="0.3">
      <c r="A49" t="s">
        <v>269</v>
      </c>
      <c r="B49" t="s">
        <v>216</v>
      </c>
      <c r="C49" t="s">
        <v>0</v>
      </c>
      <c r="D49" t="s">
        <v>217</v>
      </c>
      <c r="E49" t="s">
        <v>123</v>
      </c>
      <c r="F49">
        <v>59.9945119876161</v>
      </c>
      <c r="G49">
        <v>60.9726833787186</v>
      </c>
      <c r="H49">
        <v>61.609711414018598</v>
      </c>
      <c r="I49">
        <v>63.463011676066301</v>
      </c>
      <c r="J49">
        <v>64.991646766942793</v>
      </c>
      <c r="K49">
        <v>67.5434021287859</v>
      </c>
      <c r="L49">
        <v>70.852036242862198</v>
      </c>
      <c r="M49">
        <v>72.086095732978194</v>
      </c>
      <c r="N49">
        <v>72.862973679051095</v>
      </c>
      <c r="O49">
        <v>74.996349034518801</v>
      </c>
      <c r="P49">
        <v>78.225421673360998</v>
      </c>
      <c r="Q49">
        <v>80.441055003993796</v>
      </c>
      <c r="R49">
        <v>83.672671763111893</v>
      </c>
      <c r="S49">
        <v>88.539934530929102</v>
      </c>
      <c r="T49">
        <v>90.600044287339102</v>
      </c>
      <c r="U49">
        <v>90.071171105598907</v>
      </c>
      <c r="V49">
        <v>92.574251731824205</v>
      </c>
      <c r="W49">
        <v>95.835439557041198</v>
      </c>
      <c r="X49">
        <v>98.181526530031107</v>
      </c>
      <c r="Y49">
        <v>99.1268191268191</v>
      </c>
      <c r="Z49">
        <v>100</v>
      </c>
      <c r="AA49">
        <v>101.85697352824999</v>
      </c>
      <c r="AB49">
        <v>102.957705005977</v>
      </c>
      <c r="AC49">
        <v>104.268776904929</v>
      </c>
      <c r="AD49">
        <v>108.422630947732</v>
      </c>
      <c r="AE49">
        <v>110.131688812608</v>
      </c>
    </row>
    <row r="50" spans="1:31" x14ac:dyDescent="0.3">
      <c r="A50" t="s">
        <v>269</v>
      </c>
      <c r="B50" t="s">
        <v>218</v>
      </c>
      <c r="C50" t="s">
        <v>0</v>
      </c>
      <c r="D50" t="s">
        <v>219</v>
      </c>
      <c r="E50" t="s">
        <v>123</v>
      </c>
      <c r="F50">
        <v>76.5559101823806</v>
      </c>
      <c r="G50">
        <v>76.240215707401703</v>
      </c>
      <c r="H50">
        <v>75.942402364794603</v>
      </c>
      <c r="I50">
        <v>76.885786245102594</v>
      </c>
      <c r="J50">
        <v>79.129534870932503</v>
      </c>
      <c r="K50">
        <v>80.730807077426903</v>
      </c>
      <c r="L50">
        <v>84.114733122588504</v>
      </c>
      <c r="M50">
        <v>83.365619723277902</v>
      </c>
      <c r="N50">
        <v>82.942443988641998</v>
      </c>
      <c r="O50">
        <v>84.016827978132198</v>
      </c>
      <c r="P50">
        <v>86.578967586105705</v>
      </c>
      <c r="Q50">
        <v>88.981372236307095</v>
      </c>
      <c r="R50">
        <v>92.932282586567894</v>
      </c>
      <c r="S50">
        <v>97.042103747887197</v>
      </c>
      <c r="T50">
        <v>96.098420405120095</v>
      </c>
      <c r="U50">
        <v>91.689486928589503</v>
      </c>
      <c r="V50">
        <v>93.457382382076801</v>
      </c>
      <c r="W50">
        <v>97.046483663316195</v>
      </c>
      <c r="X50">
        <v>98.957384888754206</v>
      </c>
      <c r="Y50">
        <v>99.5188452285485</v>
      </c>
      <c r="Z50">
        <v>100</v>
      </c>
      <c r="AA50">
        <v>101.471571906354</v>
      </c>
      <c r="AB50">
        <v>103.271777203333</v>
      </c>
      <c r="AC50">
        <v>106.179135153925</v>
      </c>
      <c r="AD50">
        <v>109.70111842983</v>
      </c>
      <c r="AE50">
        <v>111.15782378181</v>
      </c>
    </row>
    <row r="51" spans="1:31" x14ac:dyDescent="0.3">
      <c r="A51" t="s">
        <v>269</v>
      </c>
      <c r="B51" t="s">
        <v>220</v>
      </c>
      <c r="C51" t="s">
        <v>0</v>
      </c>
      <c r="D51" t="s">
        <v>221</v>
      </c>
      <c r="E51" t="s">
        <v>123</v>
      </c>
      <c r="F51">
        <v>79.759681988426195</v>
      </c>
      <c r="G51">
        <v>79.476846236694101</v>
      </c>
      <c r="H51">
        <v>79.476846236694101</v>
      </c>
      <c r="I51">
        <v>79.737426060421001</v>
      </c>
      <c r="J51">
        <v>81.246651790271201</v>
      </c>
      <c r="K51">
        <v>82.578564114701905</v>
      </c>
      <c r="L51">
        <v>85.165362508656401</v>
      </c>
      <c r="M51">
        <v>84.515245237597995</v>
      </c>
      <c r="N51">
        <v>84.015155029091503</v>
      </c>
      <c r="O51">
        <v>84.863792958678303</v>
      </c>
      <c r="P51">
        <v>87.105478055700004</v>
      </c>
      <c r="Q51">
        <v>89.390652634321697</v>
      </c>
      <c r="R51">
        <v>92.812959396738293</v>
      </c>
      <c r="S51">
        <v>96.547609029691998</v>
      </c>
      <c r="T51">
        <v>95.696433635223698</v>
      </c>
      <c r="U51">
        <v>91.746247959202506</v>
      </c>
      <c r="V51">
        <v>93.468027411519898</v>
      </c>
      <c r="W51">
        <v>96.836244615538703</v>
      </c>
      <c r="X51">
        <v>98.752795290221201</v>
      </c>
      <c r="Y51">
        <v>99.386503067484696</v>
      </c>
      <c r="Z51">
        <v>100</v>
      </c>
      <c r="AA51">
        <v>101.30522088353401</v>
      </c>
      <c r="AB51">
        <v>102.982459639884</v>
      </c>
      <c r="AC51">
        <v>105.731991329298</v>
      </c>
      <c r="AD51">
        <v>109.119286246027</v>
      </c>
      <c r="AE51">
        <v>110.441472893341</v>
      </c>
    </row>
    <row r="52" spans="1:31" x14ac:dyDescent="0.3">
      <c r="A52" t="s">
        <v>269</v>
      </c>
      <c r="B52" t="s">
        <v>222</v>
      </c>
      <c r="C52" t="s">
        <v>0</v>
      </c>
      <c r="D52" t="s">
        <v>223</v>
      </c>
      <c r="E52" t="s">
        <v>123</v>
      </c>
      <c r="F52">
        <v>71.474044886841497</v>
      </c>
      <c r="G52">
        <v>71.121955995773305</v>
      </c>
      <c r="H52">
        <v>70.369342704812695</v>
      </c>
      <c r="I52">
        <v>72.346009634723202</v>
      </c>
      <c r="J52">
        <v>75.651157283009994</v>
      </c>
      <c r="K52">
        <v>77.650747343353899</v>
      </c>
      <c r="L52">
        <v>82.254546592959898</v>
      </c>
      <c r="M52">
        <v>81.312700639605396</v>
      </c>
      <c r="N52">
        <v>81.023331598183304</v>
      </c>
      <c r="O52">
        <v>82.485846608980793</v>
      </c>
      <c r="P52">
        <v>85.695412624894502</v>
      </c>
      <c r="Q52">
        <v>88.364127896949995</v>
      </c>
      <c r="R52">
        <v>93.209158408270994</v>
      </c>
      <c r="S52">
        <v>97.901610318984893</v>
      </c>
      <c r="T52">
        <v>96.789092019905496</v>
      </c>
      <c r="U52">
        <v>91.563389868596104</v>
      </c>
      <c r="V52">
        <v>93.417838270998004</v>
      </c>
      <c r="W52">
        <v>97.451790378154698</v>
      </c>
      <c r="X52">
        <v>99.350201879027907</v>
      </c>
      <c r="Y52">
        <v>99.768518518518505</v>
      </c>
      <c r="Z52">
        <v>100</v>
      </c>
      <c r="AA52">
        <v>101.80360721442899</v>
      </c>
      <c r="AB52">
        <v>103.911342353444</v>
      </c>
      <c r="AC52">
        <v>107.234732833831</v>
      </c>
      <c r="AD52">
        <v>111.09355844717</v>
      </c>
      <c r="AE52">
        <v>112.895075611178</v>
      </c>
    </row>
    <row r="53" spans="1:31" x14ac:dyDescent="0.3">
      <c r="A53" t="s">
        <v>269</v>
      </c>
      <c r="B53" t="s">
        <v>224</v>
      </c>
      <c r="C53" t="s">
        <v>0</v>
      </c>
      <c r="D53" t="s">
        <v>225</v>
      </c>
      <c r="E53" t="s">
        <v>123</v>
      </c>
      <c r="F53">
        <v>72.469781991789603</v>
      </c>
      <c r="G53">
        <v>71.834082149756398</v>
      </c>
      <c r="H53">
        <v>72.3782797418</v>
      </c>
      <c r="I53">
        <v>73.353728255840394</v>
      </c>
      <c r="J53">
        <v>75.807942212355499</v>
      </c>
      <c r="K53">
        <v>78.0863229892296</v>
      </c>
      <c r="L53">
        <v>80.696450777170398</v>
      </c>
      <c r="M53">
        <v>80.906597784402607</v>
      </c>
      <c r="N53">
        <v>81.261451283457006</v>
      </c>
      <c r="O53">
        <v>82.615808804848001</v>
      </c>
      <c r="P53">
        <v>85.492976275663594</v>
      </c>
      <c r="Q53">
        <v>87.877973467903104</v>
      </c>
      <c r="R53">
        <v>90.879498178381795</v>
      </c>
      <c r="S53">
        <v>94.977985351132304</v>
      </c>
      <c r="T53">
        <v>94.431087162929998</v>
      </c>
      <c r="U53">
        <v>92.972691994390502</v>
      </c>
      <c r="V53">
        <v>95.4662124693359</v>
      </c>
      <c r="W53">
        <v>98.311232046236597</v>
      </c>
      <c r="X53">
        <v>99.785900526930206</v>
      </c>
      <c r="Y53">
        <v>100.31201248049901</v>
      </c>
      <c r="Z53">
        <v>100</v>
      </c>
      <c r="AA53">
        <v>97.855227882037497</v>
      </c>
      <c r="AB53">
        <v>99.8123324396783</v>
      </c>
      <c r="AC53">
        <v>102.414322336437</v>
      </c>
      <c r="AD53">
        <v>105.193834216132</v>
      </c>
      <c r="AE53">
        <v>105.428118924854</v>
      </c>
    </row>
    <row r="54" spans="1:31" x14ac:dyDescent="0.3">
      <c r="A54" t="s">
        <v>269</v>
      </c>
      <c r="B54" t="s">
        <v>226</v>
      </c>
      <c r="C54" t="s">
        <v>0</v>
      </c>
      <c r="D54" t="s">
        <v>227</v>
      </c>
      <c r="E54" t="s">
        <v>123</v>
      </c>
      <c r="F54">
        <v>76.324435834274794</v>
      </c>
      <c r="G54">
        <v>75.835176630208906</v>
      </c>
      <c r="H54">
        <v>76.108456545993505</v>
      </c>
      <c r="I54">
        <v>77.209483042138004</v>
      </c>
      <c r="J54">
        <v>79.485130963380001</v>
      </c>
      <c r="K54">
        <v>81.523211244492302</v>
      </c>
      <c r="L54">
        <v>83.925368481899099</v>
      </c>
      <c r="M54">
        <v>83.925368481899099</v>
      </c>
      <c r="N54">
        <v>83.925368481899099</v>
      </c>
      <c r="O54">
        <v>85.214544649055696</v>
      </c>
      <c r="P54">
        <v>87.825958114107493</v>
      </c>
      <c r="Q54">
        <v>89.939063873243896</v>
      </c>
      <c r="R54">
        <v>92.905391837400998</v>
      </c>
      <c r="S54">
        <v>96.469537304309</v>
      </c>
      <c r="T54">
        <v>95.988392479848599</v>
      </c>
      <c r="U54">
        <v>93.747877176264893</v>
      </c>
      <c r="V54">
        <v>95.806939078069206</v>
      </c>
      <c r="W54">
        <v>98.414701916880503</v>
      </c>
      <c r="X54">
        <v>99.723724554227203</v>
      </c>
      <c r="Y54">
        <v>100.225479143179</v>
      </c>
      <c r="Z54">
        <v>100</v>
      </c>
      <c r="AA54">
        <v>98.575788402848403</v>
      </c>
      <c r="AB54">
        <v>100.3035042658</v>
      </c>
      <c r="AC54">
        <v>102.673544872924</v>
      </c>
      <c r="AD54">
        <v>105.15275619791601</v>
      </c>
      <c r="AE54">
        <v>105.614763035341</v>
      </c>
    </row>
    <row r="55" spans="1:31" x14ac:dyDescent="0.3">
      <c r="A55" t="s">
        <v>269</v>
      </c>
      <c r="B55" t="s">
        <v>228</v>
      </c>
      <c r="C55" t="s">
        <v>0</v>
      </c>
      <c r="D55" t="s">
        <v>229</v>
      </c>
      <c r="E55" t="s">
        <v>123</v>
      </c>
      <c r="F55">
        <v>84.620652161939304</v>
      </c>
      <c r="G55">
        <v>84.620652161939304</v>
      </c>
      <c r="H55">
        <v>84.088446802430198</v>
      </c>
      <c r="I55">
        <v>85.474520101371397</v>
      </c>
      <c r="J55">
        <v>87.549144375676505</v>
      </c>
      <c r="K55">
        <v>89.008296781937801</v>
      </c>
      <c r="L55">
        <v>90.9432597554582</v>
      </c>
      <c r="M55">
        <v>90.435196851796405</v>
      </c>
      <c r="N55">
        <v>89.590008096172198</v>
      </c>
      <c r="O55">
        <v>90.753514694823707</v>
      </c>
      <c r="P55">
        <v>92.835017325438997</v>
      </c>
      <c r="Q55">
        <v>94.234540199691807</v>
      </c>
      <c r="R55">
        <v>97.090132326955199</v>
      </c>
      <c r="S55">
        <v>99.588775438310705</v>
      </c>
      <c r="T55">
        <v>99.234366984793596</v>
      </c>
      <c r="U55">
        <v>95.546603346845203</v>
      </c>
      <c r="V55">
        <v>96.684062910498099</v>
      </c>
      <c r="W55">
        <v>98.689956331877696</v>
      </c>
      <c r="X55">
        <v>99.5594713656388</v>
      </c>
      <c r="Y55">
        <v>100</v>
      </c>
      <c r="Z55">
        <v>100</v>
      </c>
      <c r="AA55">
        <v>100.84388185653999</v>
      </c>
      <c r="AB55">
        <v>101.732374207699</v>
      </c>
      <c r="AC55">
        <v>103.082803953819</v>
      </c>
      <c r="AD55">
        <v>104.355431163125</v>
      </c>
      <c r="AE55">
        <v>105.65987405266399</v>
      </c>
    </row>
    <row r="56" spans="1:31" x14ac:dyDescent="0.3">
      <c r="A56" t="s">
        <v>269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269</v>
      </c>
      <c r="B57" t="s">
        <v>232</v>
      </c>
      <c r="C57" t="s">
        <v>0</v>
      </c>
      <c r="D57" t="s">
        <v>233</v>
      </c>
      <c r="E57" t="s">
        <v>123</v>
      </c>
      <c r="F57">
        <v>68.697094542366102</v>
      </c>
      <c r="G57">
        <v>68.795702812044098</v>
      </c>
      <c r="H57">
        <v>70.165213959026403</v>
      </c>
      <c r="I57">
        <v>71.667835925395806</v>
      </c>
      <c r="J57">
        <v>72.987426039860495</v>
      </c>
      <c r="K57">
        <v>75.891870148532902</v>
      </c>
      <c r="L57">
        <v>78.425945088054505</v>
      </c>
      <c r="M57">
        <v>78.350223148984199</v>
      </c>
      <c r="N57">
        <v>78.547447196579697</v>
      </c>
      <c r="O57">
        <v>80.2252390131612</v>
      </c>
      <c r="P57">
        <v>82.991399097539897</v>
      </c>
      <c r="Q57">
        <v>85.384276190850201</v>
      </c>
      <c r="R57">
        <v>89.02694002042</v>
      </c>
      <c r="S57">
        <v>93.000414643065795</v>
      </c>
      <c r="T57">
        <v>92.691590790719005</v>
      </c>
      <c r="U57">
        <v>91.101884728096096</v>
      </c>
      <c r="V57">
        <v>93.612574820995107</v>
      </c>
      <c r="W57">
        <v>97.264582644392704</v>
      </c>
      <c r="X57">
        <v>98.824965265842806</v>
      </c>
      <c r="Y57">
        <v>99.456291641598099</v>
      </c>
      <c r="Z57">
        <v>100</v>
      </c>
      <c r="AA57">
        <v>101.15520660819099</v>
      </c>
      <c r="AB57">
        <v>103.126434273673</v>
      </c>
      <c r="AC57">
        <v>105.847671970674</v>
      </c>
      <c r="AD57">
        <v>109.236647743644</v>
      </c>
      <c r="AE57">
        <v>110.507178106455</v>
      </c>
    </row>
    <row r="58" spans="1:31" x14ac:dyDescent="0.3">
      <c r="A58" t="s">
        <v>269</v>
      </c>
      <c r="B58" t="s">
        <v>234</v>
      </c>
      <c r="C58" t="s">
        <v>0</v>
      </c>
      <c r="D58" t="s">
        <v>235</v>
      </c>
      <c r="E58" t="s">
        <v>123</v>
      </c>
      <c r="F58">
        <v>68.697094542366102</v>
      </c>
      <c r="G58">
        <v>68.795702812044098</v>
      </c>
      <c r="H58">
        <v>70.165213959026403</v>
      </c>
      <c r="I58">
        <v>71.667835925395806</v>
      </c>
      <c r="J58">
        <v>72.987426039860495</v>
      </c>
      <c r="K58">
        <v>75.891870148532902</v>
      </c>
      <c r="L58">
        <v>78.425945088054505</v>
      </c>
      <c r="M58">
        <v>78.350223148984199</v>
      </c>
      <c r="N58">
        <v>78.547447196579697</v>
      </c>
      <c r="O58">
        <v>80.2252390131612</v>
      </c>
      <c r="P58">
        <v>82.991399097539897</v>
      </c>
      <c r="Q58">
        <v>85.384276190850201</v>
      </c>
      <c r="R58">
        <v>89.02694002042</v>
      </c>
      <c r="S58">
        <v>93.000414643065795</v>
      </c>
      <c r="T58">
        <v>92.691590790719005</v>
      </c>
      <c r="U58">
        <v>91.101884728096096</v>
      </c>
      <c r="V58">
        <v>93.612574820995107</v>
      </c>
      <c r="W58">
        <v>97.264582644392704</v>
      </c>
      <c r="X58">
        <v>98.824965265842806</v>
      </c>
      <c r="Y58">
        <v>99.456291641598099</v>
      </c>
      <c r="Z58">
        <v>100</v>
      </c>
      <c r="AA58">
        <v>101.15520660819099</v>
      </c>
      <c r="AB58">
        <v>103.126434273673</v>
      </c>
      <c r="AC58">
        <v>105.847671970674</v>
      </c>
      <c r="AD58">
        <v>109.236647743644</v>
      </c>
      <c r="AE58">
        <v>110.507178106455</v>
      </c>
    </row>
    <row r="59" spans="1:31" x14ac:dyDescent="0.3">
      <c r="A59" t="s">
        <v>269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270</v>
      </c>
      <c r="B2" t="s">
        <v>121</v>
      </c>
      <c r="C2" t="s">
        <v>0</v>
      </c>
      <c r="D2" t="s">
        <v>122</v>
      </c>
      <c r="E2" t="s">
        <v>123</v>
      </c>
      <c r="F2">
        <v>61</v>
      </c>
      <c r="G2">
        <v>56</v>
      </c>
      <c r="H2">
        <v>53</v>
      </c>
      <c r="I2">
        <v>56</v>
      </c>
      <c r="J2">
        <v>57</v>
      </c>
      <c r="K2">
        <v>51</v>
      </c>
      <c r="L2">
        <v>38</v>
      </c>
      <c r="M2">
        <v>32</v>
      </c>
      <c r="N2">
        <v>29</v>
      </c>
      <c r="O2">
        <v>33</v>
      </c>
      <c r="P2">
        <v>36</v>
      </c>
      <c r="Q2">
        <v>36</v>
      </c>
      <c r="R2">
        <v>35</v>
      </c>
      <c r="S2">
        <v>35</v>
      </c>
      <c r="T2">
        <v>34</v>
      </c>
      <c r="U2">
        <v>37</v>
      </c>
      <c r="V2">
        <v>37</v>
      </c>
      <c r="W2">
        <v>38</v>
      </c>
      <c r="X2">
        <v>38</v>
      </c>
      <c r="Y2">
        <v>38</v>
      </c>
      <c r="Z2">
        <v>37</v>
      </c>
      <c r="AA2">
        <v>40</v>
      </c>
      <c r="AB2">
        <v>40</v>
      </c>
      <c r="AC2">
        <v>39</v>
      </c>
      <c r="AD2">
        <v>37</v>
      </c>
      <c r="AE2">
        <v>33</v>
      </c>
    </row>
    <row r="3" spans="1:31" x14ac:dyDescent="0.3">
      <c r="A3" t="s">
        <v>270</v>
      </c>
      <c r="B3" t="s">
        <v>124</v>
      </c>
      <c r="C3" t="s">
        <v>0</v>
      </c>
      <c r="D3" t="s">
        <v>125</v>
      </c>
      <c r="E3" t="s">
        <v>123</v>
      </c>
      <c r="F3">
        <v>3</v>
      </c>
      <c r="G3">
        <v>4</v>
      </c>
      <c r="H3">
        <v>2</v>
      </c>
      <c r="I3">
        <v>4</v>
      </c>
      <c r="J3">
        <v>4</v>
      </c>
      <c r="K3">
        <v>3</v>
      </c>
      <c r="L3">
        <v>3</v>
      </c>
      <c r="M3">
        <v>3</v>
      </c>
      <c r="N3">
        <v>4</v>
      </c>
      <c r="O3">
        <v>3</v>
      </c>
      <c r="P3">
        <v>3</v>
      </c>
      <c r="Q3">
        <v>3</v>
      </c>
      <c r="R3">
        <v>1</v>
      </c>
      <c r="S3">
        <v>3</v>
      </c>
      <c r="T3">
        <v>2</v>
      </c>
      <c r="U3">
        <v>2</v>
      </c>
      <c r="V3">
        <v>2</v>
      </c>
      <c r="W3">
        <v>5</v>
      </c>
      <c r="X3">
        <v>9</v>
      </c>
      <c r="Y3">
        <v>9</v>
      </c>
      <c r="Z3">
        <v>9</v>
      </c>
      <c r="AA3">
        <v>8</v>
      </c>
      <c r="AB3">
        <v>8</v>
      </c>
      <c r="AC3">
        <v>8</v>
      </c>
      <c r="AD3">
        <v>8</v>
      </c>
      <c r="AE3">
        <v>11</v>
      </c>
    </row>
    <row r="4" spans="1:31" x14ac:dyDescent="0.3">
      <c r="A4" t="s">
        <v>270</v>
      </c>
      <c r="B4" t="s">
        <v>126</v>
      </c>
      <c r="C4" t="s">
        <v>0</v>
      </c>
      <c r="D4" t="s">
        <v>127</v>
      </c>
      <c r="E4" t="s">
        <v>123</v>
      </c>
      <c r="F4">
        <v>372</v>
      </c>
      <c r="G4">
        <v>400</v>
      </c>
      <c r="H4">
        <v>376</v>
      </c>
      <c r="I4">
        <v>402</v>
      </c>
      <c r="J4">
        <v>390</v>
      </c>
      <c r="K4">
        <v>346</v>
      </c>
      <c r="L4">
        <v>279</v>
      </c>
      <c r="M4">
        <v>222</v>
      </c>
      <c r="N4">
        <v>199</v>
      </c>
      <c r="O4">
        <v>202</v>
      </c>
      <c r="P4">
        <v>194</v>
      </c>
      <c r="Q4">
        <v>248</v>
      </c>
      <c r="R4">
        <v>311</v>
      </c>
      <c r="S4">
        <v>309</v>
      </c>
      <c r="T4">
        <v>285</v>
      </c>
      <c r="U4">
        <v>264</v>
      </c>
      <c r="V4">
        <v>253</v>
      </c>
      <c r="W4">
        <v>259</v>
      </c>
      <c r="X4">
        <v>237</v>
      </c>
      <c r="Y4">
        <v>237</v>
      </c>
      <c r="Z4">
        <v>262</v>
      </c>
      <c r="AA4">
        <v>268</v>
      </c>
      <c r="AB4">
        <v>293</v>
      </c>
      <c r="AC4">
        <v>298</v>
      </c>
      <c r="AD4">
        <v>298</v>
      </c>
      <c r="AE4">
        <v>286</v>
      </c>
    </row>
    <row r="5" spans="1:31" x14ac:dyDescent="0.3">
      <c r="A5" t="s">
        <v>270</v>
      </c>
      <c r="B5" t="s">
        <v>128</v>
      </c>
      <c r="C5" t="s">
        <v>0</v>
      </c>
      <c r="D5" t="s">
        <v>129</v>
      </c>
      <c r="E5" t="s">
        <v>123</v>
      </c>
      <c r="F5">
        <v>45</v>
      </c>
      <c r="G5">
        <v>46</v>
      </c>
      <c r="H5">
        <v>41</v>
      </c>
      <c r="I5">
        <v>45</v>
      </c>
      <c r="J5">
        <v>44</v>
      </c>
      <c r="K5">
        <v>37</v>
      </c>
      <c r="L5">
        <v>31</v>
      </c>
      <c r="M5">
        <v>26</v>
      </c>
      <c r="N5">
        <v>25</v>
      </c>
      <c r="O5">
        <v>25</v>
      </c>
      <c r="P5">
        <v>25</v>
      </c>
      <c r="Q5">
        <v>27</v>
      </c>
      <c r="R5">
        <v>32</v>
      </c>
      <c r="S5">
        <v>31</v>
      </c>
      <c r="T5">
        <v>34</v>
      </c>
      <c r="U5">
        <v>30</v>
      </c>
      <c r="V5">
        <v>30</v>
      </c>
      <c r="W5">
        <v>29</v>
      </c>
      <c r="X5">
        <v>29</v>
      </c>
      <c r="Y5">
        <v>30</v>
      </c>
      <c r="Z5">
        <v>33</v>
      </c>
      <c r="AA5">
        <v>35</v>
      </c>
      <c r="AB5">
        <v>46</v>
      </c>
      <c r="AC5">
        <v>44</v>
      </c>
      <c r="AD5">
        <v>40</v>
      </c>
      <c r="AE5">
        <v>38</v>
      </c>
    </row>
    <row r="6" spans="1:31" x14ac:dyDescent="0.3">
      <c r="A6" t="s">
        <v>270</v>
      </c>
      <c r="B6" t="s">
        <v>130</v>
      </c>
      <c r="C6" t="s">
        <v>0</v>
      </c>
      <c r="D6" t="s">
        <v>131</v>
      </c>
      <c r="E6" t="s">
        <v>123</v>
      </c>
      <c r="F6">
        <v>9</v>
      </c>
      <c r="G6">
        <v>10</v>
      </c>
      <c r="H6">
        <v>8</v>
      </c>
      <c r="I6">
        <v>9</v>
      </c>
      <c r="J6">
        <v>7</v>
      </c>
      <c r="K6">
        <v>6</v>
      </c>
      <c r="L6">
        <v>5</v>
      </c>
      <c r="M6">
        <v>3</v>
      </c>
      <c r="N6">
        <v>3</v>
      </c>
      <c r="O6">
        <v>3</v>
      </c>
      <c r="P6">
        <v>2</v>
      </c>
      <c r="Q6">
        <v>3</v>
      </c>
      <c r="R6">
        <v>4</v>
      </c>
      <c r="S6">
        <v>4</v>
      </c>
      <c r="T6">
        <v>3</v>
      </c>
      <c r="U6">
        <v>2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270</v>
      </c>
      <c r="B7" t="s">
        <v>132</v>
      </c>
      <c r="C7" t="s">
        <v>0</v>
      </c>
      <c r="D7" t="s">
        <v>133</v>
      </c>
      <c r="E7" t="s">
        <v>123</v>
      </c>
      <c r="F7">
        <v>107</v>
      </c>
      <c r="G7">
        <v>141</v>
      </c>
      <c r="H7">
        <v>128</v>
      </c>
      <c r="I7">
        <v>140</v>
      </c>
      <c r="J7">
        <v>131</v>
      </c>
      <c r="K7">
        <v>113</v>
      </c>
      <c r="L7">
        <v>93</v>
      </c>
      <c r="M7">
        <v>71</v>
      </c>
      <c r="N7">
        <v>66</v>
      </c>
      <c r="O7">
        <v>60</v>
      </c>
      <c r="P7">
        <v>54</v>
      </c>
      <c r="Q7">
        <v>62</v>
      </c>
      <c r="R7">
        <v>63</v>
      </c>
      <c r="S7">
        <v>66</v>
      </c>
      <c r="T7">
        <v>50</v>
      </c>
      <c r="U7">
        <v>45</v>
      </c>
      <c r="V7">
        <v>44</v>
      </c>
      <c r="W7">
        <v>42</v>
      </c>
      <c r="X7">
        <v>40</v>
      </c>
      <c r="Y7">
        <v>39</v>
      </c>
      <c r="Z7">
        <v>41</v>
      </c>
      <c r="AA7">
        <v>47</v>
      </c>
      <c r="AB7">
        <v>67</v>
      </c>
      <c r="AC7">
        <v>65</v>
      </c>
      <c r="AD7">
        <v>64</v>
      </c>
      <c r="AE7">
        <v>59</v>
      </c>
    </row>
    <row r="8" spans="1:31" x14ac:dyDescent="0.3">
      <c r="A8" t="s">
        <v>270</v>
      </c>
      <c r="B8" t="s">
        <v>134</v>
      </c>
      <c r="C8" t="s">
        <v>0</v>
      </c>
      <c r="D8" t="s">
        <v>135</v>
      </c>
      <c r="E8" t="s">
        <v>123</v>
      </c>
      <c r="F8">
        <v>5</v>
      </c>
      <c r="G8">
        <v>5</v>
      </c>
      <c r="H8">
        <v>10</v>
      </c>
      <c r="I8">
        <v>7</v>
      </c>
      <c r="J8">
        <v>8</v>
      </c>
      <c r="K8">
        <v>6</v>
      </c>
      <c r="L8">
        <v>6</v>
      </c>
      <c r="M8">
        <v>4</v>
      </c>
      <c r="N8">
        <v>4</v>
      </c>
      <c r="O8">
        <v>3</v>
      </c>
      <c r="P8">
        <v>7</v>
      </c>
      <c r="Q8">
        <v>13</v>
      </c>
      <c r="R8">
        <v>34</v>
      </c>
      <c r="S8">
        <v>29</v>
      </c>
      <c r="T8">
        <v>21</v>
      </c>
      <c r="U8">
        <v>22</v>
      </c>
      <c r="V8">
        <v>17</v>
      </c>
      <c r="W8">
        <v>17</v>
      </c>
      <c r="X8">
        <v>17</v>
      </c>
      <c r="Y8">
        <v>18</v>
      </c>
      <c r="Z8">
        <v>27</v>
      </c>
      <c r="AA8">
        <v>15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270</v>
      </c>
      <c r="B9" t="s">
        <v>136</v>
      </c>
      <c r="C9" t="s">
        <v>0</v>
      </c>
      <c r="D9" t="s">
        <v>137</v>
      </c>
      <c r="E9" t="s">
        <v>123</v>
      </c>
      <c r="F9">
        <v>32</v>
      </c>
      <c r="G9">
        <v>28</v>
      </c>
      <c r="H9">
        <v>24</v>
      </c>
      <c r="I9">
        <v>23</v>
      </c>
      <c r="J9">
        <v>25</v>
      </c>
      <c r="K9">
        <v>20</v>
      </c>
      <c r="L9">
        <v>15</v>
      </c>
      <c r="M9">
        <v>13</v>
      </c>
      <c r="N9">
        <v>12</v>
      </c>
      <c r="O9">
        <v>13</v>
      </c>
      <c r="P9">
        <v>12</v>
      </c>
      <c r="Q9">
        <v>14</v>
      </c>
      <c r="R9">
        <v>21</v>
      </c>
      <c r="S9">
        <v>19</v>
      </c>
      <c r="T9">
        <v>19</v>
      </c>
      <c r="U9">
        <v>15</v>
      </c>
      <c r="V9">
        <v>15</v>
      </c>
      <c r="W9">
        <v>16</v>
      </c>
      <c r="X9">
        <v>18</v>
      </c>
      <c r="Y9">
        <v>18</v>
      </c>
      <c r="Z9">
        <v>23</v>
      </c>
      <c r="AA9">
        <v>30</v>
      </c>
      <c r="AB9">
        <v>39</v>
      </c>
      <c r="AC9">
        <v>41</v>
      </c>
      <c r="AD9">
        <v>40</v>
      </c>
      <c r="AE9">
        <v>39</v>
      </c>
    </row>
    <row r="10" spans="1:31" x14ac:dyDescent="0.3">
      <c r="A10" t="s">
        <v>270</v>
      </c>
      <c r="B10" t="s">
        <v>138</v>
      </c>
      <c r="C10" t="s">
        <v>0</v>
      </c>
      <c r="D10" t="s">
        <v>139</v>
      </c>
      <c r="E10" t="s">
        <v>123</v>
      </c>
      <c r="F10">
        <v>35</v>
      </c>
      <c r="G10">
        <v>31</v>
      </c>
      <c r="H10">
        <v>27</v>
      </c>
      <c r="I10">
        <v>25</v>
      </c>
      <c r="J10">
        <v>27</v>
      </c>
      <c r="K10">
        <v>22</v>
      </c>
      <c r="L10">
        <v>16</v>
      </c>
      <c r="M10">
        <v>15</v>
      </c>
      <c r="N10">
        <v>13</v>
      </c>
      <c r="O10">
        <v>14</v>
      </c>
      <c r="P10">
        <v>12</v>
      </c>
      <c r="Q10">
        <v>15</v>
      </c>
      <c r="R10">
        <v>23</v>
      </c>
      <c r="S10">
        <v>21</v>
      </c>
      <c r="T10">
        <v>21</v>
      </c>
      <c r="U10">
        <v>17</v>
      </c>
      <c r="V10">
        <v>17</v>
      </c>
      <c r="W10">
        <v>18</v>
      </c>
      <c r="X10">
        <v>20</v>
      </c>
      <c r="Y10">
        <v>21</v>
      </c>
      <c r="Z10">
        <v>26</v>
      </c>
      <c r="AA10">
        <v>33</v>
      </c>
      <c r="AB10">
        <v>42</v>
      </c>
      <c r="AC10">
        <v>45</v>
      </c>
      <c r="AD10">
        <v>44</v>
      </c>
      <c r="AE10">
        <v>43</v>
      </c>
    </row>
    <row r="11" spans="1:31" x14ac:dyDescent="0.3">
      <c r="A11" t="s">
        <v>270</v>
      </c>
      <c r="B11" t="s">
        <v>140</v>
      </c>
      <c r="C11" t="s">
        <v>0</v>
      </c>
      <c r="D11" t="s">
        <v>141</v>
      </c>
      <c r="E11" t="s">
        <v>123</v>
      </c>
      <c r="F11">
        <v>3</v>
      </c>
      <c r="G11">
        <v>3</v>
      </c>
      <c r="H11">
        <v>3</v>
      </c>
      <c r="I11">
        <v>2</v>
      </c>
      <c r="J11">
        <v>2</v>
      </c>
      <c r="K11">
        <v>2</v>
      </c>
      <c r="L11">
        <v>1</v>
      </c>
      <c r="M11">
        <v>2</v>
      </c>
      <c r="N11">
        <v>1</v>
      </c>
      <c r="O11">
        <v>1</v>
      </c>
      <c r="P11">
        <v>0</v>
      </c>
      <c r="Q11">
        <v>1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3</v>
      </c>
      <c r="Z11">
        <v>3</v>
      </c>
      <c r="AA11">
        <v>3</v>
      </c>
      <c r="AB11">
        <v>3</v>
      </c>
      <c r="AC11">
        <v>4</v>
      </c>
      <c r="AD11">
        <v>4</v>
      </c>
      <c r="AE11">
        <v>4</v>
      </c>
    </row>
    <row r="12" spans="1:31" x14ac:dyDescent="0.3">
      <c r="A12" t="s">
        <v>270</v>
      </c>
      <c r="B12" t="s">
        <v>142</v>
      </c>
      <c r="C12" t="s">
        <v>0</v>
      </c>
      <c r="D12" t="s">
        <v>143</v>
      </c>
      <c r="E12" t="s">
        <v>123</v>
      </c>
      <c r="F12">
        <v>26</v>
      </c>
      <c r="G12">
        <v>24</v>
      </c>
      <c r="H12">
        <v>22</v>
      </c>
      <c r="I12">
        <v>27</v>
      </c>
      <c r="J12">
        <v>29</v>
      </c>
      <c r="K12">
        <v>30</v>
      </c>
      <c r="L12">
        <v>22</v>
      </c>
      <c r="M12">
        <v>16</v>
      </c>
      <c r="N12">
        <v>16</v>
      </c>
      <c r="O12">
        <v>17</v>
      </c>
      <c r="P12">
        <v>16</v>
      </c>
      <c r="Q12">
        <v>22</v>
      </c>
      <c r="R12">
        <v>27</v>
      </c>
      <c r="S12">
        <v>26</v>
      </c>
      <c r="T12">
        <v>25</v>
      </c>
      <c r="U12">
        <v>23</v>
      </c>
      <c r="V12">
        <v>22</v>
      </c>
      <c r="W12">
        <v>23</v>
      </c>
      <c r="X12">
        <v>19</v>
      </c>
      <c r="Y12">
        <v>20</v>
      </c>
      <c r="Z12">
        <v>19</v>
      </c>
      <c r="AA12">
        <v>19</v>
      </c>
      <c r="AB12">
        <v>16</v>
      </c>
      <c r="AC12">
        <v>15</v>
      </c>
      <c r="AD12">
        <v>15</v>
      </c>
      <c r="AE12">
        <v>15</v>
      </c>
    </row>
    <row r="13" spans="1:31" x14ac:dyDescent="0.3">
      <c r="A13" t="s">
        <v>270</v>
      </c>
      <c r="B13" t="s">
        <v>144</v>
      </c>
      <c r="C13" t="s">
        <v>0</v>
      </c>
      <c r="D13" t="s">
        <v>145</v>
      </c>
      <c r="E13" t="s">
        <v>123</v>
      </c>
      <c r="F13">
        <v>68</v>
      </c>
      <c r="G13">
        <v>65</v>
      </c>
      <c r="H13">
        <v>65</v>
      </c>
      <c r="I13">
        <v>69</v>
      </c>
      <c r="J13">
        <v>60</v>
      </c>
      <c r="K13">
        <v>54</v>
      </c>
      <c r="L13">
        <v>42</v>
      </c>
      <c r="M13">
        <v>40</v>
      </c>
      <c r="N13">
        <v>31</v>
      </c>
      <c r="O13">
        <v>41</v>
      </c>
      <c r="P13">
        <v>36</v>
      </c>
      <c r="Q13">
        <v>37</v>
      </c>
      <c r="R13">
        <v>44</v>
      </c>
      <c r="S13">
        <v>43</v>
      </c>
      <c r="T13">
        <v>47</v>
      </c>
      <c r="U13">
        <v>45</v>
      </c>
      <c r="V13">
        <v>40</v>
      </c>
      <c r="W13">
        <v>49</v>
      </c>
      <c r="X13">
        <v>40</v>
      </c>
      <c r="Y13">
        <v>37</v>
      </c>
      <c r="Z13">
        <v>37</v>
      </c>
      <c r="AA13">
        <v>39</v>
      </c>
      <c r="AB13">
        <v>40</v>
      </c>
      <c r="AC13">
        <v>43</v>
      </c>
      <c r="AD13">
        <v>49</v>
      </c>
      <c r="AE13">
        <v>45</v>
      </c>
    </row>
    <row r="14" spans="1:31" x14ac:dyDescent="0.3">
      <c r="A14" t="s">
        <v>270</v>
      </c>
      <c r="B14" t="s">
        <v>146</v>
      </c>
      <c r="C14" t="s">
        <v>0</v>
      </c>
      <c r="D14" t="s">
        <v>147</v>
      </c>
      <c r="E14" t="s">
        <v>123</v>
      </c>
      <c r="F14">
        <v>32</v>
      </c>
      <c r="G14">
        <v>28</v>
      </c>
      <c r="H14">
        <v>25</v>
      </c>
      <c r="I14">
        <v>30</v>
      </c>
      <c r="J14">
        <v>36</v>
      </c>
      <c r="K14">
        <v>35</v>
      </c>
      <c r="L14">
        <v>30</v>
      </c>
      <c r="M14">
        <v>23</v>
      </c>
      <c r="N14">
        <v>18</v>
      </c>
      <c r="O14">
        <v>17</v>
      </c>
      <c r="P14">
        <v>18</v>
      </c>
      <c r="Q14">
        <v>41</v>
      </c>
      <c r="R14">
        <v>53</v>
      </c>
      <c r="S14">
        <v>53</v>
      </c>
      <c r="T14">
        <v>47</v>
      </c>
      <c r="U14">
        <v>48</v>
      </c>
      <c r="V14">
        <v>50</v>
      </c>
      <c r="W14">
        <v>49</v>
      </c>
      <c r="X14">
        <v>42</v>
      </c>
      <c r="Y14">
        <v>44</v>
      </c>
      <c r="Z14">
        <v>49</v>
      </c>
      <c r="AA14">
        <v>51</v>
      </c>
      <c r="AB14">
        <v>55</v>
      </c>
      <c r="AC14">
        <v>56</v>
      </c>
      <c r="AD14">
        <v>56</v>
      </c>
      <c r="AE14">
        <v>59</v>
      </c>
    </row>
    <row r="15" spans="1:31" x14ac:dyDescent="0.3">
      <c r="A15" t="s">
        <v>270</v>
      </c>
      <c r="B15" t="s">
        <v>148</v>
      </c>
      <c r="C15" t="s">
        <v>0</v>
      </c>
      <c r="D15" t="s">
        <v>149</v>
      </c>
      <c r="E15" t="s">
        <v>123</v>
      </c>
      <c r="F15">
        <v>40</v>
      </c>
      <c r="G15">
        <v>37</v>
      </c>
      <c r="H15">
        <v>34</v>
      </c>
      <c r="I15">
        <v>40</v>
      </c>
      <c r="J15">
        <v>45</v>
      </c>
      <c r="K15">
        <v>43</v>
      </c>
      <c r="L15">
        <v>36</v>
      </c>
      <c r="M15">
        <v>27</v>
      </c>
      <c r="N15">
        <v>22</v>
      </c>
      <c r="O15">
        <v>20</v>
      </c>
      <c r="P15">
        <v>22</v>
      </c>
      <c r="Q15">
        <v>46</v>
      </c>
      <c r="R15">
        <v>60</v>
      </c>
      <c r="S15">
        <v>60</v>
      </c>
      <c r="T15">
        <v>55</v>
      </c>
      <c r="U15">
        <v>56</v>
      </c>
      <c r="V15">
        <v>59</v>
      </c>
      <c r="W15">
        <v>57</v>
      </c>
      <c r="X15">
        <v>51</v>
      </c>
      <c r="Y15">
        <v>51</v>
      </c>
      <c r="Z15">
        <v>56</v>
      </c>
      <c r="AA15">
        <v>57</v>
      </c>
      <c r="AB15">
        <v>61</v>
      </c>
      <c r="AC15">
        <v>63</v>
      </c>
      <c r="AD15">
        <v>62</v>
      </c>
      <c r="AE15">
        <v>65</v>
      </c>
    </row>
    <row r="16" spans="1:31" x14ac:dyDescent="0.3">
      <c r="A16" t="s">
        <v>270</v>
      </c>
      <c r="B16" t="s">
        <v>150</v>
      </c>
      <c r="C16" t="s">
        <v>0</v>
      </c>
      <c r="D16" t="s">
        <v>151</v>
      </c>
      <c r="E16" t="s">
        <v>123</v>
      </c>
      <c r="F16">
        <v>8</v>
      </c>
      <c r="G16">
        <v>9</v>
      </c>
      <c r="H16">
        <v>9</v>
      </c>
      <c r="I16">
        <v>10</v>
      </c>
      <c r="J16">
        <v>9</v>
      </c>
      <c r="K16">
        <v>8</v>
      </c>
      <c r="L16">
        <v>6</v>
      </c>
      <c r="M16">
        <v>4</v>
      </c>
      <c r="N16">
        <v>4</v>
      </c>
      <c r="O16">
        <v>3</v>
      </c>
      <c r="P16">
        <v>4</v>
      </c>
      <c r="Q16">
        <v>5</v>
      </c>
      <c r="R16">
        <v>7</v>
      </c>
      <c r="S16">
        <v>7</v>
      </c>
      <c r="T16">
        <v>8</v>
      </c>
      <c r="U16">
        <v>8</v>
      </c>
      <c r="V16">
        <v>9</v>
      </c>
      <c r="W16">
        <v>8</v>
      </c>
      <c r="X16">
        <v>9</v>
      </c>
      <c r="Y16">
        <v>7</v>
      </c>
      <c r="Z16">
        <v>7</v>
      </c>
      <c r="AA16">
        <v>6</v>
      </c>
      <c r="AB16">
        <v>6</v>
      </c>
      <c r="AC16">
        <v>7</v>
      </c>
      <c r="AD16">
        <v>6</v>
      </c>
      <c r="AE16">
        <v>6</v>
      </c>
    </row>
    <row r="17" spans="1:31" x14ac:dyDescent="0.3">
      <c r="A17" t="s">
        <v>270</v>
      </c>
      <c r="B17" t="s">
        <v>152</v>
      </c>
      <c r="C17" t="s">
        <v>0</v>
      </c>
      <c r="D17" t="s">
        <v>153</v>
      </c>
      <c r="E17" t="s">
        <v>123</v>
      </c>
      <c r="F17">
        <v>21</v>
      </c>
      <c r="G17">
        <v>23</v>
      </c>
      <c r="H17">
        <v>23</v>
      </c>
      <c r="I17">
        <v>21</v>
      </c>
      <c r="J17">
        <v>21</v>
      </c>
      <c r="K17">
        <v>18</v>
      </c>
      <c r="L17">
        <v>14</v>
      </c>
      <c r="M17">
        <v>10</v>
      </c>
      <c r="N17">
        <v>10</v>
      </c>
      <c r="O17">
        <v>10</v>
      </c>
      <c r="P17">
        <v>11</v>
      </c>
      <c r="Q17">
        <v>13</v>
      </c>
      <c r="R17">
        <v>13</v>
      </c>
      <c r="S17">
        <v>17</v>
      </c>
      <c r="T17">
        <v>18</v>
      </c>
      <c r="U17">
        <v>14</v>
      </c>
      <c r="V17">
        <v>13</v>
      </c>
      <c r="W17">
        <v>13</v>
      </c>
      <c r="X17">
        <v>12</v>
      </c>
      <c r="Y17">
        <v>12</v>
      </c>
      <c r="Z17">
        <v>12</v>
      </c>
      <c r="AA17">
        <v>12</v>
      </c>
      <c r="AB17">
        <v>11</v>
      </c>
      <c r="AC17">
        <v>13</v>
      </c>
      <c r="AD17">
        <v>15</v>
      </c>
      <c r="AE17">
        <v>14</v>
      </c>
    </row>
    <row r="18" spans="1:31" x14ac:dyDescent="0.3">
      <c r="A18" t="s">
        <v>270</v>
      </c>
      <c r="B18" t="s">
        <v>154</v>
      </c>
      <c r="C18" t="s">
        <v>0</v>
      </c>
      <c r="D18" t="s">
        <v>155</v>
      </c>
      <c r="E18" t="s">
        <v>123</v>
      </c>
      <c r="F18">
        <v>7</v>
      </c>
      <c r="G18">
        <v>7</v>
      </c>
      <c r="H18">
        <v>6</v>
      </c>
      <c r="I18">
        <v>6</v>
      </c>
      <c r="J18">
        <v>5</v>
      </c>
      <c r="K18">
        <v>5</v>
      </c>
      <c r="L18">
        <v>5</v>
      </c>
      <c r="M18">
        <v>3</v>
      </c>
      <c r="N18">
        <v>3</v>
      </c>
      <c r="O18">
        <v>3</v>
      </c>
      <c r="P18">
        <v>4</v>
      </c>
      <c r="Q18">
        <v>4</v>
      </c>
      <c r="R18">
        <v>4</v>
      </c>
      <c r="S18">
        <v>4</v>
      </c>
      <c r="T18">
        <v>5</v>
      </c>
      <c r="U18">
        <v>5</v>
      </c>
      <c r="V18">
        <v>5</v>
      </c>
      <c r="W18">
        <v>5</v>
      </c>
      <c r="X18">
        <v>4</v>
      </c>
      <c r="Y18">
        <v>3</v>
      </c>
      <c r="Z18">
        <v>3</v>
      </c>
      <c r="AA18">
        <v>1</v>
      </c>
      <c r="AB18">
        <v>1</v>
      </c>
      <c r="AC18">
        <v>1</v>
      </c>
      <c r="AD18">
        <v>0</v>
      </c>
      <c r="AE18">
        <v>0</v>
      </c>
    </row>
    <row r="19" spans="1:31" x14ac:dyDescent="0.3">
      <c r="A19" t="s">
        <v>270</v>
      </c>
      <c r="B19" t="s">
        <v>156</v>
      </c>
      <c r="C19" t="s">
        <v>0</v>
      </c>
      <c r="D19" t="s">
        <v>157</v>
      </c>
      <c r="E19" t="s">
        <v>123</v>
      </c>
      <c r="F19">
        <v>9</v>
      </c>
      <c r="G19">
        <v>11</v>
      </c>
      <c r="H19">
        <v>12</v>
      </c>
      <c r="I19">
        <v>13</v>
      </c>
      <c r="J19">
        <v>13</v>
      </c>
      <c r="K19">
        <v>12</v>
      </c>
      <c r="L19">
        <v>9</v>
      </c>
      <c r="M19">
        <v>7</v>
      </c>
      <c r="N19">
        <v>6</v>
      </c>
      <c r="O19">
        <v>6</v>
      </c>
      <c r="P19">
        <v>5</v>
      </c>
      <c r="Q19">
        <v>6</v>
      </c>
      <c r="R19">
        <v>7</v>
      </c>
      <c r="S19">
        <v>8</v>
      </c>
      <c r="T19">
        <v>6</v>
      </c>
      <c r="U19">
        <v>5</v>
      </c>
      <c r="V19">
        <v>5</v>
      </c>
      <c r="W19">
        <v>5</v>
      </c>
      <c r="X19">
        <v>5</v>
      </c>
      <c r="Y19">
        <v>6</v>
      </c>
      <c r="Z19">
        <v>8</v>
      </c>
      <c r="AA19">
        <v>10</v>
      </c>
      <c r="AB19">
        <v>9</v>
      </c>
      <c r="AC19">
        <v>9</v>
      </c>
      <c r="AD19">
        <v>9</v>
      </c>
      <c r="AE19">
        <v>7</v>
      </c>
    </row>
    <row r="20" spans="1:31" x14ac:dyDescent="0.3">
      <c r="A20" t="s">
        <v>270</v>
      </c>
      <c r="B20" t="s">
        <v>158</v>
      </c>
      <c r="C20" t="s">
        <v>0</v>
      </c>
      <c r="D20" t="s">
        <v>159</v>
      </c>
      <c r="E20" t="s">
        <v>123</v>
      </c>
      <c r="F20">
        <v>73</v>
      </c>
      <c r="G20">
        <v>66</v>
      </c>
      <c r="H20">
        <v>64</v>
      </c>
      <c r="I20">
        <v>57</v>
      </c>
      <c r="J20">
        <v>51</v>
      </c>
      <c r="K20">
        <v>50</v>
      </c>
      <c r="L20">
        <v>38</v>
      </c>
      <c r="M20">
        <v>35</v>
      </c>
      <c r="N20">
        <v>32</v>
      </c>
      <c r="O20">
        <v>38</v>
      </c>
      <c r="P20">
        <v>39</v>
      </c>
      <c r="Q20">
        <v>38</v>
      </c>
      <c r="R20">
        <v>38</v>
      </c>
      <c r="S20">
        <v>33</v>
      </c>
      <c r="T20">
        <v>37</v>
      </c>
      <c r="U20">
        <v>33</v>
      </c>
      <c r="V20">
        <v>30</v>
      </c>
      <c r="W20">
        <v>27</v>
      </c>
      <c r="X20">
        <v>26</v>
      </c>
      <c r="Y20">
        <v>25</v>
      </c>
      <c r="Z20">
        <v>26</v>
      </c>
      <c r="AA20">
        <v>29</v>
      </c>
      <c r="AB20">
        <v>30</v>
      </c>
      <c r="AC20">
        <v>30</v>
      </c>
      <c r="AD20">
        <v>29</v>
      </c>
      <c r="AE20">
        <v>28</v>
      </c>
    </row>
    <row r="21" spans="1:31" x14ac:dyDescent="0.3">
      <c r="A21" t="s">
        <v>270</v>
      </c>
      <c r="B21" t="s">
        <v>160</v>
      </c>
      <c r="C21" t="s">
        <v>0</v>
      </c>
      <c r="D21" t="s">
        <v>161</v>
      </c>
      <c r="E21" t="s">
        <v>123</v>
      </c>
      <c r="F21">
        <v>78</v>
      </c>
      <c r="G21">
        <v>71</v>
      </c>
      <c r="H21">
        <v>67</v>
      </c>
      <c r="I21">
        <v>60</v>
      </c>
      <c r="J21">
        <v>53</v>
      </c>
      <c r="K21">
        <v>53</v>
      </c>
      <c r="L21">
        <v>40</v>
      </c>
      <c r="M21">
        <v>36</v>
      </c>
      <c r="N21">
        <v>33</v>
      </c>
      <c r="O21">
        <v>39</v>
      </c>
      <c r="P21">
        <v>41</v>
      </c>
      <c r="Q21">
        <v>40</v>
      </c>
      <c r="R21">
        <v>42</v>
      </c>
      <c r="S21">
        <v>36</v>
      </c>
      <c r="T21">
        <v>40</v>
      </c>
      <c r="U21">
        <v>37</v>
      </c>
      <c r="V21">
        <v>36</v>
      </c>
      <c r="W21">
        <v>34</v>
      </c>
      <c r="X21">
        <v>34</v>
      </c>
      <c r="Y21">
        <v>33</v>
      </c>
      <c r="Z21">
        <v>35</v>
      </c>
      <c r="AA21">
        <v>40</v>
      </c>
      <c r="AB21">
        <v>42</v>
      </c>
      <c r="AC21">
        <v>43</v>
      </c>
      <c r="AD21">
        <v>43</v>
      </c>
      <c r="AE21">
        <v>41</v>
      </c>
    </row>
    <row r="22" spans="1:31" x14ac:dyDescent="0.3">
      <c r="A22" t="s">
        <v>270</v>
      </c>
      <c r="B22" t="s">
        <v>162</v>
      </c>
      <c r="C22" t="s">
        <v>0</v>
      </c>
      <c r="D22" t="s">
        <v>163</v>
      </c>
      <c r="E22" t="s">
        <v>123</v>
      </c>
      <c r="F22">
        <v>5</v>
      </c>
      <c r="G22">
        <v>5</v>
      </c>
      <c r="H22">
        <v>3</v>
      </c>
      <c r="I22">
        <v>3</v>
      </c>
      <c r="J22">
        <v>2</v>
      </c>
      <c r="K22">
        <v>3</v>
      </c>
      <c r="L22">
        <v>2</v>
      </c>
      <c r="M22">
        <v>1</v>
      </c>
      <c r="N22">
        <v>1</v>
      </c>
      <c r="O22">
        <v>1</v>
      </c>
      <c r="P22">
        <v>2</v>
      </c>
      <c r="Q22">
        <v>2</v>
      </c>
      <c r="R22">
        <v>4</v>
      </c>
      <c r="S22">
        <v>3</v>
      </c>
      <c r="T22">
        <v>3</v>
      </c>
      <c r="U22">
        <v>4</v>
      </c>
      <c r="V22">
        <v>6</v>
      </c>
      <c r="W22">
        <v>7</v>
      </c>
      <c r="X22">
        <v>8</v>
      </c>
      <c r="Y22">
        <v>8</v>
      </c>
      <c r="Z22">
        <v>9</v>
      </c>
      <c r="AA22">
        <v>11</v>
      </c>
      <c r="AB22">
        <v>12</v>
      </c>
      <c r="AC22">
        <v>13</v>
      </c>
      <c r="AD22">
        <v>14</v>
      </c>
      <c r="AE22">
        <v>13</v>
      </c>
    </row>
    <row r="23" spans="1:31" x14ac:dyDescent="0.3">
      <c r="A23" t="s">
        <v>270</v>
      </c>
      <c r="B23" t="s">
        <v>164</v>
      </c>
      <c r="C23" t="s">
        <v>0</v>
      </c>
      <c r="D23" t="s">
        <v>165</v>
      </c>
      <c r="E23" t="s">
        <v>123</v>
      </c>
      <c r="F23">
        <v>24</v>
      </c>
      <c r="G23">
        <v>27</v>
      </c>
      <c r="H23">
        <v>26</v>
      </c>
      <c r="I23">
        <v>27</v>
      </c>
      <c r="J23">
        <v>33</v>
      </c>
      <c r="K23">
        <v>35</v>
      </c>
      <c r="L23">
        <v>26</v>
      </c>
      <c r="M23">
        <v>22</v>
      </c>
      <c r="N23">
        <v>23</v>
      </c>
      <c r="O23">
        <v>27</v>
      </c>
      <c r="P23">
        <v>31</v>
      </c>
      <c r="Q23">
        <v>31</v>
      </c>
      <c r="R23">
        <v>31</v>
      </c>
      <c r="S23">
        <v>31</v>
      </c>
      <c r="T23">
        <v>26</v>
      </c>
      <c r="U23">
        <v>24</v>
      </c>
      <c r="V23">
        <v>23</v>
      </c>
      <c r="W23">
        <v>21</v>
      </c>
      <c r="X23">
        <v>21</v>
      </c>
      <c r="Y23">
        <v>20</v>
      </c>
      <c r="Z23">
        <v>18</v>
      </c>
      <c r="AA23">
        <v>15</v>
      </c>
      <c r="AB23">
        <v>13</v>
      </c>
      <c r="AC23">
        <v>13</v>
      </c>
      <c r="AD23">
        <v>11</v>
      </c>
      <c r="AE23">
        <v>10</v>
      </c>
    </row>
    <row r="24" spans="1:31" x14ac:dyDescent="0.3">
      <c r="A24" t="s">
        <v>270</v>
      </c>
      <c r="B24" t="s">
        <v>166</v>
      </c>
      <c r="C24" t="s">
        <v>0</v>
      </c>
      <c r="D24" t="s">
        <v>167</v>
      </c>
      <c r="E24" t="s">
        <v>123</v>
      </c>
      <c r="F24">
        <v>88</v>
      </c>
      <c r="G24">
        <v>89</v>
      </c>
      <c r="H24">
        <v>98</v>
      </c>
      <c r="I24">
        <v>111</v>
      </c>
      <c r="J24">
        <v>119</v>
      </c>
      <c r="K24">
        <v>109</v>
      </c>
      <c r="L24">
        <v>83</v>
      </c>
      <c r="M24">
        <v>68</v>
      </c>
      <c r="N24">
        <v>64</v>
      </c>
      <c r="O24">
        <v>63</v>
      </c>
      <c r="P24">
        <v>63</v>
      </c>
      <c r="Q24">
        <v>60</v>
      </c>
      <c r="R24">
        <v>65</v>
      </c>
      <c r="S24">
        <v>83</v>
      </c>
      <c r="T24">
        <v>75</v>
      </c>
      <c r="U24">
        <v>76</v>
      </c>
      <c r="V24">
        <v>77</v>
      </c>
      <c r="W24">
        <v>85</v>
      </c>
      <c r="X24">
        <v>83</v>
      </c>
      <c r="Y24">
        <v>90</v>
      </c>
      <c r="Z24">
        <v>92</v>
      </c>
      <c r="AA24">
        <v>102</v>
      </c>
      <c r="AB24">
        <v>99</v>
      </c>
      <c r="AC24">
        <v>99</v>
      </c>
      <c r="AD24">
        <v>90</v>
      </c>
      <c r="AE24">
        <v>76</v>
      </c>
    </row>
    <row r="25" spans="1:31" x14ac:dyDescent="0.3">
      <c r="A25" t="s">
        <v>270</v>
      </c>
      <c r="B25" t="s">
        <v>168</v>
      </c>
      <c r="C25" t="s">
        <v>0</v>
      </c>
      <c r="D25" t="s">
        <v>169</v>
      </c>
      <c r="E25" t="s">
        <v>123</v>
      </c>
      <c r="F25">
        <v>10</v>
      </c>
      <c r="G25">
        <v>9</v>
      </c>
      <c r="H25">
        <v>11</v>
      </c>
      <c r="I25">
        <v>13</v>
      </c>
      <c r="J25">
        <v>14</v>
      </c>
      <c r="K25">
        <v>12</v>
      </c>
      <c r="L25">
        <v>9</v>
      </c>
      <c r="M25">
        <v>7</v>
      </c>
      <c r="N25">
        <v>6</v>
      </c>
      <c r="O25">
        <v>6</v>
      </c>
      <c r="P25">
        <v>6</v>
      </c>
      <c r="Q25">
        <v>6</v>
      </c>
      <c r="R25">
        <v>6</v>
      </c>
      <c r="S25">
        <v>11</v>
      </c>
      <c r="T25">
        <v>9</v>
      </c>
      <c r="U25">
        <v>10</v>
      </c>
      <c r="V25">
        <v>11</v>
      </c>
      <c r="W25">
        <v>10</v>
      </c>
      <c r="X25">
        <v>9</v>
      </c>
      <c r="Y25">
        <v>11</v>
      </c>
      <c r="Z25">
        <v>11</v>
      </c>
      <c r="AA25">
        <v>14</v>
      </c>
      <c r="AB25">
        <v>13</v>
      </c>
      <c r="AC25">
        <v>13</v>
      </c>
      <c r="AD25">
        <v>12</v>
      </c>
      <c r="AE25">
        <v>10</v>
      </c>
    </row>
    <row r="26" spans="1:31" x14ac:dyDescent="0.3">
      <c r="A26" t="s">
        <v>270</v>
      </c>
      <c r="B26" t="s">
        <v>170</v>
      </c>
      <c r="C26" t="s">
        <v>0</v>
      </c>
      <c r="D26" t="s">
        <v>171</v>
      </c>
      <c r="E26" t="s">
        <v>123</v>
      </c>
      <c r="F26">
        <v>47</v>
      </c>
      <c r="G26">
        <v>50</v>
      </c>
      <c r="H26">
        <v>58</v>
      </c>
      <c r="I26">
        <v>65</v>
      </c>
      <c r="J26">
        <v>67</v>
      </c>
      <c r="K26">
        <v>62</v>
      </c>
      <c r="L26">
        <v>47</v>
      </c>
      <c r="M26">
        <v>39</v>
      </c>
      <c r="N26">
        <v>35</v>
      </c>
      <c r="O26">
        <v>35</v>
      </c>
      <c r="P26">
        <v>35</v>
      </c>
      <c r="Q26">
        <v>32</v>
      </c>
      <c r="R26">
        <v>36</v>
      </c>
      <c r="S26">
        <v>45</v>
      </c>
      <c r="T26">
        <v>40</v>
      </c>
      <c r="U26">
        <v>40</v>
      </c>
      <c r="V26">
        <v>40</v>
      </c>
      <c r="W26">
        <v>44</v>
      </c>
      <c r="X26">
        <v>42</v>
      </c>
      <c r="Y26">
        <v>45</v>
      </c>
      <c r="Z26">
        <v>45</v>
      </c>
      <c r="AA26">
        <v>50</v>
      </c>
      <c r="AB26">
        <v>49</v>
      </c>
      <c r="AC26">
        <v>50</v>
      </c>
      <c r="AD26">
        <v>45</v>
      </c>
      <c r="AE26">
        <v>37</v>
      </c>
    </row>
    <row r="27" spans="1:31" x14ac:dyDescent="0.3">
      <c r="A27" t="s">
        <v>270</v>
      </c>
      <c r="B27" t="s">
        <v>172</v>
      </c>
      <c r="C27" t="s">
        <v>0</v>
      </c>
      <c r="D27" t="s">
        <v>173</v>
      </c>
      <c r="E27" t="s">
        <v>123</v>
      </c>
      <c r="F27">
        <v>31</v>
      </c>
      <c r="G27">
        <v>30</v>
      </c>
      <c r="H27">
        <v>29</v>
      </c>
      <c r="I27">
        <v>33</v>
      </c>
      <c r="J27">
        <v>38</v>
      </c>
      <c r="K27">
        <v>35</v>
      </c>
      <c r="L27">
        <v>27</v>
      </c>
      <c r="M27">
        <v>22</v>
      </c>
      <c r="N27">
        <v>23</v>
      </c>
      <c r="O27">
        <v>22</v>
      </c>
      <c r="P27">
        <v>22</v>
      </c>
      <c r="Q27">
        <v>22</v>
      </c>
      <c r="R27">
        <v>23</v>
      </c>
      <c r="S27">
        <v>27</v>
      </c>
      <c r="T27">
        <v>26</v>
      </c>
      <c r="U27">
        <v>26</v>
      </c>
      <c r="V27">
        <v>26</v>
      </c>
      <c r="W27">
        <v>31</v>
      </c>
      <c r="X27">
        <v>32</v>
      </c>
      <c r="Y27">
        <v>34</v>
      </c>
      <c r="Z27">
        <v>36</v>
      </c>
      <c r="AA27">
        <v>38</v>
      </c>
      <c r="AB27">
        <v>37</v>
      </c>
      <c r="AC27">
        <v>36</v>
      </c>
      <c r="AD27">
        <v>33</v>
      </c>
      <c r="AE27">
        <v>29</v>
      </c>
    </row>
    <row r="28" spans="1:31" x14ac:dyDescent="0.3">
      <c r="A28" t="s">
        <v>270</v>
      </c>
      <c r="B28" t="s">
        <v>174</v>
      </c>
      <c r="C28" t="s">
        <v>0</v>
      </c>
      <c r="D28" t="s">
        <v>175</v>
      </c>
      <c r="E28" t="s">
        <v>123</v>
      </c>
      <c r="F28">
        <v>57</v>
      </c>
      <c r="G28">
        <v>48</v>
      </c>
      <c r="H28">
        <v>36</v>
      </c>
      <c r="I28">
        <v>39</v>
      </c>
      <c r="J28">
        <v>38</v>
      </c>
      <c r="K28">
        <v>32</v>
      </c>
      <c r="L28">
        <v>21</v>
      </c>
      <c r="M28">
        <v>13</v>
      </c>
      <c r="N28">
        <v>12</v>
      </c>
      <c r="O28">
        <v>13</v>
      </c>
      <c r="P28">
        <v>13</v>
      </c>
      <c r="Q28">
        <v>15</v>
      </c>
      <c r="R28">
        <v>20</v>
      </c>
      <c r="S28">
        <v>22</v>
      </c>
      <c r="T28">
        <v>23</v>
      </c>
      <c r="U28">
        <v>23</v>
      </c>
      <c r="V28">
        <v>25</v>
      </c>
      <c r="W28">
        <v>24</v>
      </c>
      <c r="X28">
        <v>27</v>
      </c>
      <c r="Y28">
        <v>30</v>
      </c>
      <c r="Z28">
        <v>30</v>
      </c>
      <c r="AA28">
        <v>35</v>
      </c>
      <c r="AB28">
        <v>34</v>
      </c>
      <c r="AC28">
        <v>32</v>
      </c>
      <c r="AD28">
        <v>34</v>
      </c>
      <c r="AE28">
        <v>30</v>
      </c>
    </row>
    <row r="29" spans="1:31" x14ac:dyDescent="0.3">
      <c r="A29" t="s">
        <v>270</v>
      </c>
      <c r="B29" t="s">
        <v>176</v>
      </c>
      <c r="C29" t="s">
        <v>0</v>
      </c>
      <c r="D29" t="s">
        <v>177</v>
      </c>
      <c r="E29" t="s">
        <v>123</v>
      </c>
      <c r="F29">
        <v>6</v>
      </c>
      <c r="G29">
        <v>6</v>
      </c>
      <c r="H29">
        <v>2</v>
      </c>
      <c r="I29">
        <v>4</v>
      </c>
      <c r="J29">
        <v>3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3</v>
      </c>
      <c r="Y29">
        <v>3</v>
      </c>
      <c r="Z29">
        <v>3</v>
      </c>
      <c r="AA29">
        <v>7</v>
      </c>
      <c r="AB29">
        <v>7</v>
      </c>
      <c r="AC29">
        <v>8</v>
      </c>
      <c r="AD29">
        <v>11</v>
      </c>
      <c r="AE29">
        <v>9</v>
      </c>
    </row>
    <row r="30" spans="1:31" x14ac:dyDescent="0.3">
      <c r="A30" t="s">
        <v>270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2</v>
      </c>
      <c r="S30">
        <v>2</v>
      </c>
      <c r="T30">
        <v>2</v>
      </c>
      <c r="U30">
        <v>2</v>
      </c>
      <c r="V30">
        <v>6</v>
      </c>
      <c r="W30">
        <v>6</v>
      </c>
      <c r="X30">
        <v>7</v>
      </c>
      <c r="Y30">
        <v>7</v>
      </c>
      <c r="Z30">
        <v>6</v>
      </c>
      <c r="AA30">
        <v>6</v>
      </c>
      <c r="AB30">
        <v>5</v>
      </c>
      <c r="AC30">
        <v>5</v>
      </c>
      <c r="AD30">
        <v>4</v>
      </c>
      <c r="AE30">
        <v>5</v>
      </c>
    </row>
    <row r="31" spans="1:31" x14ac:dyDescent="0.3">
      <c r="A31" t="s">
        <v>270</v>
      </c>
      <c r="B31" t="s">
        <v>180</v>
      </c>
      <c r="C31" t="s">
        <v>0</v>
      </c>
      <c r="D31" t="s">
        <v>181</v>
      </c>
      <c r="E31" t="s">
        <v>123</v>
      </c>
      <c r="F31">
        <v>1</v>
      </c>
      <c r="G31">
        <v>1</v>
      </c>
      <c r="H31">
        <v>0</v>
      </c>
      <c r="I31">
        <v>1</v>
      </c>
      <c r="J31">
        <v>2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270</v>
      </c>
      <c r="B32" t="s">
        <v>182</v>
      </c>
      <c r="C32" t="s">
        <v>0</v>
      </c>
      <c r="D32" t="s">
        <v>183</v>
      </c>
      <c r="E32" t="s">
        <v>123</v>
      </c>
      <c r="F32">
        <v>34</v>
      </c>
      <c r="G32">
        <v>29</v>
      </c>
      <c r="H32">
        <v>24</v>
      </c>
      <c r="I32">
        <v>23</v>
      </c>
      <c r="J32">
        <v>20</v>
      </c>
      <c r="K32">
        <v>18</v>
      </c>
      <c r="L32">
        <v>11</v>
      </c>
      <c r="M32">
        <v>8</v>
      </c>
      <c r="N32">
        <v>8</v>
      </c>
      <c r="O32">
        <v>10</v>
      </c>
      <c r="P32">
        <v>9</v>
      </c>
      <c r="Q32">
        <v>11</v>
      </c>
      <c r="R32">
        <v>14</v>
      </c>
      <c r="S32">
        <v>14</v>
      </c>
      <c r="T32">
        <v>15</v>
      </c>
      <c r="U32">
        <v>14</v>
      </c>
      <c r="V32">
        <v>13</v>
      </c>
      <c r="W32">
        <v>13</v>
      </c>
      <c r="X32">
        <v>14</v>
      </c>
      <c r="Y32">
        <v>16</v>
      </c>
      <c r="Z32">
        <v>17</v>
      </c>
      <c r="AA32">
        <v>18</v>
      </c>
      <c r="AB32">
        <v>16</v>
      </c>
      <c r="AC32">
        <v>13</v>
      </c>
      <c r="AD32">
        <v>14</v>
      </c>
      <c r="AE32">
        <v>12</v>
      </c>
    </row>
    <row r="33" spans="1:31" x14ac:dyDescent="0.3">
      <c r="A33" t="s">
        <v>270</v>
      </c>
      <c r="B33" t="s">
        <v>184</v>
      </c>
      <c r="C33" t="s">
        <v>0</v>
      </c>
      <c r="D33" t="s">
        <v>185</v>
      </c>
      <c r="E33" t="s">
        <v>123</v>
      </c>
      <c r="F33">
        <v>16</v>
      </c>
      <c r="G33">
        <v>12</v>
      </c>
      <c r="H33">
        <v>10</v>
      </c>
      <c r="I33">
        <v>11</v>
      </c>
      <c r="J33">
        <v>13</v>
      </c>
      <c r="K33">
        <v>11</v>
      </c>
      <c r="L33">
        <v>8</v>
      </c>
      <c r="M33">
        <v>5</v>
      </c>
      <c r="N33">
        <v>4</v>
      </c>
      <c r="O33">
        <v>3</v>
      </c>
      <c r="P33">
        <v>2</v>
      </c>
      <c r="Q33">
        <v>1</v>
      </c>
      <c r="R33">
        <v>2</v>
      </c>
      <c r="S33">
        <v>2</v>
      </c>
      <c r="T33">
        <v>3</v>
      </c>
      <c r="U33">
        <v>4</v>
      </c>
      <c r="V33">
        <v>4</v>
      </c>
      <c r="W33">
        <v>3</v>
      </c>
      <c r="X33">
        <v>3</v>
      </c>
      <c r="Y33">
        <v>4</v>
      </c>
      <c r="Z33">
        <v>4</v>
      </c>
      <c r="AA33">
        <v>4</v>
      </c>
      <c r="AB33">
        <v>6</v>
      </c>
      <c r="AC33">
        <v>6</v>
      </c>
      <c r="AD33">
        <v>5</v>
      </c>
      <c r="AE33">
        <v>4</v>
      </c>
    </row>
    <row r="34" spans="1:31" x14ac:dyDescent="0.3">
      <c r="A34" t="s">
        <v>270</v>
      </c>
      <c r="B34" t="s">
        <v>186</v>
      </c>
      <c r="C34" t="s">
        <v>0</v>
      </c>
      <c r="D34" t="s">
        <v>187</v>
      </c>
      <c r="E34" t="s">
        <v>123</v>
      </c>
      <c r="F34">
        <v>10</v>
      </c>
      <c r="G34">
        <v>10</v>
      </c>
      <c r="H34">
        <v>12</v>
      </c>
      <c r="I34">
        <v>15</v>
      </c>
      <c r="J34">
        <v>17</v>
      </c>
      <c r="K34">
        <v>14</v>
      </c>
      <c r="L34">
        <v>11</v>
      </c>
      <c r="M34">
        <v>8</v>
      </c>
      <c r="N34">
        <v>8</v>
      </c>
      <c r="O34">
        <v>9</v>
      </c>
      <c r="P34">
        <v>9</v>
      </c>
      <c r="Q34">
        <v>9</v>
      </c>
      <c r="R34">
        <v>10</v>
      </c>
      <c r="S34">
        <v>13</v>
      </c>
      <c r="T34">
        <v>13</v>
      </c>
      <c r="U34">
        <v>12</v>
      </c>
      <c r="V34">
        <v>12</v>
      </c>
      <c r="W34">
        <v>12</v>
      </c>
      <c r="X34">
        <v>11</v>
      </c>
      <c r="Y34">
        <v>11</v>
      </c>
      <c r="Z34">
        <v>10</v>
      </c>
      <c r="AA34">
        <v>11</v>
      </c>
      <c r="AB34">
        <v>10</v>
      </c>
      <c r="AC34">
        <v>10</v>
      </c>
      <c r="AD34">
        <v>10</v>
      </c>
      <c r="AE34">
        <v>8</v>
      </c>
    </row>
    <row r="35" spans="1:31" x14ac:dyDescent="0.3">
      <c r="A35" t="s">
        <v>270</v>
      </c>
      <c r="B35" t="s">
        <v>188</v>
      </c>
      <c r="C35" t="s">
        <v>0</v>
      </c>
      <c r="D35" t="s">
        <v>189</v>
      </c>
      <c r="E35" t="s">
        <v>123</v>
      </c>
      <c r="F35">
        <v>160</v>
      </c>
      <c r="G35">
        <v>180</v>
      </c>
      <c r="H35">
        <v>191</v>
      </c>
      <c r="I35">
        <v>221</v>
      </c>
      <c r="J35">
        <v>240</v>
      </c>
      <c r="K35">
        <v>243</v>
      </c>
      <c r="L35">
        <v>193</v>
      </c>
      <c r="M35">
        <v>172</v>
      </c>
      <c r="N35">
        <v>152</v>
      </c>
      <c r="O35">
        <v>164</v>
      </c>
      <c r="P35">
        <v>205</v>
      </c>
      <c r="Q35">
        <v>225</v>
      </c>
      <c r="R35">
        <v>229</v>
      </c>
      <c r="S35">
        <v>248</v>
      </c>
      <c r="T35">
        <v>210</v>
      </c>
      <c r="U35">
        <v>249</v>
      </c>
      <c r="V35">
        <v>284</v>
      </c>
      <c r="W35">
        <v>319</v>
      </c>
      <c r="X35">
        <v>343</v>
      </c>
      <c r="Y35">
        <v>423</v>
      </c>
      <c r="Z35">
        <v>591</v>
      </c>
      <c r="AA35">
        <v>716</v>
      </c>
      <c r="AB35">
        <v>847</v>
      </c>
      <c r="AC35">
        <v>1224</v>
      </c>
      <c r="AD35">
        <v>1117</v>
      </c>
      <c r="AE35">
        <v>983</v>
      </c>
    </row>
    <row r="36" spans="1:31" x14ac:dyDescent="0.3">
      <c r="A36" t="s">
        <v>270</v>
      </c>
      <c r="B36" t="s">
        <v>190</v>
      </c>
      <c r="C36" t="s">
        <v>0</v>
      </c>
      <c r="D36" t="s">
        <v>191</v>
      </c>
      <c r="E36" t="s">
        <v>123</v>
      </c>
      <c r="F36">
        <v>18</v>
      </c>
      <c r="G36">
        <v>19</v>
      </c>
      <c r="H36">
        <v>21</v>
      </c>
      <c r="I36">
        <v>22</v>
      </c>
      <c r="J36">
        <v>19</v>
      </c>
      <c r="K36">
        <v>19</v>
      </c>
      <c r="L36">
        <v>14</v>
      </c>
      <c r="M36">
        <v>11</v>
      </c>
      <c r="N36">
        <v>10</v>
      </c>
      <c r="O36">
        <v>9</v>
      </c>
      <c r="P36">
        <v>10</v>
      </c>
      <c r="Q36">
        <v>10</v>
      </c>
      <c r="R36">
        <v>10</v>
      </c>
      <c r="S36">
        <v>19</v>
      </c>
      <c r="T36">
        <v>15</v>
      </c>
      <c r="U36">
        <v>16</v>
      </c>
      <c r="V36">
        <v>14</v>
      </c>
      <c r="W36">
        <v>14</v>
      </c>
      <c r="X36">
        <v>14</v>
      </c>
      <c r="Y36">
        <v>11</v>
      </c>
      <c r="Z36">
        <v>34</v>
      </c>
      <c r="AA36">
        <v>54</v>
      </c>
      <c r="AB36">
        <v>71</v>
      </c>
      <c r="AC36">
        <v>71</v>
      </c>
      <c r="AD36">
        <v>60</v>
      </c>
      <c r="AE36">
        <v>47</v>
      </c>
    </row>
    <row r="37" spans="1:31" x14ac:dyDescent="0.3">
      <c r="A37" t="s">
        <v>270</v>
      </c>
      <c r="B37" t="s">
        <v>192</v>
      </c>
      <c r="C37" t="s">
        <v>0</v>
      </c>
      <c r="D37" t="s">
        <v>193</v>
      </c>
      <c r="E37" t="s">
        <v>123</v>
      </c>
      <c r="F37">
        <v>111</v>
      </c>
      <c r="G37">
        <v>124</v>
      </c>
      <c r="H37">
        <v>128</v>
      </c>
      <c r="I37">
        <v>148</v>
      </c>
      <c r="J37">
        <v>157</v>
      </c>
      <c r="K37">
        <v>151</v>
      </c>
      <c r="L37">
        <v>118</v>
      </c>
      <c r="M37">
        <v>104</v>
      </c>
      <c r="N37">
        <v>86</v>
      </c>
      <c r="O37">
        <v>92</v>
      </c>
      <c r="P37">
        <v>129</v>
      </c>
      <c r="Q37">
        <v>118</v>
      </c>
      <c r="R37">
        <v>103</v>
      </c>
      <c r="S37">
        <v>101</v>
      </c>
      <c r="T37">
        <v>80</v>
      </c>
      <c r="U37">
        <v>84</v>
      </c>
      <c r="V37">
        <v>99</v>
      </c>
      <c r="W37">
        <v>111</v>
      </c>
      <c r="X37">
        <v>122</v>
      </c>
      <c r="Y37">
        <v>131</v>
      </c>
      <c r="Z37">
        <v>136</v>
      </c>
      <c r="AA37">
        <v>150</v>
      </c>
      <c r="AB37">
        <v>150</v>
      </c>
      <c r="AC37">
        <v>158</v>
      </c>
      <c r="AD37">
        <v>155</v>
      </c>
      <c r="AE37">
        <v>157</v>
      </c>
    </row>
    <row r="38" spans="1:31" x14ac:dyDescent="0.3">
      <c r="A38" t="s">
        <v>270</v>
      </c>
      <c r="B38" t="s">
        <v>194</v>
      </c>
      <c r="C38" t="s">
        <v>0</v>
      </c>
      <c r="D38" t="s">
        <v>195</v>
      </c>
      <c r="E38" t="s">
        <v>123</v>
      </c>
      <c r="F38">
        <v>31</v>
      </c>
      <c r="G38">
        <v>37</v>
      </c>
      <c r="H38">
        <v>42</v>
      </c>
      <c r="I38">
        <v>51</v>
      </c>
      <c r="J38">
        <v>64</v>
      </c>
      <c r="K38">
        <v>73</v>
      </c>
      <c r="L38">
        <v>61</v>
      </c>
      <c r="M38">
        <v>57</v>
      </c>
      <c r="N38">
        <v>56</v>
      </c>
      <c r="O38">
        <v>63</v>
      </c>
      <c r="P38">
        <v>66</v>
      </c>
      <c r="Q38">
        <v>97</v>
      </c>
      <c r="R38">
        <v>116</v>
      </c>
      <c r="S38">
        <v>128</v>
      </c>
      <c r="T38">
        <v>115</v>
      </c>
      <c r="U38">
        <v>149</v>
      </c>
      <c r="V38">
        <v>171</v>
      </c>
      <c r="W38">
        <v>194</v>
      </c>
      <c r="X38">
        <v>207</v>
      </c>
      <c r="Y38">
        <v>281</v>
      </c>
      <c r="Z38">
        <v>421</v>
      </c>
      <c r="AA38">
        <v>512</v>
      </c>
      <c r="AB38">
        <v>626</v>
      </c>
      <c r="AC38">
        <v>995</v>
      </c>
      <c r="AD38">
        <v>902</v>
      </c>
      <c r="AE38">
        <v>779</v>
      </c>
    </row>
    <row r="39" spans="1:31" x14ac:dyDescent="0.3">
      <c r="A39" t="s">
        <v>270</v>
      </c>
      <c r="B39" t="s">
        <v>196</v>
      </c>
      <c r="C39" t="s">
        <v>0</v>
      </c>
      <c r="D39" t="s">
        <v>197</v>
      </c>
      <c r="E39" t="s">
        <v>123</v>
      </c>
      <c r="F39">
        <v>14</v>
      </c>
      <c r="G39">
        <v>29</v>
      </c>
      <c r="H39">
        <v>39</v>
      </c>
      <c r="I39">
        <v>45</v>
      </c>
      <c r="J39">
        <v>44</v>
      </c>
      <c r="K39">
        <v>67</v>
      </c>
      <c r="L39">
        <v>67</v>
      </c>
      <c r="M39">
        <v>76</v>
      </c>
      <c r="N39">
        <v>86</v>
      </c>
      <c r="O39">
        <v>80</v>
      </c>
      <c r="P39">
        <v>95</v>
      </c>
      <c r="Q39">
        <v>71</v>
      </c>
      <c r="R39">
        <v>83</v>
      </c>
      <c r="S39">
        <v>98</v>
      </c>
      <c r="T39">
        <v>95</v>
      </c>
      <c r="U39">
        <v>97</v>
      </c>
      <c r="V39">
        <v>99</v>
      </c>
      <c r="W39">
        <v>96</v>
      </c>
      <c r="X39">
        <v>103</v>
      </c>
      <c r="Y39">
        <v>112</v>
      </c>
      <c r="Z39">
        <v>109</v>
      </c>
      <c r="AA39">
        <v>112</v>
      </c>
      <c r="AB39">
        <v>178</v>
      </c>
      <c r="AC39">
        <v>183</v>
      </c>
      <c r="AD39">
        <v>220</v>
      </c>
      <c r="AE39">
        <v>222</v>
      </c>
    </row>
    <row r="40" spans="1:31" x14ac:dyDescent="0.3">
      <c r="A40" t="s">
        <v>270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2</v>
      </c>
      <c r="H40">
        <v>3</v>
      </c>
      <c r="I40">
        <v>2</v>
      </c>
      <c r="J40">
        <v>2</v>
      </c>
      <c r="K40">
        <v>2</v>
      </c>
      <c r="L40">
        <v>1</v>
      </c>
      <c r="M40">
        <v>1</v>
      </c>
      <c r="N40">
        <v>2</v>
      </c>
      <c r="O40">
        <v>1</v>
      </c>
      <c r="P40">
        <v>3</v>
      </c>
      <c r="Q40">
        <v>4</v>
      </c>
      <c r="R40">
        <v>4</v>
      </c>
      <c r="S40">
        <v>12</v>
      </c>
      <c r="T40">
        <v>12</v>
      </c>
      <c r="U40">
        <v>10</v>
      </c>
      <c r="V40">
        <v>9</v>
      </c>
      <c r="W40">
        <v>10</v>
      </c>
      <c r="X40">
        <v>11</v>
      </c>
      <c r="Y40">
        <v>12</v>
      </c>
      <c r="Z40">
        <v>13</v>
      </c>
      <c r="AA40">
        <v>14</v>
      </c>
      <c r="AB40">
        <v>15</v>
      </c>
      <c r="AC40">
        <v>16</v>
      </c>
      <c r="AD40">
        <v>16</v>
      </c>
      <c r="AE40">
        <v>16</v>
      </c>
    </row>
    <row r="41" spans="1:31" x14ac:dyDescent="0.3">
      <c r="A41" t="s">
        <v>270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270</v>
      </c>
      <c r="B42" t="s">
        <v>202</v>
      </c>
      <c r="C42" t="s">
        <v>0</v>
      </c>
      <c r="D42" t="s">
        <v>203</v>
      </c>
      <c r="E42" t="s">
        <v>123</v>
      </c>
      <c r="F42">
        <v>45</v>
      </c>
      <c r="G42">
        <v>49</v>
      </c>
      <c r="H42">
        <v>40</v>
      </c>
      <c r="I42">
        <v>39</v>
      </c>
      <c r="J42">
        <v>38</v>
      </c>
      <c r="K42">
        <v>32</v>
      </c>
      <c r="L42">
        <v>21</v>
      </c>
      <c r="M42">
        <v>15</v>
      </c>
      <c r="N42">
        <v>14</v>
      </c>
      <c r="O42">
        <v>19</v>
      </c>
      <c r="P42">
        <v>19</v>
      </c>
      <c r="Q42">
        <v>25</v>
      </c>
      <c r="R42">
        <v>33</v>
      </c>
      <c r="S42">
        <v>61</v>
      </c>
      <c r="T42">
        <v>47</v>
      </c>
      <c r="U42">
        <v>46</v>
      </c>
      <c r="V42">
        <v>110</v>
      </c>
      <c r="W42">
        <v>110</v>
      </c>
      <c r="X42">
        <v>103</v>
      </c>
      <c r="Y42">
        <v>100</v>
      </c>
      <c r="Z42">
        <v>95</v>
      </c>
      <c r="AA42">
        <v>102</v>
      </c>
      <c r="AB42">
        <v>112</v>
      </c>
      <c r="AC42">
        <v>105</v>
      </c>
      <c r="AD42">
        <v>102</v>
      </c>
      <c r="AE42">
        <v>91</v>
      </c>
    </row>
    <row r="43" spans="1:31" x14ac:dyDescent="0.3">
      <c r="A43" t="s">
        <v>270</v>
      </c>
      <c r="B43" t="s">
        <v>204</v>
      </c>
      <c r="C43" t="s">
        <v>0</v>
      </c>
      <c r="D43" t="s">
        <v>205</v>
      </c>
      <c r="E43" t="s">
        <v>123</v>
      </c>
      <c r="F43">
        <v>51</v>
      </c>
      <c r="G43">
        <v>56</v>
      </c>
      <c r="H43">
        <v>44</v>
      </c>
      <c r="I43">
        <v>43</v>
      </c>
      <c r="J43">
        <v>43</v>
      </c>
      <c r="K43">
        <v>36</v>
      </c>
      <c r="L43">
        <v>24</v>
      </c>
      <c r="M43">
        <v>17</v>
      </c>
      <c r="N43">
        <v>14</v>
      </c>
      <c r="O43">
        <v>19</v>
      </c>
      <c r="P43">
        <v>20</v>
      </c>
      <c r="Q43">
        <v>29</v>
      </c>
      <c r="R43">
        <v>99</v>
      </c>
      <c r="S43">
        <v>198</v>
      </c>
      <c r="T43">
        <v>179</v>
      </c>
      <c r="U43">
        <v>172</v>
      </c>
      <c r="V43">
        <v>246</v>
      </c>
      <c r="W43">
        <v>258</v>
      </c>
      <c r="X43">
        <v>251</v>
      </c>
      <c r="Y43">
        <v>244</v>
      </c>
      <c r="Z43">
        <v>215</v>
      </c>
      <c r="AA43">
        <v>217</v>
      </c>
      <c r="AB43">
        <v>217</v>
      </c>
      <c r="AC43">
        <v>204</v>
      </c>
      <c r="AD43">
        <v>195</v>
      </c>
      <c r="AE43">
        <v>174</v>
      </c>
    </row>
    <row r="44" spans="1:31" x14ac:dyDescent="0.3">
      <c r="A44" t="s">
        <v>270</v>
      </c>
      <c r="B44" t="s">
        <v>206</v>
      </c>
      <c r="C44" t="s">
        <v>0</v>
      </c>
      <c r="D44" t="s">
        <v>207</v>
      </c>
      <c r="E44" t="s">
        <v>123</v>
      </c>
      <c r="F44">
        <v>941</v>
      </c>
      <c r="G44">
        <v>993</v>
      </c>
      <c r="H44">
        <v>970</v>
      </c>
      <c r="I44">
        <v>1053</v>
      </c>
      <c r="J44">
        <v>1061</v>
      </c>
      <c r="K44">
        <v>1012</v>
      </c>
      <c r="L44">
        <v>805</v>
      </c>
      <c r="M44">
        <v>684</v>
      </c>
      <c r="N44">
        <v>642</v>
      </c>
      <c r="O44">
        <v>673</v>
      </c>
      <c r="P44">
        <v>731</v>
      </c>
      <c r="Q44">
        <v>792</v>
      </c>
      <c r="R44">
        <v>951</v>
      </c>
      <c r="S44">
        <v>1102</v>
      </c>
      <c r="T44">
        <v>1006</v>
      </c>
      <c r="U44">
        <v>1016</v>
      </c>
      <c r="V44">
        <v>1117</v>
      </c>
      <c r="W44">
        <v>1177</v>
      </c>
      <c r="X44">
        <v>1186</v>
      </c>
      <c r="Y44">
        <v>1276</v>
      </c>
      <c r="Z44">
        <v>1438</v>
      </c>
      <c r="AA44">
        <v>1595</v>
      </c>
      <c r="AB44">
        <v>1813</v>
      </c>
      <c r="AC44">
        <v>2183</v>
      </c>
      <c r="AD44">
        <v>2091</v>
      </c>
      <c r="AE44">
        <v>1896</v>
      </c>
    </row>
    <row r="45" spans="1:31" x14ac:dyDescent="0.3">
      <c r="A45" t="s">
        <v>270</v>
      </c>
      <c r="B45" t="s">
        <v>208</v>
      </c>
      <c r="C45" t="s">
        <v>0</v>
      </c>
      <c r="D45" t="s">
        <v>209</v>
      </c>
      <c r="E45" t="s">
        <v>123</v>
      </c>
      <c r="F45">
        <v>880</v>
      </c>
      <c r="G45">
        <v>937</v>
      </c>
      <c r="H45">
        <v>917</v>
      </c>
      <c r="I45">
        <v>997</v>
      </c>
      <c r="J45">
        <v>1004</v>
      </c>
      <c r="K45">
        <v>961</v>
      </c>
      <c r="L45">
        <v>767</v>
      </c>
      <c r="M45">
        <v>652</v>
      </c>
      <c r="N45">
        <v>613</v>
      </c>
      <c r="O45">
        <v>640</v>
      </c>
      <c r="P45">
        <v>695</v>
      </c>
      <c r="Q45">
        <v>756</v>
      </c>
      <c r="R45">
        <v>916</v>
      </c>
      <c r="S45">
        <v>1067</v>
      </c>
      <c r="T45">
        <v>972</v>
      </c>
      <c r="U45">
        <v>979</v>
      </c>
      <c r="V45">
        <v>1080</v>
      </c>
      <c r="W45">
        <v>1139</v>
      </c>
      <c r="X45">
        <v>1148</v>
      </c>
      <c r="Y45">
        <v>1238</v>
      </c>
      <c r="Z45">
        <v>1401</v>
      </c>
      <c r="AA45">
        <v>1555</v>
      </c>
      <c r="AB45">
        <v>1773</v>
      </c>
      <c r="AC45">
        <v>2144</v>
      </c>
      <c r="AD45">
        <v>2054</v>
      </c>
      <c r="AE45">
        <v>1863</v>
      </c>
    </row>
    <row r="46" spans="1:31" x14ac:dyDescent="0.3">
      <c r="A46" t="s">
        <v>270</v>
      </c>
      <c r="B46" t="s">
        <v>210</v>
      </c>
      <c r="C46" t="s">
        <v>0</v>
      </c>
      <c r="D46" t="s">
        <v>211</v>
      </c>
      <c r="E46" t="s">
        <v>123</v>
      </c>
      <c r="F46">
        <v>6</v>
      </c>
      <c r="G46">
        <v>7</v>
      </c>
      <c r="H46">
        <v>4</v>
      </c>
      <c r="I46">
        <v>4</v>
      </c>
      <c r="J46">
        <v>5</v>
      </c>
      <c r="K46">
        <v>4</v>
      </c>
      <c r="L46">
        <v>3</v>
      </c>
      <c r="M46">
        <v>2</v>
      </c>
      <c r="N46">
        <v>0</v>
      </c>
      <c r="O46">
        <v>0</v>
      </c>
      <c r="P46">
        <v>1</v>
      </c>
      <c r="Q46">
        <v>4</v>
      </c>
      <c r="R46">
        <v>66</v>
      </c>
      <c r="S46">
        <v>137</v>
      </c>
      <c r="T46">
        <v>132</v>
      </c>
      <c r="U46">
        <v>126</v>
      </c>
      <c r="V46">
        <v>136</v>
      </c>
      <c r="W46">
        <v>148</v>
      </c>
      <c r="X46">
        <v>148</v>
      </c>
      <c r="Y46">
        <v>144</v>
      </c>
      <c r="Z46">
        <v>120</v>
      </c>
      <c r="AA46">
        <v>115</v>
      </c>
      <c r="AB46">
        <v>105</v>
      </c>
      <c r="AC46">
        <v>99</v>
      </c>
      <c r="AD46">
        <v>93</v>
      </c>
      <c r="AE46">
        <v>83</v>
      </c>
    </row>
    <row r="47" spans="1:31" x14ac:dyDescent="0.3">
      <c r="A47" t="s">
        <v>270</v>
      </c>
      <c r="B47" t="s">
        <v>212</v>
      </c>
      <c r="C47" t="s">
        <v>0</v>
      </c>
      <c r="D47" t="s">
        <v>213</v>
      </c>
      <c r="E47" t="s">
        <v>123</v>
      </c>
      <c r="F47">
        <v>110</v>
      </c>
      <c r="G47">
        <v>118</v>
      </c>
      <c r="H47">
        <v>109</v>
      </c>
      <c r="I47">
        <v>119</v>
      </c>
      <c r="J47">
        <v>136</v>
      </c>
      <c r="K47">
        <v>132</v>
      </c>
      <c r="L47">
        <v>104</v>
      </c>
      <c r="M47">
        <v>88</v>
      </c>
      <c r="N47">
        <v>84</v>
      </c>
      <c r="O47">
        <v>96</v>
      </c>
      <c r="P47">
        <v>100</v>
      </c>
      <c r="Q47">
        <v>85</v>
      </c>
      <c r="R47">
        <v>76</v>
      </c>
      <c r="S47">
        <v>71</v>
      </c>
      <c r="T47">
        <v>72</v>
      </c>
      <c r="U47">
        <v>82</v>
      </c>
      <c r="V47">
        <v>83</v>
      </c>
      <c r="W47">
        <v>82</v>
      </c>
      <c r="X47">
        <v>76</v>
      </c>
      <c r="Y47">
        <v>76</v>
      </c>
      <c r="Z47">
        <v>79</v>
      </c>
      <c r="AA47">
        <v>87</v>
      </c>
      <c r="AB47">
        <v>94</v>
      </c>
      <c r="AC47">
        <v>104</v>
      </c>
      <c r="AD47">
        <v>122</v>
      </c>
      <c r="AE47">
        <v>161</v>
      </c>
    </row>
    <row r="48" spans="1:31" x14ac:dyDescent="0.3">
      <c r="A48" t="s">
        <v>270</v>
      </c>
      <c r="B48" t="s">
        <v>214</v>
      </c>
      <c r="C48" t="s">
        <v>0</v>
      </c>
      <c r="D48" t="s">
        <v>215</v>
      </c>
      <c r="E48" t="s">
        <v>123</v>
      </c>
      <c r="F48">
        <v>157</v>
      </c>
      <c r="G48">
        <v>167</v>
      </c>
      <c r="H48">
        <v>158</v>
      </c>
      <c r="I48">
        <v>171</v>
      </c>
      <c r="J48">
        <v>191</v>
      </c>
      <c r="K48">
        <v>185</v>
      </c>
      <c r="L48">
        <v>148</v>
      </c>
      <c r="M48">
        <v>124</v>
      </c>
      <c r="N48">
        <v>121</v>
      </c>
      <c r="O48">
        <v>138</v>
      </c>
      <c r="P48">
        <v>144</v>
      </c>
      <c r="Q48">
        <v>143</v>
      </c>
      <c r="R48">
        <v>153</v>
      </c>
      <c r="S48">
        <v>160</v>
      </c>
      <c r="T48">
        <v>174</v>
      </c>
      <c r="U48">
        <v>182</v>
      </c>
      <c r="V48">
        <v>181</v>
      </c>
      <c r="W48">
        <v>181</v>
      </c>
      <c r="X48">
        <v>182</v>
      </c>
      <c r="Y48">
        <v>181</v>
      </c>
      <c r="Z48">
        <v>182</v>
      </c>
      <c r="AA48">
        <v>192</v>
      </c>
      <c r="AB48">
        <v>203</v>
      </c>
      <c r="AC48">
        <v>220</v>
      </c>
      <c r="AD48">
        <v>237</v>
      </c>
      <c r="AE48">
        <v>274</v>
      </c>
    </row>
    <row r="49" spans="1:31" x14ac:dyDescent="0.3">
      <c r="A49" t="s">
        <v>270</v>
      </c>
      <c r="B49" t="s">
        <v>216</v>
      </c>
      <c r="C49" t="s">
        <v>0</v>
      </c>
      <c r="D49" t="s">
        <v>217</v>
      </c>
      <c r="E49" t="s">
        <v>123</v>
      </c>
      <c r="F49">
        <v>24</v>
      </c>
      <c r="G49">
        <v>24</v>
      </c>
      <c r="H49">
        <v>23</v>
      </c>
      <c r="I49">
        <v>23</v>
      </c>
      <c r="J49">
        <v>23</v>
      </c>
      <c r="K49">
        <v>22</v>
      </c>
      <c r="L49">
        <v>18</v>
      </c>
      <c r="M49">
        <v>15</v>
      </c>
      <c r="N49">
        <v>15</v>
      </c>
      <c r="O49">
        <v>16</v>
      </c>
      <c r="P49">
        <v>16</v>
      </c>
      <c r="Q49">
        <v>31</v>
      </c>
      <c r="R49">
        <v>45</v>
      </c>
      <c r="S49">
        <v>55</v>
      </c>
      <c r="T49">
        <v>66</v>
      </c>
      <c r="U49">
        <v>63</v>
      </c>
      <c r="V49">
        <v>61</v>
      </c>
      <c r="W49">
        <v>62</v>
      </c>
      <c r="X49">
        <v>67</v>
      </c>
      <c r="Y49">
        <v>67</v>
      </c>
      <c r="Z49">
        <v>65</v>
      </c>
      <c r="AA49">
        <v>65</v>
      </c>
      <c r="AB49">
        <v>66</v>
      </c>
      <c r="AC49">
        <v>66</v>
      </c>
      <c r="AD49">
        <v>64</v>
      </c>
      <c r="AE49">
        <v>62</v>
      </c>
    </row>
    <row r="50" spans="1:31" x14ac:dyDescent="0.3">
      <c r="A50" t="s">
        <v>270</v>
      </c>
      <c r="B50" t="s">
        <v>218</v>
      </c>
      <c r="C50" t="s">
        <v>0</v>
      </c>
      <c r="D50" t="s">
        <v>219</v>
      </c>
      <c r="E50" t="s">
        <v>123</v>
      </c>
      <c r="F50">
        <v>23</v>
      </c>
      <c r="G50">
        <v>25</v>
      </c>
      <c r="H50">
        <v>26</v>
      </c>
      <c r="I50">
        <v>29</v>
      </c>
      <c r="J50">
        <v>32</v>
      </c>
      <c r="K50">
        <v>31</v>
      </c>
      <c r="L50">
        <v>26</v>
      </c>
      <c r="M50">
        <v>21</v>
      </c>
      <c r="N50">
        <v>22</v>
      </c>
      <c r="O50">
        <v>26</v>
      </c>
      <c r="P50">
        <v>28</v>
      </c>
      <c r="Q50">
        <v>27</v>
      </c>
      <c r="R50">
        <v>32</v>
      </c>
      <c r="S50">
        <v>34</v>
      </c>
      <c r="T50">
        <v>36</v>
      </c>
      <c r="U50">
        <v>37</v>
      </c>
      <c r="V50">
        <v>37</v>
      </c>
      <c r="W50">
        <v>37</v>
      </c>
      <c r="X50">
        <v>39</v>
      </c>
      <c r="Y50">
        <v>38</v>
      </c>
      <c r="Z50">
        <v>38</v>
      </c>
      <c r="AA50">
        <v>40</v>
      </c>
      <c r="AB50">
        <v>43</v>
      </c>
      <c r="AC50">
        <v>50</v>
      </c>
      <c r="AD50">
        <v>51</v>
      </c>
      <c r="AE50">
        <v>51</v>
      </c>
    </row>
    <row r="51" spans="1:31" x14ac:dyDescent="0.3">
      <c r="A51" t="s">
        <v>270</v>
      </c>
      <c r="B51" t="s">
        <v>220</v>
      </c>
      <c r="C51" t="s">
        <v>0</v>
      </c>
      <c r="D51" t="s">
        <v>221</v>
      </c>
      <c r="E51" t="s">
        <v>123</v>
      </c>
      <c r="F51">
        <v>22</v>
      </c>
      <c r="G51">
        <v>23</v>
      </c>
      <c r="H51">
        <v>24</v>
      </c>
      <c r="I51">
        <v>27</v>
      </c>
      <c r="J51">
        <v>30</v>
      </c>
      <c r="K51">
        <v>29</v>
      </c>
      <c r="L51">
        <v>24</v>
      </c>
      <c r="M51">
        <v>21</v>
      </c>
      <c r="N51">
        <v>22</v>
      </c>
      <c r="O51">
        <v>25</v>
      </c>
      <c r="P51">
        <v>27</v>
      </c>
      <c r="Q51">
        <v>25</v>
      </c>
      <c r="R51">
        <v>28</v>
      </c>
      <c r="S51">
        <v>29</v>
      </c>
      <c r="T51">
        <v>30</v>
      </c>
      <c r="U51">
        <v>30</v>
      </c>
      <c r="V51">
        <v>30</v>
      </c>
      <c r="W51">
        <v>29</v>
      </c>
      <c r="X51">
        <v>31</v>
      </c>
      <c r="Y51">
        <v>32</v>
      </c>
      <c r="Z51">
        <v>32</v>
      </c>
      <c r="AA51">
        <v>34</v>
      </c>
      <c r="AB51">
        <v>35</v>
      </c>
      <c r="AC51">
        <v>38</v>
      </c>
      <c r="AD51">
        <v>38</v>
      </c>
      <c r="AE51">
        <v>36</v>
      </c>
    </row>
    <row r="52" spans="1:31" x14ac:dyDescent="0.3">
      <c r="A52" t="s">
        <v>270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0</v>
      </c>
      <c r="N52">
        <v>0</v>
      </c>
      <c r="O52">
        <v>1</v>
      </c>
      <c r="P52">
        <v>1</v>
      </c>
      <c r="Q52">
        <v>2</v>
      </c>
      <c r="R52">
        <v>4</v>
      </c>
      <c r="S52">
        <v>5</v>
      </c>
      <c r="T52">
        <v>6</v>
      </c>
      <c r="U52">
        <v>7</v>
      </c>
      <c r="V52">
        <v>7</v>
      </c>
      <c r="W52">
        <v>8</v>
      </c>
      <c r="X52">
        <v>8</v>
      </c>
      <c r="Y52">
        <v>6</v>
      </c>
      <c r="Z52">
        <v>6</v>
      </c>
      <c r="AA52">
        <v>6</v>
      </c>
      <c r="AB52">
        <v>8</v>
      </c>
      <c r="AC52">
        <v>12</v>
      </c>
      <c r="AD52">
        <v>13</v>
      </c>
      <c r="AE52">
        <v>15</v>
      </c>
    </row>
    <row r="53" spans="1:31" x14ac:dyDescent="0.3">
      <c r="A53" t="s">
        <v>270</v>
      </c>
      <c r="B53" t="s">
        <v>224</v>
      </c>
      <c r="C53" t="s">
        <v>0</v>
      </c>
      <c r="D53" t="s">
        <v>225</v>
      </c>
      <c r="E53" t="s">
        <v>123</v>
      </c>
      <c r="F53">
        <v>14</v>
      </c>
      <c r="G53">
        <v>14</v>
      </c>
      <c r="H53">
        <v>20</v>
      </c>
      <c r="I53">
        <v>20</v>
      </c>
      <c r="J53">
        <v>13</v>
      </c>
      <c r="K53">
        <v>14</v>
      </c>
      <c r="L53">
        <v>12</v>
      </c>
      <c r="M53">
        <v>9</v>
      </c>
      <c r="N53">
        <v>11</v>
      </c>
      <c r="O53">
        <v>14</v>
      </c>
      <c r="P53">
        <v>13</v>
      </c>
      <c r="Q53">
        <v>14</v>
      </c>
      <c r="R53">
        <v>14</v>
      </c>
      <c r="S53">
        <v>14</v>
      </c>
      <c r="T53">
        <v>13</v>
      </c>
      <c r="U53">
        <v>11</v>
      </c>
      <c r="V53">
        <v>12</v>
      </c>
      <c r="W53">
        <v>14</v>
      </c>
      <c r="X53">
        <v>16</v>
      </c>
      <c r="Y53">
        <v>16</v>
      </c>
      <c r="Z53">
        <v>17</v>
      </c>
      <c r="AA53">
        <v>18</v>
      </c>
      <c r="AB53">
        <v>19</v>
      </c>
      <c r="AC53">
        <v>19</v>
      </c>
      <c r="AD53">
        <v>18</v>
      </c>
      <c r="AE53">
        <v>16</v>
      </c>
    </row>
    <row r="54" spans="1:31" x14ac:dyDescent="0.3">
      <c r="A54" t="s">
        <v>270</v>
      </c>
      <c r="B54" t="s">
        <v>226</v>
      </c>
      <c r="C54" t="s">
        <v>0</v>
      </c>
      <c r="D54" t="s">
        <v>227</v>
      </c>
      <c r="E54" t="s">
        <v>123</v>
      </c>
      <c r="F54">
        <v>23</v>
      </c>
      <c r="G54">
        <v>23</v>
      </c>
      <c r="H54">
        <v>26</v>
      </c>
      <c r="I54">
        <v>30</v>
      </c>
      <c r="J54">
        <v>23</v>
      </c>
      <c r="K54">
        <v>23</v>
      </c>
      <c r="L54">
        <v>20</v>
      </c>
      <c r="M54">
        <v>15</v>
      </c>
      <c r="N54">
        <v>18</v>
      </c>
      <c r="O54">
        <v>21</v>
      </c>
      <c r="P54">
        <v>21</v>
      </c>
      <c r="Q54">
        <v>25</v>
      </c>
      <c r="R54">
        <v>25</v>
      </c>
      <c r="S54">
        <v>26</v>
      </c>
      <c r="T54">
        <v>24</v>
      </c>
      <c r="U54">
        <v>23</v>
      </c>
      <c r="V54">
        <v>23</v>
      </c>
      <c r="W54">
        <v>26</v>
      </c>
      <c r="X54">
        <v>29</v>
      </c>
      <c r="Y54">
        <v>29</v>
      </c>
      <c r="Z54">
        <v>30</v>
      </c>
      <c r="AA54">
        <v>31</v>
      </c>
      <c r="AB54">
        <v>32</v>
      </c>
      <c r="AC54">
        <v>30</v>
      </c>
      <c r="AD54">
        <v>28</v>
      </c>
      <c r="AE54">
        <v>22</v>
      </c>
    </row>
    <row r="55" spans="1:31" x14ac:dyDescent="0.3">
      <c r="A55" t="s">
        <v>270</v>
      </c>
      <c r="B55" t="s">
        <v>228</v>
      </c>
      <c r="C55" t="s">
        <v>0</v>
      </c>
      <c r="D55" t="s">
        <v>229</v>
      </c>
      <c r="E55" t="s">
        <v>123</v>
      </c>
      <c r="F55">
        <v>9</v>
      </c>
      <c r="G55">
        <v>9</v>
      </c>
      <c r="H55">
        <v>6</v>
      </c>
      <c r="I55">
        <v>10</v>
      </c>
      <c r="J55">
        <v>10</v>
      </c>
      <c r="K55">
        <v>9</v>
      </c>
      <c r="L55">
        <v>8</v>
      </c>
      <c r="M55">
        <v>6</v>
      </c>
      <c r="N55">
        <v>7</v>
      </c>
      <c r="O55">
        <v>7</v>
      </c>
      <c r="P55">
        <v>8</v>
      </c>
      <c r="Q55">
        <v>11</v>
      </c>
      <c r="R55">
        <v>11</v>
      </c>
      <c r="S55">
        <v>12</v>
      </c>
      <c r="T55">
        <v>11</v>
      </c>
      <c r="U55">
        <v>12</v>
      </c>
      <c r="V55">
        <v>11</v>
      </c>
      <c r="W55">
        <v>12</v>
      </c>
      <c r="X55">
        <v>13</v>
      </c>
      <c r="Y55">
        <v>13</v>
      </c>
      <c r="Z55">
        <v>13</v>
      </c>
      <c r="AA55">
        <v>13</v>
      </c>
      <c r="AB55">
        <v>13</v>
      </c>
      <c r="AC55">
        <v>11</v>
      </c>
      <c r="AD55">
        <v>10</v>
      </c>
      <c r="AE55">
        <v>6</v>
      </c>
    </row>
    <row r="56" spans="1:31" x14ac:dyDescent="0.3">
      <c r="A56" t="s">
        <v>270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270</v>
      </c>
      <c r="B57" t="s">
        <v>232</v>
      </c>
      <c r="C57" t="s">
        <v>0</v>
      </c>
      <c r="D57" t="s">
        <v>233</v>
      </c>
      <c r="E57" t="s">
        <v>123</v>
      </c>
      <c r="F57">
        <v>1100</v>
      </c>
      <c r="G57">
        <v>1162</v>
      </c>
      <c r="H57">
        <v>1131</v>
      </c>
      <c r="I57">
        <v>1226</v>
      </c>
      <c r="J57">
        <v>1254</v>
      </c>
      <c r="K57">
        <v>1199</v>
      </c>
      <c r="L57">
        <v>954</v>
      </c>
      <c r="M57">
        <v>809</v>
      </c>
      <c r="N57">
        <v>765</v>
      </c>
      <c r="O57">
        <v>812</v>
      </c>
      <c r="P57">
        <v>878</v>
      </c>
      <c r="Q57">
        <v>939</v>
      </c>
      <c r="R57">
        <v>1108</v>
      </c>
      <c r="S57">
        <v>1274</v>
      </c>
      <c r="T57">
        <v>1192</v>
      </c>
      <c r="U57">
        <v>1208</v>
      </c>
      <c r="V57">
        <v>1307</v>
      </c>
      <c r="W57">
        <v>1368</v>
      </c>
      <c r="X57">
        <v>1379</v>
      </c>
      <c r="Y57">
        <v>1469</v>
      </c>
      <c r="Z57">
        <v>1633</v>
      </c>
      <c r="AA57">
        <v>1801</v>
      </c>
      <c r="AB57">
        <v>2031</v>
      </c>
      <c r="AC57">
        <v>2419</v>
      </c>
      <c r="AD57">
        <v>2344</v>
      </c>
      <c r="AE57">
        <v>2186</v>
      </c>
    </row>
    <row r="58" spans="1:31" x14ac:dyDescent="0.3">
      <c r="A58" t="s">
        <v>270</v>
      </c>
      <c r="B58" t="s">
        <v>234</v>
      </c>
      <c r="C58" t="s">
        <v>0</v>
      </c>
      <c r="D58" t="s">
        <v>235</v>
      </c>
      <c r="E58" t="s">
        <v>123</v>
      </c>
      <c r="F58">
        <v>1100</v>
      </c>
      <c r="G58">
        <v>1162</v>
      </c>
      <c r="H58">
        <v>1131</v>
      </c>
      <c r="I58">
        <v>1226</v>
      </c>
      <c r="J58">
        <v>1254</v>
      </c>
      <c r="K58">
        <v>1199</v>
      </c>
      <c r="L58">
        <v>954</v>
      </c>
      <c r="M58">
        <v>809</v>
      </c>
      <c r="N58">
        <v>765</v>
      </c>
      <c r="O58">
        <v>812</v>
      </c>
      <c r="P58">
        <v>878</v>
      </c>
      <c r="Q58">
        <v>939</v>
      </c>
      <c r="R58">
        <v>1108</v>
      </c>
      <c r="S58">
        <v>1274</v>
      </c>
      <c r="T58">
        <v>1192</v>
      </c>
      <c r="U58">
        <v>1208</v>
      </c>
      <c r="V58">
        <v>1307</v>
      </c>
      <c r="W58">
        <v>1368</v>
      </c>
      <c r="X58">
        <v>1379</v>
      </c>
      <c r="Y58">
        <v>1469</v>
      </c>
      <c r="Z58">
        <v>1633</v>
      </c>
      <c r="AA58">
        <v>1801</v>
      </c>
      <c r="AB58">
        <v>2031</v>
      </c>
      <c r="AC58">
        <v>2419</v>
      </c>
      <c r="AD58">
        <v>2344</v>
      </c>
      <c r="AE58">
        <v>2186</v>
      </c>
    </row>
    <row r="59" spans="1:31" x14ac:dyDescent="0.3">
      <c r="A59" t="s">
        <v>270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271</v>
      </c>
      <c r="B2" t="s">
        <v>121</v>
      </c>
      <c r="C2" t="s">
        <v>0</v>
      </c>
      <c r="D2" t="s">
        <v>122</v>
      </c>
      <c r="E2" t="s">
        <v>123</v>
      </c>
      <c r="F2">
        <v>26</v>
      </c>
      <c r="G2">
        <v>30</v>
      </c>
      <c r="H2">
        <v>38</v>
      </c>
      <c r="I2">
        <v>47</v>
      </c>
      <c r="J2">
        <v>56</v>
      </c>
      <c r="K2">
        <v>61</v>
      </c>
      <c r="L2">
        <v>62</v>
      </c>
      <c r="M2">
        <v>61</v>
      </c>
      <c r="N2">
        <v>66</v>
      </c>
      <c r="O2">
        <v>72</v>
      </c>
      <c r="P2">
        <v>77</v>
      </c>
      <c r="Q2">
        <v>73</v>
      </c>
      <c r="R2">
        <v>66</v>
      </c>
      <c r="S2">
        <v>59</v>
      </c>
      <c r="T2">
        <v>59</v>
      </c>
      <c r="U2">
        <v>52</v>
      </c>
      <c r="V2">
        <v>51</v>
      </c>
      <c r="W2">
        <v>52</v>
      </c>
      <c r="X2">
        <v>53</v>
      </c>
      <c r="Y2">
        <v>54</v>
      </c>
      <c r="Z2">
        <v>55</v>
      </c>
      <c r="AA2">
        <v>56</v>
      </c>
      <c r="AB2">
        <v>57</v>
      </c>
      <c r="AC2">
        <v>59</v>
      </c>
      <c r="AD2">
        <v>54</v>
      </c>
      <c r="AE2">
        <v>54</v>
      </c>
    </row>
    <row r="3" spans="1:31" x14ac:dyDescent="0.3">
      <c r="A3" t="s">
        <v>271</v>
      </c>
      <c r="B3" t="s">
        <v>124</v>
      </c>
      <c r="C3" t="s">
        <v>0</v>
      </c>
      <c r="D3" t="s">
        <v>125</v>
      </c>
      <c r="E3" t="s">
        <v>123</v>
      </c>
      <c r="F3">
        <v>1</v>
      </c>
      <c r="G3">
        <v>2</v>
      </c>
      <c r="H3">
        <v>2</v>
      </c>
      <c r="I3">
        <v>3</v>
      </c>
      <c r="J3">
        <v>3</v>
      </c>
      <c r="K3">
        <v>4</v>
      </c>
      <c r="L3">
        <v>4</v>
      </c>
      <c r="M3">
        <v>4</v>
      </c>
      <c r="N3">
        <v>5</v>
      </c>
      <c r="O3">
        <v>7</v>
      </c>
      <c r="P3">
        <v>8</v>
      </c>
      <c r="Q3">
        <v>15</v>
      </c>
      <c r="R3">
        <v>22</v>
      </c>
      <c r="S3">
        <v>28</v>
      </c>
      <c r="T3">
        <v>31</v>
      </c>
      <c r="U3">
        <v>29</v>
      </c>
      <c r="V3">
        <v>33</v>
      </c>
      <c r="W3">
        <v>40</v>
      </c>
      <c r="X3">
        <v>47</v>
      </c>
      <c r="Y3">
        <v>50</v>
      </c>
      <c r="Z3">
        <v>51</v>
      </c>
      <c r="AA3">
        <v>51</v>
      </c>
      <c r="AB3">
        <v>49</v>
      </c>
      <c r="AC3">
        <v>46</v>
      </c>
      <c r="AD3">
        <v>45</v>
      </c>
      <c r="AE3">
        <v>46</v>
      </c>
    </row>
    <row r="4" spans="1:31" x14ac:dyDescent="0.3">
      <c r="A4" t="s">
        <v>271</v>
      </c>
      <c r="B4" t="s">
        <v>126</v>
      </c>
      <c r="C4" t="s">
        <v>0</v>
      </c>
      <c r="D4" t="s">
        <v>127</v>
      </c>
      <c r="E4" t="s">
        <v>123</v>
      </c>
      <c r="F4">
        <v>216</v>
      </c>
      <c r="G4">
        <v>280</v>
      </c>
      <c r="H4">
        <v>353</v>
      </c>
      <c r="I4">
        <v>438</v>
      </c>
      <c r="J4">
        <v>520</v>
      </c>
      <c r="K4">
        <v>565</v>
      </c>
      <c r="L4">
        <v>632</v>
      </c>
      <c r="M4">
        <v>617</v>
      </c>
      <c r="N4">
        <v>643</v>
      </c>
      <c r="O4">
        <v>673</v>
      </c>
      <c r="P4">
        <v>702</v>
      </c>
      <c r="Q4">
        <v>811</v>
      </c>
      <c r="R4">
        <v>931</v>
      </c>
      <c r="S4">
        <v>997</v>
      </c>
      <c r="T4">
        <v>1015</v>
      </c>
      <c r="U4">
        <v>945</v>
      </c>
      <c r="V4">
        <v>943</v>
      </c>
      <c r="W4">
        <v>990</v>
      </c>
      <c r="X4">
        <v>1015</v>
      </c>
      <c r="Y4">
        <v>992</v>
      </c>
      <c r="Z4">
        <v>1065</v>
      </c>
      <c r="AA4">
        <v>1120</v>
      </c>
      <c r="AB4">
        <v>1199</v>
      </c>
      <c r="AC4">
        <v>1224</v>
      </c>
      <c r="AD4">
        <v>1211</v>
      </c>
      <c r="AE4">
        <v>1190</v>
      </c>
    </row>
    <row r="5" spans="1:31" x14ac:dyDescent="0.3">
      <c r="A5" t="s">
        <v>271</v>
      </c>
      <c r="B5" t="s">
        <v>128</v>
      </c>
      <c r="C5" t="s">
        <v>0</v>
      </c>
      <c r="D5" t="s">
        <v>129</v>
      </c>
      <c r="E5" t="s">
        <v>123</v>
      </c>
      <c r="F5">
        <v>18</v>
      </c>
      <c r="G5">
        <v>21</v>
      </c>
      <c r="H5">
        <v>27</v>
      </c>
      <c r="I5">
        <v>34</v>
      </c>
      <c r="J5">
        <v>39</v>
      </c>
      <c r="K5">
        <v>40</v>
      </c>
      <c r="L5">
        <v>42</v>
      </c>
      <c r="M5">
        <v>43</v>
      </c>
      <c r="N5">
        <v>47</v>
      </c>
      <c r="O5">
        <v>51</v>
      </c>
      <c r="P5">
        <v>53</v>
      </c>
      <c r="Q5">
        <v>62</v>
      </c>
      <c r="R5">
        <v>69</v>
      </c>
      <c r="S5">
        <v>77</v>
      </c>
      <c r="T5">
        <v>85</v>
      </c>
      <c r="U5">
        <v>81</v>
      </c>
      <c r="V5">
        <v>83</v>
      </c>
      <c r="W5">
        <v>85</v>
      </c>
      <c r="X5">
        <v>87</v>
      </c>
      <c r="Y5">
        <v>87</v>
      </c>
      <c r="Z5">
        <v>93</v>
      </c>
      <c r="AA5">
        <v>95</v>
      </c>
      <c r="AB5">
        <v>107</v>
      </c>
      <c r="AC5">
        <v>108</v>
      </c>
      <c r="AD5">
        <v>105</v>
      </c>
      <c r="AE5">
        <v>103</v>
      </c>
    </row>
    <row r="6" spans="1:31" x14ac:dyDescent="0.3">
      <c r="A6" t="s">
        <v>271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1</v>
      </c>
      <c r="H6">
        <v>3</v>
      </c>
      <c r="I6">
        <v>3</v>
      </c>
      <c r="J6">
        <v>3</v>
      </c>
      <c r="K6">
        <v>4</v>
      </c>
      <c r="L6">
        <v>4</v>
      </c>
      <c r="M6">
        <v>3</v>
      </c>
      <c r="N6">
        <v>2</v>
      </c>
      <c r="O6">
        <v>3</v>
      </c>
      <c r="P6">
        <v>4</v>
      </c>
      <c r="Q6">
        <v>4</v>
      </c>
      <c r="R6">
        <v>4</v>
      </c>
      <c r="S6">
        <v>4</v>
      </c>
      <c r="T6">
        <v>3</v>
      </c>
      <c r="U6">
        <v>3</v>
      </c>
      <c r="V6">
        <v>2</v>
      </c>
      <c r="W6">
        <v>2</v>
      </c>
      <c r="X6">
        <v>2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</row>
    <row r="7" spans="1:31" x14ac:dyDescent="0.3">
      <c r="A7" t="s">
        <v>271</v>
      </c>
      <c r="B7" t="s">
        <v>132</v>
      </c>
      <c r="C7" t="s">
        <v>0</v>
      </c>
      <c r="D7" t="s">
        <v>133</v>
      </c>
      <c r="E7" t="s">
        <v>123</v>
      </c>
      <c r="F7">
        <v>59</v>
      </c>
      <c r="G7">
        <v>91</v>
      </c>
      <c r="H7">
        <v>111</v>
      </c>
      <c r="I7">
        <v>142</v>
      </c>
      <c r="J7">
        <v>163</v>
      </c>
      <c r="K7">
        <v>172</v>
      </c>
      <c r="L7">
        <v>198</v>
      </c>
      <c r="M7">
        <v>191</v>
      </c>
      <c r="N7">
        <v>204</v>
      </c>
      <c r="O7">
        <v>207</v>
      </c>
      <c r="P7">
        <v>209</v>
      </c>
      <c r="Q7">
        <v>238</v>
      </c>
      <c r="R7">
        <v>259</v>
      </c>
      <c r="S7">
        <v>276</v>
      </c>
      <c r="T7">
        <v>257</v>
      </c>
      <c r="U7">
        <v>230</v>
      </c>
      <c r="V7">
        <v>230</v>
      </c>
      <c r="W7">
        <v>229</v>
      </c>
      <c r="X7">
        <v>233</v>
      </c>
      <c r="Y7">
        <v>222</v>
      </c>
      <c r="Z7">
        <v>230</v>
      </c>
      <c r="AA7">
        <v>242</v>
      </c>
      <c r="AB7">
        <v>292</v>
      </c>
      <c r="AC7">
        <v>283</v>
      </c>
      <c r="AD7">
        <v>279</v>
      </c>
      <c r="AE7">
        <v>262</v>
      </c>
    </row>
    <row r="8" spans="1:31" x14ac:dyDescent="0.3">
      <c r="A8" t="s">
        <v>271</v>
      </c>
      <c r="B8" t="s">
        <v>134</v>
      </c>
      <c r="C8" t="s">
        <v>0</v>
      </c>
      <c r="D8" t="s">
        <v>135</v>
      </c>
      <c r="E8" t="s">
        <v>123</v>
      </c>
      <c r="F8">
        <v>2</v>
      </c>
      <c r="G8">
        <v>3</v>
      </c>
      <c r="H8">
        <v>8</v>
      </c>
      <c r="I8">
        <v>8</v>
      </c>
      <c r="J8">
        <v>10</v>
      </c>
      <c r="K8">
        <v>10</v>
      </c>
      <c r="L8">
        <v>13</v>
      </c>
      <c r="M8">
        <v>11</v>
      </c>
      <c r="N8">
        <v>13</v>
      </c>
      <c r="O8">
        <v>12</v>
      </c>
      <c r="P8">
        <v>19</v>
      </c>
      <c r="Q8">
        <v>27</v>
      </c>
      <c r="R8">
        <v>59</v>
      </c>
      <c r="S8">
        <v>61</v>
      </c>
      <c r="T8">
        <v>57</v>
      </c>
      <c r="U8">
        <v>54</v>
      </c>
      <c r="V8">
        <v>48</v>
      </c>
      <c r="W8">
        <v>49</v>
      </c>
      <c r="X8">
        <v>49</v>
      </c>
      <c r="Y8">
        <v>49</v>
      </c>
      <c r="Z8">
        <v>59</v>
      </c>
      <c r="AA8">
        <v>48</v>
      </c>
      <c r="AB8">
        <v>9</v>
      </c>
      <c r="AC8">
        <v>10</v>
      </c>
      <c r="AD8">
        <v>10</v>
      </c>
      <c r="AE8">
        <v>9</v>
      </c>
    </row>
    <row r="9" spans="1:31" x14ac:dyDescent="0.3">
      <c r="A9" t="s">
        <v>271</v>
      </c>
      <c r="B9" t="s">
        <v>136</v>
      </c>
      <c r="C9" t="s">
        <v>0</v>
      </c>
      <c r="D9" t="s">
        <v>137</v>
      </c>
      <c r="E9" t="s">
        <v>123</v>
      </c>
      <c r="F9">
        <v>37</v>
      </c>
      <c r="G9">
        <v>41</v>
      </c>
      <c r="H9">
        <v>50</v>
      </c>
      <c r="I9">
        <v>56</v>
      </c>
      <c r="J9">
        <v>65</v>
      </c>
      <c r="K9">
        <v>65</v>
      </c>
      <c r="L9">
        <v>67</v>
      </c>
      <c r="M9">
        <v>68</v>
      </c>
      <c r="N9">
        <v>71</v>
      </c>
      <c r="O9">
        <v>77</v>
      </c>
      <c r="P9">
        <v>78</v>
      </c>
      <c r="Q9">
        <v>89</v>
      </c>
      <c r="R9">
        <v>119</v>
      </c>
      <c r="S9">
        <v>127</v>
      </c>
      <c r="T9">
        <v>128</v>
      </c>
      <c r="U9">
        <v>114</v>
      </c>
      <c r="V9">
        <v>115</v>
      </c>
      <c r="W9">
        <v>126</v>
      </c>
      <c r="X9">
        <v>143</v>
      </c>
      <c r="Y9">
        <v>143</v>
      </c>
      <c r="Z9">
        <v>171</v>
      </c>
      <c r="AA9">
        <v>213</v>
      </c>
      <c r="AB9">
        <v>269</v>
      </c>
      <c r="AC9">
        <v>295</v>
      </c>
      <c r="AD9">
        <v>303</v>
      </c>
      <c r="AE9">
        <v>309</v>
      </c>
    </row>
    <row r="10" spans="1:31" x14ac:dyDescent="0.3">
      <c r="A10" t="s">
        <v>271</v>
      </c>
      <c r="B10" t="s">
        <v>138</v>
      </c>
      <c r="C10" t="s">
        <v>0</v>
      </c>
      <c r="D10" t="s">
        <v>139</v>
      </c>
      <c r="E10" t="s">
        <v>123</v>
      </c>
      <c r="F10">
        <v>41</v>
      </c>
      <c r="G10">
        <v>45</v>
      </c>
      <c r="H10">
        <v>55</v>
      </c>
      <c r="I10">
        <v>62</v>
      </c>
      <c r="J10">
        <v>71</v>
      </c>
      <c r="K10">
        <v>71</v>
      </c>
      <c r="L10">
        <v>74</v>
      </c>
      <c r="M10">
        <v>76</v>
      </c>
      <c r="N10">
        <v>78</v>
      </c>
      <c r="O10">
        <v>85</v>
      </c>
      <c r="P10">
        <v>86</v>
      </c>
      <c r="Q10">
        <v>98</v>
      </c>
      <c r="R10">
        <v>130</v>
      </c>
      <c r="S10">
        <v>140</v>
      </c>
      <c r="T10">
        <v>143</v>
      </c>
      <c r="U10">
        <v>131</v>
      </c>
      <c r="V10">
        <v>133</v>
      </c>
      <c r="W10">
        <v>147</v>
      </c>
      <c r="X10">
        <v>170</v>
      </c>
      <c r="Y10">
        <v>171</v>
      </c>
      <c r="Z10">
        <v>202</v>
      </c>
      <c r="AA10">
        <v>245</v>
      </c>
      <c r="AB10">
        <v>301</v>
      </c>
      <c r="AC10">
        <v>329</v>
      </c>
      <c r="AD10">
        <v>339</v>
      </c>
      <c r="AE10">
        <v>344</v>
      </c>
    </row>
    <row r="11" spans="1:31" x14ac:dyDescent="0.3">
      <c r="A11" t="s">
        <v>271</v>
      </c>
      <c r="B11" t="s">
        <v>140</v>
      </c>
      <c r="C11" t="s">
        <v>0</v>
      </c>
      <c r="D11" t="s">
        <v>141</v>
      </c>
      <c r="E11" t="s">
        <v>123</v>
      </c>
      <c r="F11">
        <v>4</v>
      </c>
      <c r="G11">
        <v>4</v>
      </c>
      <c r="H11">
        <v>5</v>
      </c>
      <c r="I11">
        <v>6</v>
      </c>
      <c r="J11">
        <v>6</v>
      </c>
      <c r="K11">
        <v>6</v>
      </c>
      <c r="L11">
        <v>7</v>
      </c>
      <c r="M11">
        <v>8</v>
      </c>
      <c r="N11">
        <v>7</v>
      </c>
      <c r="O11">
        <v>8</v>
      </c>
      <c r="P11">
        <v>8</v>
      </c>
      <c r="Q11">
        <v>9</v>
      </c>
      <c r="R11">
        <v>11</v>
      </c>
      <c r="S11">
        <v>13</v>
      </c>
      <c r="T11">
        <v>15</v>
      </c>
      <c r="U11">
        <v>17</v>
      </c>
      <c r="V11">
        <v>18</v>
      </c>
      <c r="W11">
        <v>21</v>
      </c>
      <c r="X11">
        <v>27</v>
      </c>
      <c r="Y11">
        <v>28</v>
      </c>
      <c r="Z11">
        <v>31</v>
      </c>
      <c r="AA11">
        <v>32</v>
      </c>
      <c r="AB11">
        <v>32</v>
      </c>
      <c r="AC11">
        <v>34</v>
      </c>
      <c r="AD11">
        <v>36</v>
      </c>
      <c r="AE11">
        <v>35</v>
      </c>
    </row>
    <row r="12" spans="1:31" x14ac:dyDescent="0.3">
      <c r="A12" t="s">
        <v>271</v>
      </c>
      <c r="B12" t="s">
        <v>142</v>
      </c>
      <c r="C12" t="s">
        <v>0</v>
      </c>
      <c r="D12" t="s">
        <v>143</v>
      </c>
      <c r="E12" t="s">
        <v>123</v>
      </c>
      <c r="F12">
        <v>13</v>
      </c>
      <c r="G12">
        <v>17</v>
      </c>
      <c r="H12">
        <v>21</v>
      </c>
      <c r="I12">
        <v>27</v>
      </c>
      <c r="J12">
        <v>34</v>
      </c>
      <c r="K12">
        <v>39</v>
      </c>
      <c r="L12">
        <v>41</v>
      </c>
      <c r="M12">
        <v>42</v>
      </c>
      <c r="N12">
        <v>45</v>
      </c>
      <c r="O12">
        <v>50</v>
      </c>
      <c r="P12">
        <v>52</v>
      </c>
      <c r="Q12">
        <v>63</v>
      </c>
      <c r="R12">
        <v>66</v>
      </c>
      <c r="S12">
        <v>70</v>
      </c>
      <c r="T12">
        <v>73</v>
      </c>
      <c r="U12">
        <v>67</v>
      </c>
      <c r="V12">
        <v>64</v>
      </c>
      <c r="W12">
        <v>67</v>
      </c>
      <c r="X12">
        <v>68</v>
      </c>
      <c r="Y12">
        <v>66</v>
      </c>
      <c r="Z12">
        <v>70</v>
      </c>
      <c r="AA12">
        <v>70</v>
      </c>
      <c r="AB12">
        <v>67</v>
      </c>
      <c r="AC12">
        <v>64</v>
      </c>
      <c r="AD12">
        <v>58</v>
      </c>
      <c r="AE12">
        <v>54</v>
      </c>
    </row>
    <row r="13" spans="1:31" x14ac:dyDescent="0.3">
      <c r="A13" t="s">
        <v>271</v>
      </c>
      <c r="B13" t="s">
        <v>144</v>
      </c>
      <c r="C13" t="s">
        <v>0</v>
      </c>
      <c r="D13" t="s">
        <v>145</v>
      </c>
      <c r="E13" t="s">
        <v>123</v>
      </c>
      <c r="F13">
        <v>13</v>
      </c>
      <c r="G13">
        <v>16</v>
      </c>
      <c r="H13">
        <v>19</v>
      </c>
      <c r="I13">
        <v>24</v>
      </c>
      <c r="J13">
        <v>26</v>
      </c>
      <c r="K13">
        <v>30</v>
      </c>
      <c r="L13">
        <v>33</v>
      </c>
      <c r="M13">
        <v>35</v>
      </c>
      <c r="N13">
        <v>35</v>
      </c>
      <c r="O13">
        <v>39</v>
      </c>
      <c r="P13">
        <v>41</v>
      </c>
      <c r="Q13">
        <v>57</v>
      </c>
      <c r="R13">
        <v>80</v>
      </c>
      <c r="S13">
        <v>87</v>
      </c>
      <c r="T13">
        <v>112</v>
      </c>
      <c r="U13">
        <v>123</v>
      </c>
      <c r="V13">
        <v>126</v>
      </c>
      <c r="W13">
        <v>151</v>
      </c>
      <c r="X13">
        <v>150</v>
      </c>
      <c r="Y13">
        <v>147</v>
      </c>
      <c r="Z13">
        <v>151</v>
      </c>
      <c r="AA13">
        <v>154</v>
      </c>
      <c r="AB13">
        <v>153</v>
      </c>
      <c r="AC13">
        <v>159</v>
      </c>
      <c r="AD13">
        <v>166</v>
      </c>
      <c r="AE13">
        <v>163</v>
      </c>
    </row>
    <row r="14" spans="1:31" x14ac:dyDescent="0.3">
      <c r="A14" t="s">
        <v>271</v>
      </c>
      <c r="B14" t="s">
        <v>146</v>
      </c>
      <c r="C14" t="s">
        <v>0</v>
      </c>
      <c r="D14" t="s">
        <v>147</v>
      </c>
      <c r="E14" t="s">
        <v>123</v>
      </c>
      <c r="F14">
        <v>51</v>
      </c>
      <c r="G14">
        <v>58</v>
      </c>
      <c r="H14">
        <v>70</v>
      </c>
      <c r="I14">
        <v>90</v>
      </c>
      <c r="J14">
        <v>119</v>
      </c>
      <c r="K14">
        <v>140</v>
      </c>
      <c r="L14">
        <v>163</v>
      </c>
      <c r="M14">
        <v>154</v>
      </c>
      <c r="N14">
        <v>154</v>
      </c>
      <c r="O14">
        <v>159</v>
      </c>
      <c r="P14">
        <v>168</v>
      </c>
      <c r="Q14">
        <v>181</v>
      </c>
      <c r="R14">
        <v>172</v>
      </c>
      <c r="S14">
        <v>180</v>
      </c>
      <c r="T14">
        <v>168</v>
      </c>
      <c r="U14">
        <v>152</v>
      </c>
      <c r="V14">
        <v>152</v>
      </c>
      <c r="W14">
        <v>151</v>
      </c>
      <c r="X14">
        <v>145</v>
      </c>
      <c r="Y14">
        <v>139</v>
      </c>
      <c r="Z14">
        <v>143</v>
      </c>
      <c r="AA14">
        <v>144</v>
      </c>
      <c r="AB14">
        <v>148</v>
      </c>
      <c r="AC14">
        <v>146</v>
      </c>
      <c r="AD14">
        <v>145</v>
      </c>
      <c r="AE14">
        <v>149</v>
      </c>
    </row>
    <row r="15" spans="1:31" x14ac:dyDescent="0.3">
      <c r="A15" t="s">
        <v>271</v>
      </c>
      <c r="B15" t="s">
        <v>148</v>
      </c>
      <c r="C15" t="s">
        <v>0</v>
      </c>
      <c r="D15" t="s">
        <v>149</v>
      </c>
      <c r="E15" t="s">
        <v>123</v>
      </c>
      <c r="F15">
        <v>57</v>
      </c>
      <c r="G15">
        <v>67</v>
      </c>
      <c r="H15">
        <v>82</v>
      </c>
      <c r="I15">
        <v>105</v>
      </c>
      <c r="J15">
        <v>136</v>
      </c>
      <c r="K15">
        <v>159</v>
      </c>
      <c r="L15">
        <v>184</v>
      </c>
      <c r="M15">
        <v>173</v>
      </c>
      <c r="N15">
        <v>174</v>
      </c>
      <c r="O15">
        <v>180</v>
      </c>
      <c r="P15">
        <v>190</v>
      </c>
      <c r="Q15">
        <v>203</v>
      </c>
      <c r="R15">
        <v>196</v>
      </c>
      <c r="S15">
        <v>206</v>
      </c>
      <c r="T15">
        <v>195</v>
      </c>
      <c r="U15">
        <v>177</v>
      </c>
      <c r="V15">
        <v>177</v>
      </c>
      <c r="W15">
        <v>177</v>
      </c>
      <c r="X15">
        <v>173</v>
      </c>
      <c r="Y15">
        <v>164</v>
      </c>
      <c r="Z15">
        <v>170</v>
      </c>
      <c r="AA15">
        <v>172</v>
      </c>
      <c r="AB15">
        <v>178</v>
      </c>
      <c r="AC15">
        <v>175</v>
      </c>
      <c r="AD15">
        <v>171</v>
      </c>
      <c r="AE15">
        <v>175</v>
      </c>
    </row>
    <row r="16" spans="1:31" x14ac:dyDescent="0.3">
      <c r="A16" t="s">
        <v>271</v>
      </c>
      <c r="B16" t="s">
        <v>150</v>
      </c>
      <c r="C16" t="s">
        <v>0</v>
      </c>
      <c r="D16" t="s">
        <v>151</v>
      </c>
      <c r="E16" t="s">
        <v>123</v>
      </c>
      <c r="F16">
        <v>6</v>
      </c>
      <c r="G16">
        <v>9</v>
      </c>
      <c r="H16">
        <v>12</v>
      </c>
      <c r="I16">
        <v>15</v>
      </c>
      <c r="J16">
        <v>17</v>
      </c>
      <c r="K16">
        <v>19</v>
      </c>
      <c r="L16">
        <v>21</v>
      </c>
      <c r="M16">
        <v>19</v>
      </c>
      <c r="N16">
        <v>20</v>
      </c>
      <c r="O16">
        <v>21</v>
      </c>
      <c r="P16">
        <v>22</v>
      </c>
      <c r="Q16">
        <v>22</v>
      </c>
      <c r="R16">
        <v>24</v>
      </c>
      <c r="S16">
        <v>26</v>
      </c>
      <c r="T16">
        <v>27</v>
      </c>
      <c r="U16">
        <v>25</v>
      </c>
      <c r="V16">
        <v>25</v>
      </c>
      <c r="W16">
        <v>26</v>
      </c>
      <c r="X16">
        <v>28</v>
      </c>
      <c r="Y16">
        <v>25</v>
      </c>
      <c r="Z16">
        <v>27</v>
      </c>
      <c r="AA16">
        <v>28</v>
      </c>
      <c r="AB16">
        <v>30</v>
      </c>
      <c r="AC16">
        <v>29</v>
      </c>
      <c r="AD16">
        <v>26</v>
      </c>
      <c r="AE16">
        <v>26</v>
      </c>
    </row>
    <row r="17" spans="1:31" x14ac:dyDescent="0.3">
      <c r="A17" t="s">
        <v>271</v>
      </c>
      <c r="B17" t="s">
        <v>152</v>
      </c>
      <c r="C17" t="s">
        <v>0</v>
      </c>
      <c r="D17" t="s">
        <v>153</v>
      </c>
      <c r="E17" t="s">
        <v>123</v>
      </c>
      <c r="F17">
        <v>12</v>
      </c>
      <c r="G17">
        <v>17</v>
      </c>
      <c r="H17">
        <v>23</v>
      </c>
      <c r="I17">
        <v>28</v>
      </c>
      <c r="J17">
        <v>30</v>
      </c>
      <c r="K17">
        <v>33</v>
      </c>
      <c r="L17">
        <v>35</v>
      </c>
      <c r="M17">
        <v>35</v>
      </c>
      <c r="N17">
        <v>37</v>
      </c>
      <c r="O17">
        <v>37</v>
      </c>
      <c r="P17">
        <v>39</v>
      </c>
      <c r="Q17">
        <v>45</v>
      </c>
      <c r="R17">
        <v>48</v>
      </c>
      <c r="S17">
        <v>54</v>
      </c>
      <c r="T17">
        <v>63</v>
      </c>
      <c r="U17">
        <v>55</v>
      </c>
      <c r="V17">
        <v>53</v>
      </c>
      <c r="W17">
        <v>56</v>
      </c>
      <c r="X17">
        <v>56</v>
      </c>
      <c r="Y17">
        <v>58</v>
      </c>
      <c r="Z17">
        <v>62</v>
      </c>
      <c r="AA17">
        <v>64</v>
      </c>
      <c r="AB17">
        <v>64</v>
      </c>
      <c r="AC17">
        <v>67</v>
      </c>
      <c r="AD17">
        <v>65</v>
      </c>
      <c r="AE17">
        <v>63</v>
      </c>
    </row>
    <row r="18" spans="1:31" x14ac:dyDescent="0.3">
      <c r="A18" t="s">
        <v>271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1</v>
      </c>
      <c r="H18">
        <v>2</v>
      </c>
      <c r="I18">
        <v>2</v>
      </c>
      <c r="J18">
        <v>3</v>
      </c>
      <c r="K18">
        <v>3</v>
      </c>
      <c r="L18">
        <v>3</v>
      </c>
      <c r="M18">
        <v>3</v>
      </c>
      <c r="N18">
        <v>3</v>
      </c>
      <c r="O18">
        <v>4</v>
      </c>
      <c r="P18">
        <v>4</v>
      </c>
      <c r="Q18">
        <v>7</v>
      </c>
      <c r="R18">
        <v>10</v>
      </c>
      <c r="S18">
        <v>10</v>
      </c>
      <c r="T18">
        <v>15</v>
      </c>
      <c r="U18">
        <v>14</v>
      </c>
      <c r="V18">
        <v>15</v>
      </c>
      <c r="W18">
        <v>16</v>
      </c>
      <c r="X18">
        <v>14</v>
      </c>
      <c r="Y18">
        <v>13</v>
      </c>
      <c r="Z18">
        <v>11</v>
      </c>
      <c r="AA18">
        <v>11</v>
      </c>
      <c r="AB18">
        <v>8</v>
      </c>
      <c r="AC18">
        <v>8</v>
      </c>
      <c r="AD18">
        <v>0</v>
      </c>
      <c r="AE18">
        <v>0</v>
      </c>
    </row>
    <row r="19" spans="1:31" x14ac:dyDescent="0.3">
      <c r="A19" t="s">
        <v>271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1</v>
      </c>
      <c r="H19">
        <v>2</v>
      </c>
      <c r="I19">
        <v>3</v>
      </c>
      <c r="J19">
        <v>5</v>
      </c>
      <c r="K19">
        <v>4</v>
      </c>
      <c r="L19">
        <v>5</v>
      </c>
      <c r="M19">
        <v>5</v>
      </c>
      <c r="N19">
        <v>5</v>
      </c>
      <c r="O19">
        <v>5</v>
      </c>
      <c r="P19">
        <v>5</v>
      </c>
      <c r="Q19">
        <v>7</v>
      </c>
      <c r="R19">
        <v>10</v>
      </c>
      <c r="S19">
        <v>12</v>
      </c>
      <c r="T19">
        <v>12</v>
      </c>
      <c r="U19">
        <v>10</v>
      </c>
      <c r="V19">
        <v>12</v>
      </c>
      <c r="W19">
        <v>11</v>
      </c>
      <c r="X19">
        <v>13</v>
      </c>
      <c r="Y19">
        <v>14</v>
      </c>
      <c r="Z19">
        <v>16</v>
      </c>
      <c r="AA19">
        <v>18</v>
      </c>
      <c r="AB19">
        <v>19</v>
      </c>
      <c r="AC19">
        <v>20</v>
      </c>
      <c r="AD19">
        <v>18</v>
      </c>
      <c r="AE19">
        <v>17</v>
      </c>
    </row>
    <row r="20" spans="1:31" x14ac:dyDescent="0.3">
      <c r="A20" t="s">
        <v>271</v>
      </c>
      <c r="B20" t="s">
        <v>158</v>
      </c>
      <c r="C20" t="s">
        <v>0</v>
      </c>
      <c r="D20" t="s">
        <v>159</v>
      </c>
      <c r="E20" t="s">
        <v>123</v>
      </c>
      <c r="F20">
        <v>46</v>
      </c>
      <c r="G20">
        <v>51</v>
      </c>
      <c r="H20">
        <v>62</v>
      </c>
      <c r="I20">
        <v>69</v>
      </c>
      <c r="J20">
        <v>76</v>
      </c>
      <c r="K20">
        <v>84</v>
      </c>
      <c r="L20">
        <v>87</v>
      </c>
      <c r="M20">
        <v>89</v>
      </c>
      <c r="N20">
        <v>96</v>
      </c>
      <c r="O20">
        <v>109</v>
      </c>
      <c r="P20">
        <v>122</v>
      </c>
      <c r="Q20">
        <v>145</v>
      </c>
      <c r="R20">
        <v>153</v>
      </c>
      <c r="S20">
        <v>169</v>
      </c>
      <c r="T20">
        <v>187</v>
      </c>
      <c r="U20">
        <v>170</v>
      </c>
      <c r="V20">
        <v>158</v>
      </c>
      <c r="W20">
        <v>149</v>
      </c>
      <c r="X20">
        <v>154</v>
      </c>
      <c r="Y20">
        <v>157</v>
      </c>
      <c r="Z20">
        <v>172</v>
      </c>
      <c r="AA20">
        <v>195</v>
      </c>
      <c r="AB20">
        <v>204</v>
      </c>
      <c r="AC20">
        <v>210</v>
      </c>
      <c r="AD20">
        <v>209</v>
      </c>
      <c r="AE20">
        <v>220</v>
      </c>
    </row>
    <row r="21" spans="1:31" x14ac:dyDescent="0.3">
      <c r="A21" t="s">
        <v>271</v>
      </c>
      <c r="B21" t="s">
        <v>160</v>
      </c>
      <c r="C21" t="s">
        <v>0</v>
      </c>
      <c r="D21" t="s">
        <v>161</v>
      </c>
      <c r="E21" t="s">
        <v>123</v>
      </c>
      <c r="F21">
        <v>49</v>
      </c>
      <c r="G21">
        <v>55</v>
      </c>
      <c r="H21">
        <v>66</v>
      </c>
      <c r="I21">
        <v>75</v>
      </c>
      <c r="J21">
        <v>83</v>
      </c>
      <c r="K21">
        <v>91</v>
      </c>
      <c r="L21">
        <v>94</v>
      </c>
      <c r="M21">
        <v>97</v>
      </c>
      <c r="N21">
        <v>105</v>
      </c>
      <c r="O21">
        <v>118</v>
      </c>
      <c r="P21">
        <v>132</v>
      </c>
      <c r="Q21">
        <v>157</v>
      </c>
      <c r="R21">
        <v>167</v>
      </c>
      <c r="S21">
        <v>186</v>
      </c>
      <c r="T21">
        <v>206</v>
      </c>
      <c r="U21">
        <v>188</v>
      </c>
      <c r="V21">
        <v>177</v>
      </c>
      <c r="W21">
        <v>173</v>
      </c>
      <c r="X21">
        <v>180</v>
      </c>
      <c r="Y21">
        <v>182</v>
      </c>
      <c r="Z21">
        <v>199</v>
      </c>
      <c r="AA21">
        <v>225</v>
      </c>
      <c r="AB21">
        <v>235</v>
      </c>
      <c r="AC21">
        <v>241</v>
      </c>
      <c r="AD21">
        <v>238</v>
      </c>
      <c r="AE21">
        <v>247</v>
      </c>
    </row>
    <row r="22" spans="1:31" x14ac:dyDescent="0.3">
      <c r="A22" t="s">
        <v>271</v>
      </c>
      <c r="B22" t="s">
        <v>162</v>
      </c>
      <c r="C22" t="s">
        <v>0</v>
      </c>
      <c r="D22" t="s">
        <v>163</v>
      </c>
      <c r="E22" t="s">
        <v>123</v>
      </c>
      <c r="F22">
        <v>3</v>
      </c>
      <c r="G22">
        <v>4</v>
      </c>
      <c r="H22">
        <v>4</v>
      </c>
      <c r="I22">
        <v>6</v>
      </c>
      <c r="J22">
        <v>7</v>
      </c>
      <c r="K22">
        <v>7</v>
      </c>
      <c r="L22">
        <v>7</v>
      </c>
      <c r="M22">
        <v>8</v>
      </c>
      <c r="N22">
        <v>9</v>
      </c>
      <c r="O22">
        <v>9</v>
      </c>
      <c r="P22">
        <v>10</v>
      </c>
      <c r="Q22">
        <v>12</v>
      </c>
      <c r="R22">
        <v>14</v>
      </c>
      <c r="S22">
        <v>17</v>
      </c>
      <c r="T22">
        <v>19</v>
      </c>
      <c r="U22">
        <v>18</v>
      </c>
      <c r="V22">
        <v>19</v>
      </c>
      <c r="W22">
        <v>24</v>
      </c>
      <c r="X22">
        <v>26</v>
      </c>
      <c r="Y22">
        <v>25</v>
      </c>
      <c r="Z22">
        <v>27</v>
      </c>
      <c r="AA22">
        <v>30</v>
      </c>
      <c r="AB22">
        <v>31</v>
      </c>
      <c r="AC22">
        <v>31</v>
      </c>
      <c r="AD22">
        <v>29</v>
      </c>
      <c r="AE22">
        <v>27</v>
      </c>
    </row>
    <row r="23" spans="1:31" x14ac:dyDescent="0.3">
      <c r="A23" t="s">
        <v>271</v>
      </c>
      <c r="B23" t="s">
        <v>164</v>
      </c>
      <c r="C23" t="s">
        <v>0</v>
      </c>
      <c r="D23" t="s">
        <v>165</v>
      </c>
      <c r="E23" t="s">
        <v>123</v>
      </c>
      <c r="F23">
        <v>3</v>
      </c>
      <c r="G23">
        <v>4</v>
      </c>
      <c r="H23">
        <v>6</v>
      </c>
      <c r="I23">
        <v>7</v>
      </c>
      <c r="J23">
        <v>10</v>
      </c>
      <c r="K23">
        <v>11</v>
      </c>
      <c r="L23">
        <v>13</v>
      </c>
      <c r="M23">
        <v>13</v>
      </c>
      <c r="N23">
        <v>15</v>
      </c>
      <c r="O23">
        <v>19</v>
      </c>
      <c r="P23">
        <v>22</v>
      </c>
      <c r="Q23">
        <v>33</v>
      </c>
      <c r="R23">
        <v>35</v>
      </c>
      <c r="S23">
        <v>38</v>
      </c>
      <c r="T23">
        <v>39</v>
      </c>
      <c r="U23">
        <v>38</v>
      </c>
      <c r="V23">
        <v>41</v>
      </c>
      <c r="W23">
        <v>43</v>
      </c>
      <c r="X23">
        <v>45</v>
      </c>
      <c r="Y23">
        <v>43</v>
      </c>
      <c r="Z23">
        <v>45</v>
      </c>
      <c r="AA23">
        <v>47</v>
      </c>
      <c r="AB23">
        <v>48</v>
      </c>
      <c r="AC23">
        <v>48</v>
      </c>
      <c r="AD23">
        <v>44</v>
      </c>
      <c r="AE23">
        <v>42</v>
      </c>
    </row>
    <row r="24" spans="1:31" x14ac:dyDescent="0.3">
      <c r="A24" t="s">
        <v>271</v>
      </c>
      <c r="B24" t="s">
        <v>166</v>
      </c>
      <c r="C24" t="s">
        <v>0</v>
      </c>
      <c r="D24" t="s">
        <v>167</v>
      </c>
      <c r="E24" t="s">
        <v>123</v>
      </c>
      <c r="F24">
        <v>74</v>
      </c>
      <c r="G24">
        <v>87</v>
      </c>
      <c r="H24">
        <v>114</v>
      </c>
      <c r="I24">
        <v>147</v>
      </c>
      <c r="J24">
        <v>181</v>
      </c>
      <c r="K24">
        <v>200</v>
      </c>
      <c r="L24">
        <v>214</v>
      </c>
      <c r="M24">
        <v>208</v>
      </c>
      <c r="N24">
        <v>227</v>
      </c>
      <c r="O24">
        <v>235</v>
      </c>
      <c r="P24">
        <v>246</v>
      </c>
      <c r="Q24">
        <v>245</v>
      </c>
      <c r="R24">
        <v>244</v>
      </c>
      <c r="S24">
        <v>263</v>
      </c>
      <c r="T24">
        <v>263</v>
      </c>
      <c r="U24">
        <v>248</v>
      </c>
      <c r="V24">
        <v>240</v>
      </c>
      <c r="W24">
        <v>249</v>
      </c>
      <c r="X24">
        <v>252</v>
      </c>
      <c r="Y24">
        <v>246</v>
      </c>
      <c r="Z24">
        <v>248</v>
      </c>
      <c r="AA24">
        <v>254</v>
      </c>
      <c r="AB24">
        <v>244</v>
      </c>
      <c r="AC24">
        <v>238</v>
      </c>
      <c r="AD24">
        <v>229</v>
      </c>
      <c r="AE24">
        <v>212</v>
      </c>
    </row>
    <row r="25" spans="1:31" x14ac:dyDescent="0.3">
      <c r="A25" t="s">
        <v>271</v>
      </c>
      <c r="B25" t="s">
        <v>168</v>
      </c>
      <c r="C25" t="s">
        <v>0</v>
      </c>
      <c r="D25" t="s">
        <v>169</v>
      </c>
      <c r="E25" t="s">
        <v>123</v>
      </c>
      <c r="F25">
        <v>5</v>
      </c>
      <c r="G25">
        <v>5</v>
      </c>
      <c r="H25">
        <v>6</v>
      </c>
      <c r="I25">
        <v>8</v>
      </c>
      <c r="J25">
        <v>9</v>
      </c>
      <c r="K25">
        <v>10</v>
      </c>
      <c r="L25">
        <v>11</v>
      </c>
      <c r="M25">
        <v>10</v>
      </c>
      <c r="N25">
        <v>11</v>
      </c>
      <c r="O25">
        <v>11</v>
      </c>
      <c r="P25">
        <v>11</v>
      </c>
      <c r="Q25">
        <v>14</v>
      </c>
      <c r="R25">
        <v>14</v>
      </c>
      <c r="S25">
        <v>22</v>
      </c>
      <c r="T25">
        <v>22</v>
      </c>
      <c r="U25">
        <v>23</v>
      </c>
      <c r="V25">
        <v>26</v>
      </c>
      <c r="W25">
        <v>26</v>
      </c>
      <c r="X25">
        <v>26</v>
      </c>
      <c r="Y25">
        <v>26</v>
      </c>
      <c r="Z25">
        <v>26</v>
      </c>
      <c r="AA25">
        <v>27</v>
      </c>
      <c r="AB25">
        <v>25</v>
      </c>
      <c r="AC25">
        <v>24</v>
      </c>
      <c r="AD25">
        <v>23</v>
      </c>
      <c r="AE25">
        <v>22</v>
      </c>
    </row>
    <row r="26" spans="1:31" x14ac:dyDescent="0.3">
      <c r="A26" t="s">
        <v>271</v>
      </c>
      <c r="B26" t="s">
        <v>170</v>
      </c>
      <c r="C26" t="s">
        <v>0</v>
      </c>
      <c r="D26" t="s">
        <v>171</v>
      </c>
      <c r="E26" t="s">
        <v>123</v>
      </c>
      <c r="F26">
        <v>39</v>
      </c>
      <c r="G26">
        <v>48</v>
      </c>
      <c r="H26">
        <v>66</v>
      </c>
      <c r="I26">
        <v>85</v>
      </c>
      <c r="J26">
        <v>103</v>
      </c>
      <c r="K26">
        <v>113</v>
      </c>
      <c r="L26">
        <v>120</v>
      </c>
      <c r="M26">
        <v>117</v>
      </c>
      <c r="N26">
        <v>125</v>
      </c>
      <c r="O26">
        <v>128</v>
      </c>
      <c r="P26">
        <v>133</v>
      </c>
      <c r="Q26">
        <v>129</v>
      </c>
      <c r="R26">
        <v>125</v>
      </c>
      <c r="S26">
        <v>126</v>
      </c>
      <c r="T26">
        <v>123</v>
      </c>
      <c r="U26">
        <v>113</v>
      </c>
      <c r="V26">
        <v>102</v>
      </c>
      <c r="W26">
        <v>103</v>
      </c>
      <c r="X26">
        <v>103</v>
      </c>
      <c r="Y26">
        <v>99</v>
      </c>
      <c r="Z26">
        <v>98</v>
      </c>
      <c r="AA26">
        <v>100</v>
      </c>
      <c r="AB26">
        <v>96</v>
      </c>
      <c r="AC26">
        <v>94</v>
      </c>
      <c r="AD26">
        <v>90</v>
      </c>
      <c r="AE26">
        <v>82</v>
      </c>
    </row>
    <row r="27" spans="1:31" x14ac:dyDescent="0.3">
      <c r="A27" t="s">
        <v>271</v>
      </c>
      <c r="B27" t="s">
        <v>172</v>
      </c>
      <c r="C27" t="s">
        <v>0</v>
      </c>
      <c r="D27" t="s">
        <v>173</v>
      </c>
      <c r="E27" t="s">
        <v>123</v>
      </c>
      <c r="F27">
        <v>30</v>
      </c>
      <c r="G27">
        <v>34</v>
      </c>
      <c r="H27">
        <v>42</v>
      </c>
      <c r="I27">
        <v>54</v>
      </c>
      <c r="J27">
        <v>69</v>
      </c>
      <c r="K27">
        <v>77</v>
      </c>
      <c r="L27">
        <v>83</v>
      </c>
      <c r="M27">
        <v>81</v>
      </c>
      <c r="N27">
        <v>91</v>
      </c>
      <c r="O27">
        <v>96</v>
      </c>
      <c r="P27">
        <v>102</v>
      </c>
      <c r="Q27">
        <v>102</v>
      </c>
      <c r="R27">
        <v>105</v>
      </c>
      <c r="S27">
        <v>115</v>
      </c>
      <c r="T27">
        <v>118</v>
      </c>
      <c r="U27">
        <v>112</v>
      </c>
      <c r="V27">
        <v>112</v>
      </c>
      <c r="W27">
        <v>120</v>
      </c>
      <c r="X27">
        <v>123</v>
      </c>
      <c r="Y27">
        <v>121</v>
      </c>
      <c r="Z27">
        <v>124</v>
      </c>
      <c r="AA27">
        <v>127</v>
      </c>
      <c r="AB27">
        <v>123</v>
      </c>
      <c r="AC27">
        <v>120</v>
      </c>
      <c r="AD27">
        <v>116</v>
      </c>
      <c r="AE27">
        <v>108</v>
      </c>
    </row>
    <row r="28" spans="1:31" x14ac:dyDescent="0.3">
      <c r="A28" t="s">
        <v>271</v>
      </c>
      <c r="B28" t="s">
        <v>174</v>
      </c>
      <c r="C28" t="s">
        <v>0</v>
      </c>
      <c r="D28" t="s">
        <v>175</v>
      </c>
      <c r="E28" t="s">
        <v>123</v>
      </c>
      <c r="F28">
        <v>68</v>
      </c>
      <c r="G28">
        <v>84</v>
      </c>
      <c r="H28">
        <v>104</v>
      </c>
      <c r="I28">
        <v>137</v>
      </c>
      <c r="J28">
        <v>167</v>
      </c>
      <c r="K28">
        <v>184</v>
      </c>
      <c r="L28">
        <v>194</v>
      </c>
      <c r="M28">
        <v>194</v>
      </c>
      <c r="N28">
        <v>223</v>
      </c>
      <c r="O28">
        <v>242</v>
      </c>
      <c r="P28">
        <v>241</v>
      </c>
      <c r="Q28">
        <v>229</v>
      </c>
      <c r="R28">
        <v>206</v>
      </c>
      <c r="S28">
        <v>197</v>
      </c>
      <c r="T28">
        <v>189</v>
      </c>
      <c r="U28">
        <v>168</v>
      </c>
      <c r="V28">
        <v>166</v>
      </c>
      <c r="W28">
        <v>167</v>
      </c>
      <c r="X28">
        <v>170</v>
      </c>
      <c r="Y28">
        <v>168</v>
      </c>
      <c r="Z28">
        <v>168</v>
      </c>
      <c r="AA28">
        <v>175</v>
      </c>
      <c r="AB28">
        <v>173</v>
      </c>
      <c r="AC28">
        <v>168</v>
      </c>
      <c r="AD28">
        <v>162</v>
      </c>
      <c r="AE28">
        <v>153</v>
      </c>
    </row>
    <row r="29" spans="1:31" x14ac:dyDescent="0.3">
      <c r="A29" t="s">
        <v>271</v>
      </c>
      <c r="B29" t="s">
        <v>176</v>
      </c>
      <c r="C29" t="s">
        <v>0</v>
      </c>
      <c r="D29" t="s">
        <v>177</v>
      </c>
      <c r="E29" t="s">
        <v>123</v>
      </c>
      <c r="F29">
        <v>30</v>
      </c>
      <c r="G29">
        <v>39</v>
      </c>
      <c r="H29">
        <v>48</v>
      </c>
      <c r="I29">
        <v>65</v>
      </c>
      <c r="J29">
        <v>75</v>
      </c>
      <c r="K29">
        <v>80</v>
      </c>
      <c r="L29">
        <v>84</v>
      </c>
      <c r="M29">
        <v>85</v>
      </c>
      <c r="N29">
        <v>99</v>
      </c>
      <c r="O29">
        <v>114</v>
      </c>
      <c r="P29">
        <v>108</v>
      </c>
      <c r="Q29">
        <v>103</v>
      </c>
      <c r="R29">
        <v>93</v>
      </c>
      <c r="S29">
        <v>87</v>
      </c>
      <c r="T29">
        <v>82</v>
      </c>
      <c r="U29">
        <v>71</v>
      </c>
      <c r="V29">
        <v>69</v>
      </c>
      <c r="W29">
        <v>69</v>
      </c>
      <c r="X29">
        <v>68</v>
      </c>
      <c r="Y29">
        <v>66</v>
      </c>
      <c r="Z29">
        <v>66</v>
      </c>
      <c r="AA29">
        <v>71</v>
      </c>
      <c r="AB29">
        <v>74</v>
      </c>
      <c r="AC29">
        <v>75</v>
      </c>
      <c r="AD29">
        <v>76</v>
      </c>
      <c r="AE29">
        <v>72</v>
      </c>
    </row>
    <row r="30" spans="1:31" x14ac:dyDescent="0.3">
      <c r="A30" t="s">
        <v>271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2</v>
      </c>
      <c r="N30">
        <v>3</v>
      </c>
      <c r="O30">
        <v>5</v>
      </c>
      <c r="P30">
        <v>7</v>
      </c>
      <c r="Q30">
        <v>9</v>
      </c>
      <c r="R30">
        <v>8</v>
      </c>
      <c r="S30">
        <v>7</v>
      </c>
      <c r="T30">
        <v>7</v>
      </c>
      <c r="U30">
        <v>6</v>
      </c>
      <c r="V30">
        <v>10</v>
      </c>
      <c r="W30">
        <v>12</v>
      </c>
      <c r="X30">
        <v>13</v>
      </c>
      <c r="Y30">
        <v>13</v>
      </c>
      <c r="Z30">
        <v>14</v>
      </c>
      <c r="AA30">
        <v>14</v>
      </c>
      <c r="AB30">
        <v>13</v>
      </c>
      <c r="AC30">
        <v>13</v>
      </c>
      <c r="AD30">
        <v>12</v>
      </c>
      <c r="AE30">
        <v>12</v>
      </c>
    </row>
    <row r="31" spans="1:31" x14ac:dyDescent="0.3">
      <c r="A31" t="s">
        <v>271</v>
      </c>
      <c r="B31" t="s">
        <v>180</v>
      </c>
      <c r="C31" t="s">
        <v>0</v>
      </c>
      <c r="D31" t="s">
        <v>181</v>
      </c>
      <c r="E31" t="s">
        <v>123</v>
      </c>
      <c r="F31">
        <v>3</v>
      </c>
      <c r="G31">
        <v>4</v>
      </c>
      <c r="H31">
        <v>7</v>
      </c>
      <c r="I31">
        <v>11</v>
      </c>
      <c r="J31">
        <v>14</v>
      </c>
      <c r="K31">
        <v>14</v>
      </c>
      <c r="L31">
        <v>16</v>
      </c>
      <c r="M31">
        <v>15</v>
      </c>
      <c r="N31">
        <v>14</v>
      </c>
      <c r="O31">
        <v>13</v>
      </c>
      <c r="P31">
        <v>13</v>
      </c>
      <c r="Q31">
        <v>12</v>
      </c>
      <c r="R31">
        <v>10</v>
      </c>
      <c r="S31">
        <v>13</v>
      </c>
      <c r="T31">
        <v>12</v>
      </c>
      <c r="U31">
        <v>9</v>
      </c>
      <c r="V31">
        <v>8</v>
      </c>
      <c r="W31">
        <v>7</v>
      </c>
      <c r="X31">
        <v>6</v>
      </c>
      <c r="Y31">
        <v>5</v>
      </c>
      <c r="Z31">
        <v>4</v>
      </c>
      <c r="AA31">
        <v>4</v>
      </c>
      <c r="AB31">
        <v>3</v>
      </c>
      <c r="AC31">
        <v>3</v>
      </c>
      <c r="AD31">
        <v>0</v>
      </c>
      <c r="AE31">
        <v>0</v>
      </c>
    </row>
    <row r="32" spans="1:31" x14ac:dyDescent="0.3">
      <c r="A32" t="s">
        <v>271</v>
      </c>
      <c r="B32" t="s">
        <v>182</v>
      </c>
      <c r="C32" t="s">
        <v>0</v>
      </c>
      <c r="D32" t="s">
        <v>183</v>
      </c>
      <c r="E32" t="s">
        <v>123</v>
      </c>
      <c r="F32">
        <v>27</v>
      </c>
      <c r="G32">
        <v>32</v>
      </c>
      <c r="H32">
        <v>37</v>
      </c>
      <c r="I32">
        <v>45</v>
      </c>
      <c r="J32">
        <v>56</v>
      </c>
      <c r="K32">
        <v>65</v>
      </c>
      <c r="L32">
        <v>66</v>
      </c>
      <c r="M32">
        <v>65</v>
      </c>
      <c r="N32">
        <v>79</v>
      </c>
      <c r="O32">
        <v>86</v>
      </c>
      <c r="P32">
        <v>92</v>
      </c>
      <c r="Q32">
        <v>88</v>
      </c>
      <c r="R32">
        <v>80</v>
      </c>
      <c r="S32">
        <v>77</v>
      </c>
      <c r="T32">
        <v>76</v>
      </c>
      <c r="U32">
        <v>70</v>
      </c>
      <c r="V32">
        <v>68</v>
      </c>
      <c r="W32">
        <v>68</v>
      </c>
      <c r="X32">
        <v>72</v>
      </c>
      <c r="Y32">
        <v>73</v>
      </c>
      <c r="Z32">
        <v>73</v>
      </c>
      <c r="AA32">
        <v>75</v>
      </c>
      <c r="AB32">
        <v>70</v>
      </c>
      <c r="AC32">
        <v>64</v>
      </c>
      <c r="AD32">
        <v>62</v>
      </c>
      <c r="AE32">
        <v>57</v>
      </c>
    </row>
    <row r="33" spans="1:31" x14ac:dyDescent="0.3">
      <c r="A33" t="s">
        <v>271</v>
      </c>
      <c r="B33" t="s">
        <v>184</v>
      </c>
      <c r="C33" t="s">
        <v>0</v>
      </c>
      <c r="D33" t="s">
        <v>185</v>
      </c>
      <c r="E33" t="s">
        <v>123</v>
      </c>
      <c r="F33">
        <v>8</v>
      </c>
      <c r="G33">
        <v>9</v>
      </c>
      <c r="H33">
        <v>12</v>
      </c>
      <c r="I33">
        <v>16</v>
      </c>
      <c r="J33">
        <v>22</v>
      </c>
      <c r="K33">
        <v>25</v>
      </c>
      <c r="L33">
        <v>27</v>
      </c>
      <c r="M33">
        <v>27</v>
      </c>
      <c r="N33">
        <v>28</v>
      </c>
      <c r="O33">
        <v>24</v>
      </c>
      <c r="P33">
        <v>21</v>
      </c>
      <c r="Q33">
        <v>17</v>
      </c>
      <c r="R33">
        <v>15</v>
      </c>
      <c r="S33">
        <v>13</v>
      </c>
      <c r="T33">
        <v>12</v>
      </c>
      <c r="U33">
        <v>12</v>
      </c>
      <c r="V33">
        <v>11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13</v>
      </c>
      <c r="AC33">
        <v>13</v>
      </c>
      <c r="AD33">
        <v>12</v>
      </c>
      <c r="AE33">
        <v>12</v>
      </c>
    </row>
    <row r="34" spans="1:31" x14ac:dyDescent="0.3">
      <c r="A34" t="s">
        <v>271</v>
      </c>
      <c r="B34" t="s">
        <v>186</v>
      </c>
      <c r="C34" t="s">
        <v>0</v>
      </c>
      <c r="D34" t="s">
        <v>187</v>
      </c>
      <c r="E34" t="s">
        <v>123</v>
      </c>
      <c r="F34">
        <v>13</v>
      </c>
      <c r="G34">
        <v>16</v>
      </c>
      <c r="H34">
        <v>23</v>
      </c>
      <c r="I34">
        <v>34</v>
      </c>
      <c r="J34">
        <v>40</v>
      </c>
      <c r="K34">
        <v>45</v>
      </c>
      <c r="L34">
        <v>49</v>
      </c>
      <c r="M34">
        <v>48</v>
      </c>
      <c r="N34">
        <v>54</v>
      </c>
      <c r="O34">
        <v>58</v>
      </c>
      <c r="P34">
        <v>63</v>
      </c>
      <c r="Q34">
        <v>61</v>
      </c>
      <c r="R34">
        <v>58</v>
      </c>
      <c r="S34">
        <v>56</v>
      </c>
      <c r="T34">
        <v>54</v>
      </c>
      <c r="U34">
        <v>50</v>
      </c>
      <c r="V34">
        <v>52</v>
      </c>
      <c r="W34">
        <v>54</v>
      </c>
      <c r="X34">
        <v>53</v>
      </c>
      <c r="Y34">
        <v>50</v>
      </c>
      <c r="Z34">
        <v>49</v>
      </c>
      <c r="AA34">
        <v>50</v>
      </c>
      <c r="AB34">
        <v>46</v>
      </c>
      <c r="AC34">
        <v>46</v>
      </c>
      <c r="AD34">
        <v>45</v>
      </c>
      <c r="AE34">
        <v>42</v>
      </c>
    </row>
    <row r="35" spans="1:31" x14ac:dyDescent="0.3">
      <c r="A35" t="s">
        <v>271</v>
      </c>
      <c r="B35" t="s">
        <v>188</v>
      </c>
      <c r="C35" t="s">
        <v>0</v>
      </c>
      <c r="D35" t="s">
        <v>189</v>
      </c>
      <c r="E35" t="s">
        <v>123</v>
      </c>
      <c r="F35">
        <v>73</v>
      </c>
      <c r="G35">
        <v>91</v>
      </c>
      <c r="H35">
        <v>115</v>
      </c>
      <c r="I35">
        <v>143</v>
      </c>
      <c r="J35">
        <v>175</v>
      </c>
      <c r="K35">
        <v>198</v>
      </c>
      <c r="L35">
        <v>216</v>
      </c>
      <c r="M35">
        <v>216</v>
      </c>
      <c r="N35">
        <v>213</v>
      </c>
      <c r="O35">
        <v>253</v>
      </c>
      <c r="P35">
        <v>276</v>
      </c>
      <c r="Q35">
        <v>295</v>
      </c>
      <c r="R35">
        <v>287</v>
      </c>
      <c r="S35">
        <v>294</v>
      </c>
      <c r="T35">
        <v>280</v>
      </c>
      <c r="U35">
        <v>270</v>
      </c>
      <c r="V35">
        <v>329</v>
      </c>
      <c r="W35">
        <v>394</v>
      </c>
      <c r="X35">
        <v>442</v>
      </c>
      <c r="Y35">
        <v>469</v>
      </c>
      <c r="Z35">
        <v>520</v>
      </c>
      <c r="AA35">
        <v>574</v>
      </c>
      <c r="AB35">
        <v>604</v>
      </c>
      <c r="AC35">
        <v>671</v>
      </c>
      <c r="AD35">
        <v>689</v>
      </c>
      <c r="AE35">
        <v>706</v>
      </c>
    </row>
    <row r="36" spans="1:31" x14ac:dyDescent="0.3">
      <c r="A36" t="s">
        <v>271</v>
      </c>
      <c r="B36" t="s">
        <v>190</v>
      </c>
      <c r="C36" t="s">
        <v>0</v>
      </c>
      <c r="D36" t="s">
        <v>191</v>
      </c>
      <c r="E36" t="s">
        <v>123</v>
      </c>
      <c r="F36">
        <v>14</v>
      </c>
      <c r="G36">
        <v>16</v>
      </c>
      <c r="H36">
        <v>22</v>
      </c>
      <c r="I36">
        <v>26</v>
      </c>
      <c r="J36">
        <v>26</v>
      </c>
      <c r="K36">
        <v>27</v>
      </c>
      <c r="L36">
        <v>28</v>
      </c>
      <c r="M36">
        <v>28</v>
      </c>
      <c r="N36">
        <v>29</v>
      </c>
      <c r="O36">
        <v>27</v>
      </c>
      <c r="P36">
        <v>28</v>
      </c>
      <c r="Q36">
        <v>31</v>
      </c>
      <c r="R36">
        <v>31</v>
      </c>
      <c r="S36">
        <v>31</v>
      </c>
      <c r="T36">
        <v>34</v>
      </c>
      <c r="U36">
        <v>35</v>
      </c>
      <c r="V36">
        <v>38</v>
      </c>
      <c r="W36">
        <v>42</v>
      </c>
      <c r="X36">
        <v>41</v>
      </c>
      <c r="Y36">
        <v>38</v>
      </c>
      <c r="Z36">
        <v>36</v>
      </c>
      <c r="AA36">
        <v>36</v>
      </c>
      <c r="AB36">
        <v>36</v>
      </c>
      <c r="AC36">
        <v>35</v>
      </c>
      <c r="AD36">
        <v>35</v>
      </c>
      <c r="AE36">
        <v>32</v>
      </c>
    </row>
    <row r="37" spans="1:31" x14ac:dyDescent="0.3">
      <c r="A37" t="s">
        <v>271</v>
      </c>
      <c r="B37" t="s">
        <v>192</v>
      </c>
      <c r="C37" t="s">
        <v>0</v>
      </c>
      <c r="D37" t="s">
        <v>193</v>
      </c>
      <c r="E37" t="s">
        <v>123</v>
      </c>
      <c r="F37">
        <v>46</v>
      </c>
      <c r="G37">
        <v>60</v>
      </c>
      <c r="H37">
        <v>77</v>
      </c>
      <c r="I37">
        <v>99</v>
      </c>
      <c r="J37">
        <v>127</v>
      </c>
      <c r="K37">
        <v>146</v>
      </c>
      <c r="L37">
        <v>160</v>
      </c>
      <c r="M37">
        <v>160</v>
      </c>
      <c r="N37">
        <v>154</v>
      </c>
      <c r="O37">
        <v>187</v>
      </c>
      <c r="P37">
        <v>207</v>
      </c>
      <c r="Q37">
        <v>209</v>
      </c>
      <c r="R37">
        <v>191</v>
      </c>
      <c r="S37">
        <v>193</v>
      </c>
      <c r="T37">
        <v>179</v>
      </c>
      <c r="U37">
        <v>171</v>
      </c>
      <c r="V37">
        <v>225</v>
      </c>
      <c r="W37">
        <v>281</v>
      </c>
      <c r="X37">
        <v>322</v>
      </c>
      <c r="Y37">
        <v>345</v>
      </c>
      <c r="Z37">
        <v>378</v>
      </c>
      <c r="AA37">
        <v>419</v>
      </c>
      <c r="AB37">
        <v>432</v>
      </c>
      <c r="AC37">
        <v>481</v>
      </c>
      <c r="AD37">
        <v>505</v>
      </c>
      <c r="AE37">
        <v>536</v>
      </c>
    </row>
    <row r="38" spans="1:31" x14ac:dyDescent="0.3">
      <c r="A38" t="s">
        <v>271</v>
      </c>
      <c r="B38" t="s">
        <v>194</v>
      </c>
      <c r="C38" t="s">
        <v>0</v>
      </c>
      <c r="D38" t="s">
        <v>195</v>
      </c>
      <c r="E38" t="s">
        <v>123</v>
      </c>
      <c r="F38">
        <v>13</v>
      </c>
      <c r="G38">
        <v>15</v>
      </c>
      <c r="H38">
        <v>16</v>
      </c>
      <c r="I38">
        <v>18</v>
      </c>
      <c r="J38">
        <v>22</v>
      </c>
      <c r="K38">
        <v>25</v>
      </c>
      <c r="L38">
        <v>28</v>
      </c>
      <c r="M38">
        <v>28</v>
      </c>
      <c r="N38">
        <v>30</v>
      </c>
      <c r="O38">
        <v>39</v>
      </c>
      <c r="P38">
        <v>41</v>
      </c>
      <c r="Q38">
        <v>55</v>
      </c>
      <c r="R38">
        <v>65</v>
      </c>
      <c r="S38">
        <v>70</v>
      </c>
      <c r="T38">
        <v>67</v>
      </c>
      <c r="U38">
        <v>64</v>
      </c>
      <c r="V38">
        <v>66</v>
      </c>
      <c r="W38">
        <v>71</v>
      </c>
      <c r="X38">
        <v>79</v>
      </c>
      <c r="Y38">
        <v>86</v>
      </c>
      <c r="Z38">
        <v>106</v>
      </c>
      <c r="AA38">
        <v>119</v>
      </c>
      <c r="AB38">
        <v>136</v>
      </c>
      <c r="AC38">
        <v>155</v>
      </c>
      <c r="AD38">
        <v>149</v>
      </c>
      <c r="AE38">
        <v>138</v>
      </c>
    </row>
    <row r="39" spans="1:31" x14ac:dyDescent="0.3">
      <c r="A39" t="s">
        <v>271</v>
      </c>
      <c r="B39" t="s">
        <v>196</v>
      </c>
      <c r="C39" t="s">
        <v>0</v>
      </c>
      <c r="D39" t="s">
        <v>197</v>
      </c>
      <c r="E39" t="s">
        <v>123</v>
      </c>
      <c r="F39">
        <v>29</v>
      </c>
      <c r="G39">
        <v>30</v>
      </c>
      <c r="H39">
        <v>30</v>
      </c>
      <c r="I39">
        <v>29</v>
      </c>
      <c r="J39">
        <v>29</v>
      </c>
      <c r="K39">
        <v>32</v>
      </c>
      <c r="L39">
        <v>31</v>
      </c>
      <c r="M39">
        <v>31</v>
      </c>
      <c r="N39">
        <v>32</v>
      </c>
      <c r="O39">
        <v>31</v>
      </c>
      <c r="P39">
        <v>33</v>
      </c>
      <c r="Q39">
        <v>36</v>
      </c>
      <c r="R39">
        <v>43</v>
      </c>
      <c r="S39">
        <v>50</v>
      </c>
      <c r="T39">
        <v>52</v>
      </c>
      <c r="U39">
        <v>48</v>
      </c>
      <c r="V39">
        <v>47</v>
      </c>
      <c r="W39">
        <v>45</v>
      </c>
      <c r="X39">
        <v>47</v>
      </c>
      <c r="Y39">
        <v>44</v>
      </c>
      <c r="Z39">
        <v>39</v>
      </c>
      <c r="AA39">
        <v>38</v>
      </c>
      <c r="AB39">
        <v>82</v>
      </c>
      <c r="AC39">
        <v>99</v>
      </c>
      <c r="AD39">
        <v>130</v>
      </c>
      <c r="AE39">
        <v>147</v>
      </c>
    </row>
    <row r="40" spans="1:31" x14ac:dyDescent="0.3">
      <c r="A40" t="s">
        <v>271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1</v>
      </c>
      <c r="J40">
        <v>2</v>
      </c>
      <c r="K40">
        <v>5</v>
      </c>
      <c r="L40">
        <v>6</v>
      </c>
      <c r="M40">
        <v>7</v>
      </c>
      <c r="N40">
        <v>10</v>
      </c>
      <c r="O40">
        <v>13</v>
      </c>
      <c r="P40">
        <v>17</v>
      </c>
      <c r="Q40">
        <v>20</v>
      </c>
      <c r="R40">
        <v>21</v>
      </c>
      <c r="S40">
        <v>31</v>
      </c>
      <c r="T40">
        <v>32</v>
      </c>
      <c r="U40">
        <v>28</v>
      </c>
      <c r="V40">
        <v>26</v>
      </c>
      <c r="W40">
        <v>23</v>
      </c>
      <c r="X40">
        <v>24</v>
      </c>
      <c r="Y40">
        <v>25</v>
      </c>
      <c r="Z40">
        <v>26</v>
      </c>
      <c r="AA40">
        <v>27</v>
      </c>
      <c r="AB40">
        <v>29</v>
      </c>
      <c r="AC40">
        <v>30</v>
      </c>
      <c r="AD40">
        <v>27</v>
      </c>
      <c r="AE40">
        <v>27</v>
      </c>
    </row>
    <row r="41" spans="1:31" x14ac:dyDescent="0.3">
      <c r="A41" t="s">
        <v>271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271</v>
      </c>
      <c r="B42" t="s">
        <v>202</v>
      </c>
      <c r="C42" t="s">
        <v>0</v>
      </c>
      <c r="D42" t="s">
        <v>203</v>
      </c>
      <c r="E42" t="s">
        <v>123</v>
      </c>
      <c r="F42">
        <v>22</v>
      </c>
      <c r="G42">
        <v>27</v>
      </c>
      <c r="H42">
        <v>38</v>
      </c>
      <c r="I42">
        <v>46</v>
      </c>
      <c r="J42">
        <v>60</v>
      </c>
      <c r="K42">
        <v>70</v>
      </c>
      <c r="L42">
        <v>75</v>
      </c>
      <c r="M42">
        <v>76</v>
      </c>
      <c r="N42">
        <v>85</v>
      </c>
      <c r="O42">
        <v>89</v>
      </c>
      <c r="P42">
        <v>96</v>
      </c>
      <c r="Q42">
        <v>106</v>
      </c>
      <c r="R42">
        <v>105</v>
      </c>
      <c r="S42">
        <v>117</v>
      </c>
      <c r="T42">
        <v>106</v>
      </c>
      <c r="U42">
        <v>99</v>
      </c>
      <c r="V42">
        <v>100</v>
      </c>
      <c r="W42">
        <v>100</v>
      </c>
      <c r="X42">
        <v>102</v>
      </c>
      <c r="Y42">
        <v>97</v>
      </c>
      <c r="Z42">
        <v>93</v>
      </c>
      <c r="AA42">
        <v>95</v>
      </c>
      <c r="AB42">
        <v>94</v>
      </c>
      <c r="AC42">
        <v>93</v>
      </c>
      <c r="AD42">
        <v>90</v>
      </c>
      <c r="AE42">
        <v>87</v>
      </c>
    </row>
    <row r="43" spans="1:31" x14ac:dyDescent="0.3">
      <c r="A43" t="s">
        <v>271</v>
      </c>
      <c r="B43" t="s">
        <v>204</v>
      </c>
      <c r="C43" t="s">
        <v>0</v>
      </c>
      <c r="D43" t="s">
        <v>205</v>
      </c>
      <c r="E43" t="s">
        <v>123</v>
      </c>
      <c r="F43">
        <v>30</v>
      </c>
      <c r="G43">
        <v>40</v>
      </c>
      <c r="H43">
        <v>55</v>
      </c>
      <c r="I43">
        <v>71</v>
      </c>
      <c r="J43">
        <v>91</v>
      </c>
      <c r="K43">
        <v>109</v>
      </c>
      <c r="L43">
        <v>119</v>
      </c>
      <c r="M43">
        <v>119</v>
      </c>
      <c r="N43">
        <v>138</v>
      </c>
      <c r="O43">
        <v>150</v>
      </c>
      <c r="P43">
        <v>165</v>
      </c>
      <c r="Q43">
        <v>185</v>
      </c>
      <c r="R43">
        <v>189</v>
      </c>
      <c r="S43">
        <v>215</v>
      </c>
      <c r="T43">
        <v>211</v>
      </c>
      <c r="U43">
        <v>202</v>
      </c>
      <c r="V43">
        <v>212</v>
      </c>
      <c r="W43">
        <v>221</v>
      </c>
      <c r="X43">
        <v>229</v>
      </c>
      <c r="Y43">
        <v>220</v>
      </c>
      <c r="Z43">
        <v>215</v>
      </c>
      <c r="AA43">
        <v>223</v>
      </c>
      <c r="AB43">
        <v>218</v>
      </c>
      <c r="AC43">
        <v>217</v>
      </c>
      <c r="AD43">
        <v>213</v>
      </c>
      <c r="AE43">
        <v>205</v>
      </c>
    </row>
    <row r="44" spans="1:31" x14ac:dyDescent="0.3">
      <c r="A44" t="s">
        <v>271</v>
      </c>
      <c r="B44" t="s">
        <v>206</v>
      </c>
      <c r="C44" t="s">
        <v>0</v>
      </c>
      <c r="D44" t="s">
        <v>207</v>
      </c>
      <c r="E44" t="s">
        <v>123</v>
      </c>
      <c r="F44">
        <v>597</v>
      </c>
      <c r="G44">
        <v>740</v>
      </c>
      <c r="H44">
        <v>934</v>
      </c>
      <c r="I44">
        <v>1166</v>
      </c>
      <c r="J44">
        <v>1390</v>
      </c>
      <c r="K44">
        <v>1544</v>
      </c>
      <c r="L44">
        <v>1678</v>
      </c>
      <c r="M44">
        <v>1656</v>
      </c>
      <c r="N44">
        <v>1778</v>
      </c>
      <c r="O44">
        <v>1928</v>
      </c>
      <c r="P44">
        <v>2040</v>
      </c>
      <c r="Q44">
        <v>2223</v>
      </c>
      <c r="R44">
        <v>2335</v>
      </c>
      <c r="S44">
        <v>2472</v>
      </c>
      <c r="T44">
        <v>2495</v>
      </c>
      <c r="U44">
        <v>2328</v>
      </c>
      <c r="V44">
        <v>2390</v>
      </c>
      <c r="W44">
        <v>2540</v>
      </c>
      <c r="X44">
        <v>2659</v>
      </c>
      <c r="Y44">
        <v>2645</v>
      </c>
      <c r="Z44">
        <v>2789</v>
      </c>
      <c r="AA44">
        <v>2956</v>
      </c>
      <c r="AB44">
        <v>3102</v>
      </c>
      <c r="AC44">
        <v>3204</v>
      </c>
      <c r="AD44">
        <v>3206</v>
      </c>
      <c r="AE44">
        <v>3181</v>
      </c>
    </row>
    <row r="45" spans="1:31" x14ac:dyDescent="0.3">
      <c r="A45" t="s">
        <v>271</v>
      </c>
      <c r="B45" t="s">
        <v>208</v>
      </c>
      <c r="C45" t="s">
        <v>0</v>
      </c>
      <c r="D45" t="s">
        <v>209</v>
      </c>
      <c r="E45" t="s">
        <v>123</v>
      </c>
      <c r="F45">
        <v>571</v>
      </c>
      <c r="G45">
        <v>710</v>
      </c>
      <c r="H45">
        <v>896</v>
      </c>
      <c r="I45">
        <v>1119</v>
      </c>
      <c r="J45">
        <v>1334</v>
      </c>
      <c r="K45">
        <v>1483</v>
      </c>
      <c r="L45">
        <v>1616</v>
      </c>
      <c r="M45">
        <v>1595</v>
      </c>
      <c r="N45">
        <v>1712</v>
      </c>
      <c r="O45">
        <v>1856</v>
      </c>
      <c r="P45">
        <v>1963</v>
      </c>
      <c r="Q45">
        <v>2150</v>
      </c>
      <c r="R45">
        <v>2269</v>
      </c>
      <c r="S45">
        <v>2413</v>
      </c>
      <c r="T45">
        <v>2436</v>
      </c>
      <c r="U45">
        <v>2276</v>
      </c>
      <c r="V45">
        <v>2339</v>
      </c>
      <c r="W45">
        <v>2488</v>
      </c>
      <c r="X45">
        <v>2606</v>
      </c>
      <c r="Y45">
        <v>2591</v>
      </c>
      <c r="Z45">
        <v>2734</v>
      </c>
      <c r="AA45">
        <v>2900</v>
      </c>
      <c r="AB45">
        <v>3045</v>
      </c>
      <c r="AC45">
        <v>3145</v>
      </c>
      <c r="AD45">
        <v>3152</v>
      </c>
      <c r="AE45">
        <v>3127</v>
      </c>
    </row>
    <row r="46" spans="1:31" x14ac:dyDescent="0.3">
      <c r="A46" t="s">
        <v>271</v>
      </c>
      <c r="B46" t="s">
        <v>210</v>
      </c>
      <c r="C46" t="s">
        <v>0</v>
      </c>
      <c r="D46" t="s">
        <v>211</v>
      </c>
      <c r="E46" t="s">
        <v>123</v>
      </c>
      <c r="F46">
        <v>8</v>
      </c>
      <c r="G46">
        <v>13</v>
      </c>
      <c r="H46">
        <v>17</v>
      </c>
      <c r="I46">
        <v>25</v>
      </c>
      <c r="J46">
        <v>31</v>
      </c>
      <c r="K46">
        <v>39</v>
      </c>
      <c r="L46">
        <v>44</v>
      </c>
      <c r="M46">
        <v>43</v>
      </c>
      <c r="N46">
        <v>53</v>
      </c>
      <c r="O46">
        <v>61</v>
      </c>
      <c r="P46">
        <v>69</v>
      </c>
      <c r="Q46">
        <v>79</v>
      </c>
      <c r="R46">
        <v>84</v>
      </c>
      <c r="S46">
        <v>98</v>
      </c>
      <c r="T46">
        <v>105</v>
      </c>
      <c r="U46">
        <v>103</v>
      </c>
      <c r="V46">
        <v>112</v>
      </c>
      <c r="W46">
        <v>121</v>
      </c>
      <c r="X46">
        <v>127</v>
      </c>
      <c r="Y46">
        <v>123</v>
      </c>
      <c r="Z46">
        <v>122</v>
      </c>
      <c r="AA46">
        <v>128</v>
      </c>
      <c r="AB46">
        <v>124</v>
      </c>
      <c r="AC46">
        <v>124</v>
      </c>
      <c r="AD46">
        <v>123</v>
      </c>
      <c r="AE46">
        <v>118</v>
      </c>
    </row>
    <row r="47" spans="1:31" x14ac:dyDescent="0.3">
      <c r="A47" t="s">
        <v>271</v>
      </c>
      <c r="B47" t="s">
        <v>212</v>
      </c>
      <c r="C47" t="s">
        <v>0</v>
      </c>
      <c r="D47" t="s">
        <v>213</v>
      </c>
      <c r="E47" t="s">
        <v>123</v>
      </c>
      <c r="F47">
        <v>28</v>
      </c>
      <c r="G47">
        <v>37</v>
      </c>
      <c r="H47">
        <v>47</v>
      </c>
      <c r="I47">
        <v>58</v>
      </c>
      <c r="J47">
        <v>76</v>
      </c>
      <c r="K47">
        <v>88</v>
      </c>
      <c r="L47">
        <v>99</v>
      </c>
      <c r="M47">
        <v>99</v>
      </c>
      <c r="N47">
        <v>110</v>
      </c>
      <c r="O47">
        <v>121</v>
      </c>
      <c r="P47">
        <v>129</v>
      </c>
      <c r="Q47">
        <v>115</v>
      </c>
      <c r="R47">
        <v>103</v>
      </c>
      <c r="S47">
        <v>95</v>
      </c>
      <c r="T47">
        <v>86</v>
      </c>
      <c r="U47">
        <v>74</v>
      </c>
      <c r="V47">
        <v>66</v>
      </c>
      <c r="W47">
        <v>64</v>
      </c>
      <c r="X47">
        <v>63</v>
      </c>
      <c r="Y47">
        <v>57</v>
      </c>
      <c r="Z47">
        <v>56</v>
      </c>
      <c r="AA47">
        <v>58</v>
      </c>
      <c r="AB47">
        <v>59</v>
      </c>
      <c r="AC47">
        <v>58</v>
      </c>
      <c r="AD47">
        <v>49</v>
      </c>
      <c r="AE47">
        <v>49</v>
      </c>
    </row>
    <row r="48" spans="1:31" x14ac:dyDescent="0.3">
      <c r="A48" t="s">
        <v>271</v>
      </c>
      <c r="B48" t="s">
        <v>214</v>
      </c>
      <c r="C48" t="s">
        <v>0</v>
      </c>
      <c r="D48" t="s">
        <v>215</v>
      </c>
      <c r="E48" t="s">
        <v>123</v>
      </c>
      <c r="F48">
        <v>78</v>
      </c>
      <c r="G48">
        <v>101</v>
      </c>
      <c r="H48">
        <v>129</v>
      </c>
      <c r="I48">
        <v>165</v>
      </c>
      <c r="J48">
        <v>207</v>
      </c>
      <c r="K48">
        <v>239</v>
      </c>
      <c r="L48">
        <v>269</v>
      </c>
      <c r="M48">
        <v>273</v>
      </c>
      <c r="N48">
        <v>306</v>
      </c>
      <c r="O48">
        <v>341</v>
      </c>
      <c r="P48">
        <v>371</v>
      </c>
      <c r="Q48">
        <v>348</v>
      </c>
      <c r="R48">
        <v>312</v>
      </c>
      <c r="S48">
        <v>290</v>
      </c>
      <c r="T48">
        <v>280</v>
      </c>
      <c r="U48">
        <v>244</v>
      </c>
      <c r="V48">
        <v>231</v>
      </c>
      <c r="W48">
        <v>231</v>
      </c>
      <c r="X48">
        <v>235</v>
      </c>
      <c r="Y48">
        <v>224</v>
      </c>
      <c r="Z48">
        <v>223</v>
      </c>
      <c r="AA48">
        <v>226</v>
      </c>
      <c r="AB48">
        <v>223</v>
      </c>
      <c r="AC48">
        <v>219</v>
      </c>
      <c r="AD48">
        <v>199</v>
      </c>
      <c r="AE48">
        <v>195</v>
      </c>
    </row>
    <row r="49" spans="1:31" x14ac:dyDescent="0.3">
      <c r="A49" t="s">
        <v>271</v>
      </c>
      <c r="B49" t="s">
        <v>216</v>
      </c>
      <c r="C49" t="s">
        <v>0</v>
      </c>
      <c r="D49" t="s">
        <v>217</v>
      </c>
      <c r="E49" t="s">
        <v>123</v>
      </c>
      <c r="F49">
        <v>21</v>
      </c>
      <c r="G49">
        <v>25</v>
      </c>
      <c r="H49">
        <v>33</v>
      </c>
      <c r="I49">
        <v>43</v>
      </c>
      <c r="J49">
        <v>52</v>
      </c>
      <c r="K49">
        <v>58</v>
      </c>
      <c r="L49">
        <v>65</v>
      </c>
      <c r="M49">
        <v>65</v>
      </c>
      <c r="N49">
        <v>72</v>
      </c>
      <c r="O49">
        <v>78</v>
      </c>
      <c r="P49">
        <v>81</v>
      </c>
      <c r="Q49">
        <v>82</v>
      </c>
      <c r="R49">
        <v>76</v>
      </c>
      <c r="S49">
        <v>74</v>
      </c>
      <c r="T49">
        <v>66</v>
      </c>
      <c r="U49">
        <v>56</v>
      </c>
      <c r="V49">
        <v>52</v>
      </c>
      <c r="W49">
        <v>52</v>
      </c>
      <c r="X49">
        <v>53</v>
      </c>
      <c r="Y49">
        <v>49</v>
      </c>
      <c r="Z49">
        <v>51</v>
      </c>
      <c r="AA49">
        <v>52</v>
      </c>
      <c r="AB49">
        <v>55</v>
      </c>
      <c r="AC49">
        <v>58</v>
      </c>
      <c r="AD49">
        <v>52</v>
      </c>
      <c r="AE49">
        <v>52</v>
      </c>
    </row>
    <row r="50" spans="1:31" x14ac:dyDescent="0.3">
      <c r="A50" t="s">
        <v>271</v>
      </c>
      <c r="B50" t="s">
        <v>218</v>
      </c>
      <c r="C50" t="s">
        <v>0</v>
      </c>
      <c r="D50" t="s">
        <v>219</v>
      </c>
      <c r="E50" t="s">
        <v>123</v>
      </c>
      <c r="F50">
        <v>29</v>
      </c>
      <c r="G50">
        <v>39</v>
      </c>
      <c r="H50">
        <v>49</v>
      </c>
      <c r="I50">
        <v>64</v>
      </c>
      <c r="J50">
        <v>79</v>
      </c>
      <c r="K50">
        <v>93</v>
      </c>
      <c r="L50">
        <v>105</v>
      </c>
      <c r="M50">
        <v>109</v>
      </c>
      <c r="N50">
        <v>124</v>
      </c>
      <c r="O50">
        <v>142</v>
      </c>
      <c r="P50">
        <v>161</v>
      </c>
      <c r="Q50">
        <v>151</v>
      </c>
      <c r="R50">
        <v>133</v>
      </c>
      <c r="S50">
        <v>121</v>
      </c>
      <c r="T50">
        <v>128</v>
      </c>
      <c r="U50">
        <v>114</v>
      </c>
      <c r="V50">
        <v>113</v>
      </c>
      <c r="W50">
        <v>115</v>
      </c>
      <c r="X50">
        <v>119</v>
      </c>
      <c r="Y50">
        <v>118</v>
      </c>
      <c r="Z50">
        <v>116</v>
      </c>
      <c r="AA50">
        <v>116</v>
      </c>
      <c r="AB50">
        <v>109</v>
      </c>
      <c r="AC50">
        <v>103</v>
      </c>
      <c r="AD50">
        <v>98</v>
      </c>
      <c r="AE50">
        <v>94</v>
      </c>
    </row>
    <row r="51" spans="1:31" x14ac:dyDescent="0.3">
      <c r="A51" t="s">
        <v>271</v>
      </c>
      <c r="B51" t="s">
        <v>220</v>
      </c>
      <c r="C51" t="s">
        <v>0</v>
      </c>
      <c r="D51" t="s">
        <v>221</v>
      </c>
      <c r="E51" t="s">
        <v>123</v>
      </c>
      <c r="F51">
        <v>29</v>
      </c>
      <c r="G51">
        <v>39</v>
      </c>
      <c r="H51">
        <v>48</v>
      </c>
      <c r="I51">
        <v>62</v>
      </c>
      <c r="J51">
        <v>77</v>
      </c>
      <c r="K51">
        <v>91</v>
      </c>
      <c r="L51">
        <v>102</v>
      </c>
      <c r="M51">
        <v>106</v>
      </c>
      <c r="N51">
        <v>120</v>
      </c>
      <c r="O51">
        <v>135</v>
      </c>
      <c r="P51">
        <v>154</v>
      </c>
      <c r="Q51">
        <v>144</v>
      </c>
      <c r="R51">
        <v>128</v>
      </c>
      <c r="S51">
        <v>117</v>
      </c>
      <c r="T51">
        <v>123</v>
      </c>
      <c r="U51">
        <v>110</v>
      </c>
      <c r="V51">
        <v>109</v>
      </c>
      <c r="W51">
        <v>110</v>
      </c>
      <c r="X51">
        <v>113</v>
      </c>
      <c r="Y51">
        <v>112</v>
      </c>
      <c r="Z51">
        <v>109</v>
      </c>
      <c r="AA51">
        <v>106</v>
      </c>
      <c r="AB51">
        <v>100</v>
      </c>
      <c r="AC51">
        <v>94</v>
      </c>
      <c r="AD51">
        <v>88</v>
      </c>
      <c r="AE51">
        <v>83</v>
      </c>
    </row>
    <row r="52" spans="1:31" x14ac:dyDescent="0.3">
      <c r="A52" t="s">
        <v>271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1</v>
      </c>
      <c r="I52">
        <v>2</v>
      </c>
      <c r="J52">
        <v>2</v>
      </c>
      <c r="K52">
        <v>2</v>
      </c>
      <c r="L52">
        <v>3</v>
      </c>
      <c r="M52">
        <v>3</v>
      </c>
      <c r="N52">
        <v>4</v>
      </c>
      <c r="O52">
        <v>7</v>
      </c>
      <c r="P52">
        <v>7</v>
      </c>
      <c r="Q52">
        <v>7</v>
      </c>
      <c r="R52">
        <v>5</v>
      </c>
      <c r="S52">
        <v>4</v>
      </c>
      <c r="T52">
        <v>5</v>
      </c>
      <c r="U52">
        <v>4</v>
      </c>
      <c r="V52">
        <v>4</v>
      </c>
      <c r="W52">
        <v>5</v>
      </c>
      <c r="X52">
        <v>6</v>
      </c>
      <c r="Y52">
        <v>6</v>
      </c>
      <c r="Z52">
        <v>7</v>
      </c>
      <c r="AA52">
        <v>10</v>
      </c>
      <c r="AB52">
        <v>9</v>
      </c>
      <c r="AC52">
        <v>9</v>
      </c>
      <c r="AD52">
        <v>10</v>
      </c>
      <c r="AE52">
        <v>11</v>
      </c>
    </row>
    <row r="53" spans="1:31" x14ac:dyDescent="0.3">
      <c r="A53" t="s">
        <v>271</v>
      </c>
      <c r="B53" t="s">
        <v>224</v>
      </c>
      <c r="C53" t="s">
        <v>0</v>
      </c>
      <c r="D53" t="s">
        <v>225</v>
      </c>
      <c r="E53" t="s">
        <v>123</v>
      </c>
      <c r="F53">
        <v>13</v>
      </c>
      <c r="G53">
        <v>18</v>
      </c>
      <c r="H53">
        <v>25</v>
      </c>
      <c r="I53">
        <v>31</v>
      </c>
      <c r="J53">
        <v>29</v>
      </c>
      <c r="K53">
        <v>36</v>
      </c>
      <c r="L53">
        <v>41</v>
      </c>
      <c r="M53">
        <v>40</v>
      </c>
      <c r="N53">
        <v>46</v>
      </c>
      <c r="O53">
        <v>54</v>
      </c>
      <c r="P53">
        <v>59</v>
      </c>
      <c r="Q53">
        <v>63</v>
      </c>
      <c r="R53">
        <v>66</v>
      </c>
      <c r="S53">
        <v>66</v>
      </c>
      <c r="T53">
        <v>72</v>
      </c>
      <c r="U53">
        <v>65</v>
      </c>
      <c r="V53">
        <v>71</v>
      </c>
      <c r="W53">
        <v>77</v>
      </c>
      <c r="X53">
        <v>85</v>
      </c>
      <c r="Y53">
        <v>85</v>
      </c>
      <c r="Z53">
        <v>90</v>
      </c>
      <c r="AA53">
        <v>94</v>
      </c>
      <c r="AB53">
        <v>96</v>
      </c>
      <c r="AC53">
        <v>95</v>
      </c>
      <c r="AD53">
        <v>93</v>
      </c>
      <c r="AE53">
        <v>86</v>
      </c>
    </row>
    <row r="54" spans="1:31" x14ac:dyDescent="0.3">
      <c r="A54" t="s">
        <v>271</v>
      </c>
      <c r="B54" t="s">
        <v>226</v>
      </c>
      <c r="C54" t="s">
        <v>0</v>
      </c>
      <c r="D54" t="s">
        <v>227</v>
      </c>
      <c r="E54" t="s">
        <v>123</v>
      </c>
      <c r="F54">
        <v>15</v>
      </c>
      <c r="G54">
        <v>21</v>
      </c>
      <c r="H54">
        <v>28</v>
      </c>
      <c r="I54">
        <v>35</v>
      </c>
      <c r="J54">
        <v>35</v>
      </c>
      <c r="K54">
        <v>44</v>
      </c>
      <c r="L54">
        <v>50</v>
      </c>
      <c r="M54">
        <v>48</v>
      </c>
      <c r="N54">
        <v>57</v>
      </c>
      <c r="O54">
        <v>70</v>
      </c>
      <c r="P54">
        <v>75</v>
      </c>
      <c r="Q54">
        <v>83</v>
      </c>
      <c r="R54">
        <v>87</v>
      </c>
      <c r="S54">
        <v>89</v>
      </c>
      <c r="T54">
        <v>96</v>
      </c>
      <c r="U54">
        <v>90</v>
      </c>
      <c r="V54">
        <v>99</v>
      </c>
      <c r="W54">
        <v>112</v>
      </c>
      <c r="X54">
        <v>126</v>
      </c>
      <c r="Y54">
        <v>127</v>
      </c>
      <c r="Z54">
        <v>135</v>
      </c>
      <c r="AA54">
        <v>143</v>
      </c>
      <c r="AB54">
        <v>147</v>
      </c>
      <c r="AC54">
        <v>147</v>
      </c>
      <c r="AD54">
        <v>146</v>
      </c>
      <c r="AE54">
        <v>137</v>
      </c>
    </row>
    <row r="55" spans="1:31" x14ac:dyDescent="0.3">
      <c r="A55" t="s">
        <v>271</v>
      </c>
      <c r="B55" t="s">
        <v>228</v>
      </c>
      <c r="C55" t="s">
        <v>0</v>
      </c>
      <c r="D55" t="s">
        <v>229</v>
      </c>
      <c r="E55" t="s">
        <v>123</v>
      </c>
      <c r="F55">
        <v>2</v>
      </c>
      <c r="G55">
        <v>3</v>
      </c>
      <c r="H55">
        <v>3</v>
      </c>
      <c r="I55">
        <v>4</v>
      </c>
      <c r="J55">
        <v>6</v>
      </c>
      <c r="K55">
        <v>8</v>
      </c>
      <c r="L55">
        <v>9</v>
      </c>
      <c r="M55">
        <v>8</v>
      </c>
      <c r="N55">
        <v>11</v>
      </c>
      <c r="O55">
        <v>16</v>
      </c>
      <c r="P55">
        <v>16</v>
      </c>
      <c r="Q55">
        <v>20</v>
      </c>
      <c r="R55">
        <v>21</v>
      </c>
      <c r="S55">
        <v>23</v>
      </c>
      <c r="T55">
        <v>24</v>
      </c>
      <c r="U55">
        <v>25</v>
      </c>
      <c r="V55">
        <v>28</v>
      </c>
      <c r="W55">
        <v>35</v>
      </c>
      <c r="X55">
        <v>41</v>
      </c>
      <c r="Y55">
        <v>42</v>
      </c>
      <c r="Z55">
        <v>45</v>
      </c>
      <c r="AA55">
        <v>49</v>
      </c>
      <c r="AB55">
        <v>51</v>
      </c>
      <c r="AC55">
        <v>52</v>
      </c>
      <c r="AD55">
        <v>53</v>
      </c>
      <c r="AE55">
        <v>51</v>
      </c>
    </row>
    <row r="56" spans="1:31" x14ac:dyDescent="0.3">
      <c r="A56" t="s">
        <v>271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271</v>
      </c>
      <c r="B57" t="s">
        <v>232</v>
      </c>
      <c r="C57" t="s">
        <v>0</v>
      </c>
      <c r="D57" t="s">
        <v>233</v>
      </c>
      <c r="E57" t="s">
        <v>123</v>
      </c>
      <c r="F57">
        <v>675</v>
      </c>
      <c r="G57">
        <v>841</v>
      </c>
      <c r="H57">
        <v>1063</v>
      </c>
      <c r="I57">
        <v>1332</v>
      </c>
      <c r="J57">
        <v>1599</v>
      </c>
      <c r="K57">
        <v>1788</v>
      </c>
      <c r="L57">
        <v>1953</v>
      </c>
      <c r="M57">
        <v>1936</v>
      </c>
      <c r="N57">
        <v>2094</v>
      </c>
      <c r="O57">
        <v>2282</v>
      </c>
      <c r="P57">
        <v>2428</v>
      </c>
      <c r="Q57">
        <v>2591</v>
      </c>
      <c r="R57">
        <v>2668</v>
      </c>
      <c r="S57">
        <v>2793</v>
      </c>
      <c r="T57">
        <v>2807</v>
      </c>
      <c r="U57">
        <v>2600</v>
      </c>
      <c r="V57">
        <v>2647</v>
      </c>
      <c r="W57">
        <v>2794</v>
      </c>
      <c r="X57">
        <v>2918</v>
      </c>
      <c r="Y57">
        <v>2894</v>
      </c>
      <c r="Z57">
        <v>3038</v>
      </c>
      <c r="AA57">
        <v>3209</v>
      </c>
      <c r="AB57">
        <v>3354</v>
      </c>
      <c r="AC57">
        <v>3453</v>
      </c>
      <c r="AD57">
        <v>3432</v>
      </c>
      <c r="AE57">
        <v>3403</v>
      </c>
    </row>
    <row r="58" spans="1:31" x14ac:dyDescent="0.3">
      <c r="A58" t="s">
        <v>271</v>
      </c>
      <c r="B58" t="s">
        <v>234</v>
      </c>
      <c r="C58" t="s">
        <v>0</v>
      </c>
      <c r="D58" t="s">
        <v>235</v>
      </c>
      <c r="E58" t="s">
        <v>123</v>
      </c>
      <c r="F58">
        <v>675</v>
      </c>
      <c r="G58">
        <v>841</v>
      </c>
      <c r="H58">
        <v>1063</v>
      </c>
      <c r="I58">
        <v>1332</v>
      </c>
      <c r="J58">
        <v>1599</v>
      </c>
      <c r="K58">
        <v>1788</v>
      </c>
      <c r="L58">
        <v>1953</v>
      </c>
      <c r="M58">
        <v>1936</v>
      </c>
      <c r="N58">
        <v>2094</v>
      </c>
      <c r="O58">
        <v>2282</v>
      </c>
      <c r="P58">
        <v>2428</v>
      </c>
      <c r="Q58">
        <v>2591</v>
      </c>
      <c r="R58">
        <v>2668</v>
      </c>
      <c r="S58">
        <v>2793</v>
      </c>
      <c r="T58">
        <v>2807</v>
      </c>
      <c r="U58">
        <v>2600</v>
      </c>
      <c r="V58">
        <v>2647</v>
      </c>
      <c r="W58">
        <v>2794</v>
      </c>
      <c r="X58">
        <v>2918</v>
      </c>
      <c r="Y58">
        <v>2894</v>
      </c>
      <c r="Z58">
        <v>3038</v>
      </c>
      <c r="AA58">
        <v>3209</v>
      </c>
      <c r="AB58">
        <v>3354</v>
      </c>
      <c r="AC58">
        <v>3453</v>
      </c>
      <c r="AD58">
        <v>3432</v>
      </c>
      <c r="AE58">
        <v>3403</v>
      </c>
    </row>
    <row r="59" spans="1:31" x14ac:dyDescent="0.3">
      <c r="A59" t="s">
        <v>271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272</v>
      </c>
      <c r="B2" t="s">
        <v>121</v>
      </c>
      <c r="C2" t="s">
        <v>0</v>
      </c>
      <c r="D2" t="s">
        <v>122</v>
      </c>
      <c r="E2" t="s">
        <v>123</v>
      </c>
      <c r="F2">
        <v>3</v>
      </c>
      <c r="G2">
        <v>3</v>
      </c>
      <c r="H2">
        <v>3</v>
      </c>
      <c r="I2">
        <v>3</v>
      </c>
      <c r="J2">
        <v>4</v>
      </c>
      <c r="K2">
        <v>5</v>
      </c>
      <c r="L2">
        <v>5</v>
      </c>
      <c r="M2">
        <v>5</v>
      </c>
      <c r="N2">
        <v>6</v>
      </c>
      <c r="O2">
        <v>6</v>
      </c>
      <c r="P2">
        <v>7</v>
      </c>
      <c r="Q2">
        <v>9</v>
      </c>
      <c r="R2">
        <v>9</v>
      </c>
      <c r="S2">
        <v>9</v>
      </c>
      <c r="T2">
        <v>10</v>
      </c>
      <c r="U2">
        <v>11</v>
      </c>
      <c r="V2">
        <v>11</v>
      </c>
      <c r="W2">
        <v>10</v>
      </c>
      <c r="X2">
        <v>11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1" x14ac:dyDescent="0.3">
      <c r="A3" t="s">
        <v>272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3</v>
      </c>
      <c r="Q3">
        <v>3</v>
      </c>
      <c r="R3">
        <v>3</v>
      </c>
      <c r="S3">
        <v>3</v>
      </c>
      <c r="T3">
        <v>7</v>
      </c>
      <c r="U3">
        <v>11</v>
      </c>
      <c r="V3">
        <v>11</v>
      </c>
      <c r="W3">
        <v>9</v>
      </c>
      <c r="X3">
        <v>7</v>
      </c>
      <c r="Y3">
        <v>4</v>
      </c>
      <c r="Z3">
        <v>4</v>
      </c>
      <c r="AA3">
        <v>4</v>
      </c>
      <c r="AB3">
        <v>6</v>
      </c>
      <c r="AC3">
        <v>7</v>
      </c>
      <c r="AD3">
        <v>8</v>
      </c>
      <c r="AE3">
        <v>11</v>
      </c>
    </row>
    <row r="4" spans="1:31" x14ac:dyDescent="0.3">
      <c r="A4" t="s">
        <v>272</v>
      </c>
      <c r="B4" t="s">
        <v>126</v>
      </c>
      <c r="C4" t="s">
        <v>0</v>
      </c>
      <c r="D4" t="s">
        <v>127</v>
      </c>
      <c r="E4" t="s">
        <v>123</v>
      </c>
      <c r="F4">
        <v>346</v>
      </c>
      <c r="G4">
        <v>354</v>
      </c>
      <c r="H4">
        <v>400</v>
      </c>
      <c r="I4">
        <v>486</v>
      </c>
      <c r="J4">
        <v>562</v>
      </c>
      <c r="K4">
        <v>653</v>
      </c>
      <c r="L4">
        <v>767</v>
      </c>
      <c r="M4">
        <v>772</v>
      </c>
      <c r="N4">
        <v>865</v>
      </c>
      <c r="O4">
        <v>938</v>
      </c>
      <c r="P4">
        <v>1047</v>
      </c>
      <c r="Q4">
        <v>1204</v>
      </c>
      <c r="R4">
        <v>1281</v>
      </c>
      <c r="S4">
        <v>1346</v>
      </c>
      <c r="T4">
        <v>1420</v>
      </c>
      <c r="U4">
        <v>1489</v>
      </c>
      <c r="V4">
        <v>1557</v>
      </c>
      <c r="W4">
        <v>1611</v>
      </c>
      <c r="X4">
        <v>1551</v>
      </c>
      <c r="Y4">
        <v>1538</v>
      </c>
      <c r="Z4">
        <v>1501</v>
      </c>
      <c r="AA4">
        <v>1447</v>
      </c>
      <c r="AB4">
        <v>1470</v>
      </c>
      <c r="AC4">
        <v>1554</v>
      </c>
      <c r="AD4">
        <v>1625</v>
      </c>
      <c r="AE4">
        <v>1708</v>
      </c>
    </row>
    <row r="5" spans="1:31" x14ac:dyDescent="0.3">
      <c r="A5" t="s">
        <v>272</v>
      </c>
      <c r="B5" t="s">
        <v>128</v>
      </c>
      <c r="C5" t="s">
        <v>0</v>
      </c>
      <c r="D5" t="s">
        <v>129</v>
      </c>
      <c r="E5" t="s">
        <v>123</v>
      </c>
      <c r="F5">
        <v>18</v>
      </c>
      <c r="G5">
        <v>22</v>
      </c>
      <c r="H5">
        <v>24</v>
      </c>
      <c r="I5">
        <v>29</v>
      </c>
      <c r="J5">
        <v>38</v>
      </c>
      <c r="K5">
        <v>48</v>
      </c>
      <c r="L5">
        <v>51</v>
      </c>
      <c r="M5">
        <v>45</v>
      </c>
      <c r="N5">
        <v>58</v>
      </c>
      <c r="O5">
        <v>62</v>
      </c>
      <c r="P5">
        <v>73</v>
      </c>
      <c r="Q5">
        <v>74</v>
      </c>
      <c r="R5">
        <v>72</v>
      </c>
      <c r="S5">
        <v>73</v>
      </c>
      <c r="T5">
        <v>72</v>
      </c>
      <c r="U5">
        <v>78</v>
      </c>
      <c r="V5">
        <v>88</v>
      </c>
      <c r="W5">
        <v>94</v>
      </c>
      <c r="X5">
        <v>101</v>
      </c>
      <c r="Y5">
        <v>103</v>
      </c>
      <c r="Z5">
        <v>101</v>
      </c>
      <c r="AA5">
        <v>106</v>
      </c>
      <c r="AB5">
        <v>103</v>
      </c>
      <c r="AC5">
        <v>102</v>
      </c>
      <c r="AD5">
        <v>94</v>
      </c>
      <c r="AE5">
        <v>110</v>
      </c>
    </row>
    <row r="6" spans="1:31" x14ac:dyDescent="0.3">
      <c r="A6" t="s">
        <v>272</v>
      </c>
      <c r="B6" t="s">
        <v>130</v>
      </c>
      <c r="C6" t="s">
        <v>0</v>
      </c>
      <c r="D6" t="s">
        <v>131</v>
      </c>
      <c r="E6" t="s">
        <v>123</v>
      </c>
      <c r="F6">
        <v>2</v>
      </c>
      <c r="G6">
        <v>3</v>
      </c>
      <c r="H6">
        <v>3</v>
      </c>
      <c r="I6">
        <v>4</v>
      </c>
      <c r="J6">
        <v>3</v>
      </c>
      <c r="K6">
        <v>3</v>
      </c>
      <c r="L6">
        <v>3</v>
      </c>
      <c r="M6">
        <v>2</v>
      </c>
      <c r="N6">
        <v>4</v>
      </c>
      <c r="O6">
        <v>4</v>
      </c>
      <c r="P6">
        <v>6</v>
      </c>
      <c r="Q6">
        <v>6</v>
      </c>
      <c r="R6">
        <v>7</v>
      </c>
      <c r="S6">
        <v>6</v>
      </c>
      <c r="T6">
        <v>5</v>
      </c>
      <c r="U6">
        <v>5</v>
      </c>
      <c r="V6">
        <v>5</v>
      </c>
      <c r="W6">
        <v>6</v>
      </c>
      <c r="X6">
        <v>6</v>
      </c>
      <c r="Y6">
        <v>6</v>
      </c>
      <c r="Z6">
        <v>7</v>
      </c>
      <c r="AA6">
        <v>8</v>
      </c>
      <c r="AB6">
        <v>10</v>
      </c>
      <c r="AC6">
        <v>21</v>
      </c>
      <c r="AD6">
        <v>16</v>
      </c>
      <c r="AE6">
        <v>14</v>
      </c>
    </row>
    <row r="7" spans="1:31" x14ac:dyDescent="0.3">
      <c r="A7" t="s">
        <v>272</v>
      </c>
      <c r="B7" t="s">
        <v>132</v>
      </c>
      <c r="C7" t="s">
        <v>0</v>
      </c>
      <c r="D7" t="s">
        <v>133</v>
      </c>
      <c r="E7" t="s">
        <v>123</v>
      </c>
      <c r="F7">
        <v>92</v>
      </c>
      <c r="G7">
        <v>95</v>
      </c>
      <c r="H7">
        <v>104</v>
      </c>
      <c r="I7">
        <v>126</v>
      </c>
      <c r="J7">
        <v>137</v>
      </c>
      <c r="K7">
        <v>173</v>
      </c>
      <c r="L7">
        <v>219</v>
      </c>
      <c r="M7">
        <v>221</v>
      </c>
      <c r="N7">
        <v>224</v>
      </c>
      <c r="O7">
        <v>223</v>
      </c>
      <c r="P7">
        <v>264</v>
      </c>
      <c r="Q7">
        <v>332</v>
      </c>
      <c r="R7">
        <v>328</v>
      </c>
      <c r="S7">
        <v>299</v>
      </c>
      <c r="T7">
        <v>284</v>
      </c>
      <c r="U7">
        <v>268</v>
      </c>
      <c r="V7">
        <v>242</v>
      </c>
      <c r="W7">
        <v>239</v>
      </c>
      <c r="X7">
        <v>186</v>
      </c>
      <c r="Y7">
        <v>161</v>
      </c>
      <c r="Z7">
        <v>139</v>
      </c>
      <c r="AA7">
        <v>146</v>
      </c>
      <c r="AB7">
        <v>145</v>
      </c>
      <c r="AC7">
        <v>142</v>
      </c>
      <c r="AD7">
        <v>157</v>
      </c>
      <c r="AE7">
        <v>184</v>
      </c>
    </row>
    <row r="8" spans="1:31" x14ac:dyDescent="0.3">
      <c r="A8" t="s">
        <v>272</v>
      </c>
      <c r="B8" t="s">
        <v>134</v>
      </c>
      <c r="C8" t="s">
        <v>0</v>
      </c>
      <c r="D8" t="s">
        <v>135</v>
      </c>
      <c r="E8" t="s">
        <v>123</v>
      </c>
      <c r="F8">
        <v>12</v>
      </c>
      <c r="G8">
        <v>12</v>
      </c>
      <c r="H8">
        <v>13</v>
      </c>
      <c r="I8">
        <v>14</v>
      </c>
      <c r="J8">
        <v>16</v>
      </c>
      <c r="K8">
        <v>17</v>
      </c>
      <c r="L8">
        <v>24</v>
      </c>
      <c r="M8">
        <v>18</v>
      </c>
      <c r="N8">
        <v>24</v>
      </c>
      <c r="O8">
        <v>33</v>
      </c>
      <c r="P8">
        <v>38</v>
      </c>
      <c r="Q8">
        <v>29</v>
      </c>
      <c r="R8">
        <v>26</v>
      </c>
      <c r="S8">
        <v>27</v>
      </c>
      <c r="T8">
        <v>24</v>
      </c>
      <c r="U8">
        <v>23</v>
      </c>
      <c r="V8">
        <v>21</v>
      </c>
      <c r="W8">
        <v>18</v>
      </c>
      <c r="X8">
        <v>23</v>
      </c>
      <c r="Y8">
        <v>37</v>
      </c>
      <c r="Z8">
        <v>37</v>
      </c>
      <c r="AA8">
        <v>37</v>
      </c>
      <c r="AB8">
        <v>42</v>
      </c>
      <c r="AC8">
        <v>63</v>
      </c>
      <c r="AD8">
        <v>81</v>
      </c>
      <c r="AE8">
        <v>81</v>
      </c>
    </row>
    <row r="9" spans="1:31" x14ac:dyDescent="0.3">
      <c r="A9" t="s">
        <v>272</v>
      </c>
      <c r="B9" t="s">
        <v>136</v>
      </c>
      <c r="C9" t="s">
        <v>0</v>
      </c>
      <c r="D9" t="s">
        <v>137</v>
      </c>
      <c r="E9" t="s">
        <v>123</v>
      </c>
      <c r="F9">
        <v>14</v>
      </c>
      <c r="G9">
        <v>15</v>
      </c>
      <c r="H9">
        <v>16</v>
      </c>
      <c r="I9">
        <v>21</v>
      </c>
      <c r="J9">
        <v>22</v>
      </c>
      <c r="K9">
        <v>19</v>
      </c>
      <c r="L9">
        <v>22</v>
      </c>
      <c r="M9">
        <v>27</v>
      </c>
      <c r="N9">
        <v>29</v>
      </c>
      <c r="O9">
        <v>29</v>
      </c>
      <c r="P9">
        <v>31</v>
      </c>
      <c r="Q9">
        <v>29</v>
      </c>
      <c r="R9">
        <v>30</v>
      </c>
      <c r="S9">
        <v>34</v>
      </c>
      <c r="T9">
        <v>44</v>
      </c>
      <c r="U9">
        <v>42</v>
      </c>
      <c r="V9">
        <v>38</v>
      </c>
      <c r="W9">
        <v>42</v>
      </c>
      <c r="X9">
        <v>43</v>
      </c>
      <c r="Y9">
        <v>40</v>
      </c>
      <c r="Z9">
        <v>42</v>
      </c>
      <c r="AA9">
        <v>39</v>
      </c>
      <c r="AB9">
        <v>52</v>
      </c>
      <c r="AC9">
        <v>62</v>
      </c>
      <c r="AD9">
        <v>65</v>
      </c>
      <c r="AE9">
        <v>75</v>
      </c>
    </row>
    <row r="10" spans="1:31" x14ac:dyDescent="0.3">
      <c r="A10" t="s">
        <v>272</v>
      </c>
      <c r="B10" t="s">
        <v>138</v>
      </c>
      <c r="C10" t="s">
        <v>0</v>
      </c>
      <c r="D10" t="s">
        <v>139</v>
      </c>
      <c r="E10" t="s">
        <v>123</v>
      </c>
      <c r="F10">
        <v>17</v>
      </c>
      <c r="G10">
        <v>18</v>
      </c>
      <c r="H10">
        <v>21</v>
      </c>
      <c r="I10">
        <v>29</v>
      </c>
      <c r="J10">
        <v>30</v>
      </c>
      <c r="K10">
        <v>26</v>
      </c>
      <c r="L10">
        <v>30</v>
      </c>
      <c r="M10">
        <v>40</v>
      </c>
      <c r="N10">
        <v>41</v>
      </c>
      <c r="O10">
        <v>41</v>
      </c>
      <c r="P10">
        <v>43</v>
      </c>
      <c r="Q10">
        <v>40</v>
      </c>
      <c r="R10">
        <v>40</v>
      </c>
      <c r="S10">
        <v>44</v>
      </c>
      <c r="T10">
        <v>54</v>
      </c>
      <c r="U10">
        <v>53</v>
      </c>
      <c r="V10">
        <v>51</v>
      </c>
      <c r="W10">
        <v>56</v>
      </c>
      <c r="X10">
        <v>58</v>
      </c>
      <c r="Y10">
        <v>55</v>
      </c>
      <c r="Z10">
        <v>58</v>
      </c>
      <c r="AA10">
        <v>56</v>
      </c>
      <c r="AB10">
        <v>68</v>
      </c>
      <c r="AC10">
        <v>77</v>
      </c>
      <c r="AD10">
        <v>88</v>
      </c>
      <c r="AE10">
        <v>96</v>
      </c>
    </row>
    <row r="11" spans="1:31" x14ac:dyDescent="0.3">
      <c r="A11" t="s">
        <v>272</v>
      </c>
      <c r="B11" t="s">
        <v>140</v>
      </c>
      <c r="C11" t="s">
        <v>0</v>
      </c>
      <c r="D11" t="s">
        <v>141</v>
      </c>
      <c r="E11" t="s">
        <v>123</v>
      </c>
      <c r="F11">
        <v>3</v>
      </c>
      <c r="G11">
        <v>3</v>
      </c>
      <c r="H11">
        <v>5</v>
      </c>
      <c r="I11">
        <v>8</v>
      </c>
      <c r="J11">
        <v>8</v>
      </c>
      <c r="K11">
        <v>7</v>
      </c>
      <c r="L11">
        <v>8</v>
      </c>
      <c r="M11">
        <v>13</v>
      </c>
      <c r="N11">
        <v>12</v>
      </c>
      <c r="O11">
        <v>12</v>
      </c>
      <c r="P11">
        <v>12</v>
      </c>
      <c r="Q11">
        <v>11</v>
      </c>
      <c r="R11">
        <v>10</v>
      </c>
      <c r="S11">
        <v>10</v>
      </c>
      <c r="T11">
        <v>10</v>
      </c>
      <c r="U11">
        <v>11</v>
      </c>
      <c r="V11">
        <v>13</v>
      </c>
      <c r="W11">
        <v>14</v>
      </c>
      <c r="X11">
        <v>15</v>
      </c>
      <c r="Y11">
        <v>15</v>
      </c>
      <c r="Z11">
        <v>16</v>
      </c>
      <c r="AA11">
        <v>17</v>
      </c>
      <c r="AB11">
        <v>16</v>
      </c>
      <c r="AC11">
        <v>15</v>
      </c>
      <c r="AD11">
        <v>23</v>
      </c>
      <c r="AE11">
        <v>21</v>
      </c>
    </row>
    <row r="12" spans="1:31" x14ac:dyDescent="0.3">
      <c r="A12" t="s">
        <v>272</v>
      </c>
      <c r="B12" t="s">
        <v>142</v>
      </c>
      <c r="C12" t="s">
        <v>0</v>
      </c>
      <c r="D12" t="s">
        <v>143</v>
      </c>
      <c r="E12" t="s">
        <v>123</v>
      </c>
      <c r="F12">
        <v>34</v>
      </c>
      <c r="G12">
        <v>33</v>
      </c>
      <c r="H12">
        <v>41</v>
      </c>
      <c r="I12">
        <v>45</v>
      </c>
      <c r="J12">
        <v>51</v>
      </c>
      <c r="K12">
        <v>57</v>
      </c>
      <c r="L12">
        <v>55</v>
      </c>
      <c r="M12">
        <v>46</v>
      </c>
      <c r="N12">
        <v>41</v>
      </c>
      <c r="O12">
        <v>46</v>
      </c>
      <c r="P12">
        <v>45</v>
      </c>
      <c r="Q12">
        <v>67</v>
      </c>
      <c r="R12">
        <v>67</v>
      </c>
      <c r="S12">
        <v>71</v>
      </c>
      <c r="T12">
        <v>64</v>
      </c>
      <c r="U12">
        <v>60</v>
      </c>
      <c r="V12">
        <v>64</v>
      </c>
      <c r="W12">
        <v>59</v>
      </c>
      <c r="X12">
        <v>55</v>
      </c>
      <c r="Y12">
        <v>55</v>
      </c>
      <c r="Z12">
        <v>55</v>
      </c>
      <c r="AA12">
        <v>51</v>
      </c>
      <c r="AB12">
        <v>52</v>
      </c>
      <c r="AC12">
        <v>62</v>
      </c>
      <c r="AD12">
        <v>77</v>
      </c>
      <c r="AE12">
        <v>89</v>
      </c>
    </row>
    <row r="13" spans="1:31" x14ac:dyDescent="0.3">
      <c r="A13" t="s">
        <v>272</v>
      </c>
      <c r="B13" t="s">
        <v>144</v>
      </c>
      <c r="C13" t="s">
        <v>0</v>
      </c>
      <c r="D13" t="s">
        <v>145</v>
      </c>
      <c r="E13" t="s">
        <v>123</v>
      </c>
      <c r="F13">
        <v>33</v>
      </c>
      <c r="G13">
        <v>31</v>
      </c>
      <c r="H13">
        <v>32</v>
      </c>
      <c r="I13">
        <v>39</v>
      </c>
      <c r="J13">
        <v>39</v>
      </c>
      <c r="K13">
        <v>40</v>
      </c>
      <c r="L13">
        <v>57</v>
      </c>
      <c r="M13">
        <v>55</v>
      </c>
      <c r="N13">
        <v>71</v>
      </c>
      <c r="O13">
        <v>80</v>
      </c>
      <c r="P13">
        <v>95</v>
      </c>
      <c r="Q13">
        <v>100</v>
      </c>
      <c r="R13">
        <v>112</v>
      </c>
      <c r="S13">
        <v>114</v>
      </c>
      <c r="T13">
        <v>108</v>
      </c>
      <c r="U13">
        <v>102</v>
      </c>
      <c r="V13">
        <v>100</v>
      </c>
      <c r="W13">
        <v>107</v>
      </c>
      <c r="X13">
        <v>96</v>
      </c>
      <c r="Y13">
        <v>112</v>
      </c>
      <c r="Z13">
        <v>118</v>
      </c>
      <c r="AA13">
        <v>122</v>
      </c>
      <c r="AB13">
        <v>132</v>
      </c>
      <c r="AC13">
        <v>132</v>
      </c>
      <c r="AD13">
        <v>148</v>
      </c>
      <c r="AE13">
        <v>162</v>
      </c>
    </row>
    <row r="14" spans="1:31" x14ac:dyDescent="0.3">
      <c r="A14" t="s">
        <v>272</v>
      </c>
      <c r="B14" t="s">
        <v>146</v>
      </c>
      <c r="C14" t="s">
        <v>0</v>
      </c>
      <c r="D14" t="s">
        <v>147</v>
      </c>
      <c r="E14" t="s">
        <v>123</v>
      </c>
      <c r="F14">
        <v>21</v>
      </c>
      <c r="G14">
        <v>21</v>
      </c>
      <c r="H14">
        <v>24</v>
      </c>
      <c r="I14">
        <v>44</v>
      </c>
      <c r="J14">
        <v>90</v>
      </c>
      <c r="K14">
        <v>127</v>
      </c>
      <c r="L14">
        <v>157</v>
      </c>
      <c r="M14">
        <v>206</v>
      </c>
      <c r="N14">
        <v>238</v>
      </c>
      <c r="O14">
        <v>263</v>
      </c>
      <c r="P14">
        <v>286</v>
      </c>
      <c r="Q14">
        <v>356</v>
      </c>
      <c r="R14">
        <v>404</v>
      </c>
      <c r="S14">
        <v>466</v>
      </c>
      <c r="T14">
        <v>509</v>
      </c>
      <c r="U14">
        <v>566</v>
      </c>
      <c r="V14">
        <v>641</v>
      </c>
      <c r="W14">
        <v>669</v>
      </c>
      <c r="X14">
        <v>648</v>
      </c>
      <c r="Y14">
        <v>599</v>
      </c>
      <c r="Z14">
        <v>541</v>
      </c>
      <c r="AA14">
        <v>481</v>
      </c>
      <c r="AB14">
        <v>464</v>
      </c>
      <c r="AC14">
        <v>443</v>
      </c>
      <c r="AD14">
        <v>429</v>
      </c>
      <c r="AE14">
        <v>394</v>
      </c>
    </row>
    <row r="15" spans="1:31" x14ac:dyDescent="0.3">
      <c r="A15" t="s">
        <v>272</v>
      </c>
      <c r="B15" t="s">
        <v>148</v>
      </c>
      <c r="C15" t="s">
        <v>0</v>
      </c>
      <c r="D15" t="s">
        <v>149</v>
      </c>
      <c r="E15" t="s">
        <v>123</v>
      </c>
      <c r="F15">
        <v>49</v>
      </c>
      <c r="G15">
        <v>52</v>
      </c>
      <c r="H15">
        <v>55</v>
      </c>
      <c r="I15">
        <v>77</v>
      </c>
      <c r="J15">
        <v>125</v>
      </c>
      <c r="K15">
        <v>160</v>
      </c>
      <c r="L15">
        <v>188</v>
      </c>
      <c r="M15">
        <v>229</v>
      </c>
      <c r="N15">
        <v>267</v>
      </c>
      <c r="O15">
        <v>293</v>
      </c>
      <c r="P15">
        <v>317</v>
      </c>
      <c r="Q15">
        <v>393</v>
      </c>
      <c r="R15">
        <v>444</v>
      </c>
      <c r="S15">
        <v>519</v>
      </c>
      <c r="T15">
        <v>574</v>
      </c>
      <c r="U15">
        <v>634</v>
      </c>
      <c r="V15">
        <v>709</v>
      </c>
      <c r="W15">
        <v>736</v>
      </c>
      <c r="X15">
        <v>703</v>
      </c>
      <c r="Y15">
        <v>654</v>
      </c>
      <c r="Z15">
        <v>589</v>
      </c>
      <c r="AA15">
        <v>525</v>
      </c>
      <c r="AB15">
        <v>514</v>
      </c>
      <c r="AC15">
        <v>499</v>
      </c>
      <c r="AD15">
        <v>494</v>
      </c>
      <c r="AE15">
        <v>458</v>
      </c>
    </row>
    <row r="16" spans="1:31" x14ac:dyDescent="0.3">
      <c r="A16" t="s">
        <v>272</v>
      </c>
      <c r="B16" t="s">
        <v>150</v>
      </c>
      <c r="C16" t="s">
        <v>0</v>
      </c>
      <c r="D16" t="s">
        <v>151</v>
      </c>
      <c r="E16" t="s">
        <v>123</v>
      </c>
      <c r="F16">
        <v>28</v>
      </c>
      <c r="G16">
        <v>31</v>
      </c>
      <c r="H16">
        <v>31</v>
      </c>
      <c r="I16">
        <v>33</v>
      </c>
      <c r="J16">
        <v>35</v>
      </c>
      <c r="K16">
        <v>33</v>
      </c>
      <c r="L16">
        <v>31</v>
      </c>
      <c r="M16">
        <v>23</v>
      </c>
      <c r="N16">
        <v>29</v>
      </c>
      <c r="O16">
        <v>30</v>
      </c>
      <c r="P16">
        <v>31</v>
      </c>
      <c r="Q16">
        <v>37</v>
      </c>
      <c r="R16">
        <v>40</v>
      </c>
      <c r="S16">
        <v>53</v>
      </c>
      <c r="T16">
        <v>65</v>
      </c>
      <c r="U16">
        <v>68</v>
      </c>
      <c r="V16">
        <v>68</v>
      </c>
      <c r="W16">
        <v>67</v>
      </c>
      <c r="X16">
        <v>55</v>
      </c>
      <c r="Y16">
        <v>55</v>
      </c>
      <c r="Z16">
        <v>48</v>
      </c>
      <c r="AA16">
        <v>44</v>
      </c>
      <c r="AB16">
        <v>50</v>
      </c>
      <c r="AC16">
        <v>56</v>
      </c>
      <c r="AD16">
        <v>65</v>
      </c>
      <c r="AE16">
        <v>64</v>
      </c>
    </row>
    <row r="17" spans="1:31" x14ac:dyDescent="0.3">
      <c r="A17" t="s">
        <v>272</v>
      </c>
      <c r="B17" t="s">
        <v>152</v>
      </c>
      <c r="C17" t="s">
        <v>0</v>
      </c>
      <c r="D17" t="s">
        <v>153</v>
      </c>
      <c r="E17" t="s">
        <v>123</v>
      </c>
      <c r="F17">
        <v>55</v>
      </c>
      <c r="G17">
        <v>53</v>
      </c>
      <c r="H17">
        <v>68</v>
      </c>
      <c r="I17">
        <v>68</v>
      </c>
      <c r="J17">
        <v>67</v>
      </c>
      <c r="K17">
        <v>75</v>
      </c>
      <c r="L17">
        <v>79</v>
      </c>
      <c r="M17">
        <v>66</v>
      </c>
      <c r="N17">
        <v>83</v>
      </c>
      <c r="O17">
        <v>102</v>
      </c>
      <c r="P17">
        <v>112</v>
      </c>
      <c r="Q17">
        <v>114</v>
      </c>
      <c r="R17">
        <v>133</v>
      </c>
      <c r="S17">
        <v>146</v>
      </c>
      <c r="T17">
        <v>185</v>
      </c>
      <c r="U17">
        <v>210</v>
      </c>
      <c r="V17">
        <v>217</v>
      </c>
      <c r="W17">
        <v>225</v>
      </c>
      <c r="X17">
        <v>247</v>
      </c>
      <c r="Y17">
        <v>278</v>
      </c>
      <c r="Z17">
        <v>321</v>
      </c>
      <c r="AA17">
        <v>315</v>
      </c>
      <c r="AB17">
        <v>325</v>
      </c>
      <c r="AC17">
        <v>368</v>
      </c>
      <c r="AD17">
        <v>364</v>
      </c>
      <c r="AE17">
        <v>393</v>
      </c>
    </row>
    <row r="18" spans="1:31" x14ac:dyDescent="0.3">
      <c r="A18" t="s">
        <v>272</v>
      </c>
      <c r="B18" t="s">
        <v>154</v>
      </c>
      <c r="C18" t="s">
        <v>0</v>
      </c>
      <c r="D18" t="s">
        <v>155</v>
      </c>
      <c r="E18" t="s">
        <v>123</v>
      </c>
      <c r="F18">
        <v>12</v>
      </c>
      <c r="G18">
        <v>12</v>
      </c>
      <c r="H18">
        <v>13</v>
      </c>
      <c r="I18">
        <v>27</v>
      </c>
      <c r="J18">
        <v>24</v>
      </c>
      <c r="K18">
        <v>22</v>
      </c>
      <c r="L18">
        <v>23</v>
      </c>
      <c r="M18">
        <v>17</v>
      </c>
      <c r="N18">
        <v>18</v>
      </c>
      <c r="O18">
        <v>18</v>
      </c>
      <c r="P18">
        <v>17</v>
      </c>
      <c r="Q18">
        <v>14</v>
      </c>
      <c r="R18">
        <v>15</v>
      </c>
      <c r="S18">
        <v>15</v>
      </c>
      <c r="T18">
        <v>17</v>
      </c>
      <c r="U18">
        <v>18</v>
      </c>
      <c r="V18">
        <v>22</v>
      </c>
      <c r="W18">
        <v>28</v>
      </c>
      <c r="X18">
        <v>29</v>
      </c>
      <c r="Y18">
        <v>29</v>
      </c>
      <c r="Z18">
        <v>26</v>
      </c>
      <c r="AA18">
        <v>30</v>
      </c>
      <c r="AB18">
        <v>32</v>
      </c>
      <c r="AC18">
        <v>33</v>
      </c>
      <c r="AD18">
        <v>33</v>
      </c>
      <c r="AE18">
        <v>32</v>
      </c>
    </row>
    <row r="19" spans="1:31" x14ac:dyDescent="0.3">
      <c r="A19" t="s">
        <v>272</v>
      </c>
      <c r="B19" t="s">
        <v>156</v>
      </c>
      <c r="C19" t="s">
        <v>0</v>
      </c>
      <c r="D19" t="s">
        <v>157</v>
      </c>
      <c r="E19" t="s">
        <v>123</v>
      </c>
      <c r="F19">
        <v>22</v>
      </c>
      <c r="G19">
        <v>23</v>
      </c>
      <c r="H19">
        <v>26</v>
      </c>
      <c r="I19">
        <v>28</v>
      </c>
      <c r="J19">
        <v>32</v>
      </c>
      <c r="K19">
        <v>32</v>
      </c>
      <c r="L19">
        <v>38</v>
      </c>
      <c r="M19">
        <v>33</v>
      </c>
      <c r="N19">
        <v>34</v>
      </c>
      <c r="O19">
        <v>36</v>
      </c>
      <c r="P19">
        <v>37</v>
      </c>
      <c r="Q19">
        <v>35</v>
      </c>
      <c r="R19">
        <v>37</v>
      </c>
      <c r="S19">
        <v>32</v>
      </c>
      <c r="T19">
        <v>33</v>
      </c>
      <c r="U19">
        <v>38</v>
      </c>
      <c r="V19">
        <v>38</v>
      </c>
      <c r="W19">
        <v>43</v>
      </c>
      <c r="X19">
        <v>47</v>
      </c>
      <c r="Y19">
        <v>48</v>
      </c>
      <c r="Z19">
        <v>50</v>
      </c>
      <c r="AA19">
        <v>51</v>
      </c>
      <c r="AB19">
        <v>47</v>
      </c>
      <c r="AC19">
        <v>55</v>
      </c>
      <c r="AD19">
        <v>73</v>
      </c>
      <c r="AE19">
        <v>89</v>
      </c>
    </row>
    <row r="20" spans="1:31" x14ac:dyDescent="0.3">
      <c r="A20" t="s">
        <v>272</v>
      </c>
      <c r="B20" t="s">
        <v>158</v>
      </c>
      <c r="C20" t="s">
        <v>0</v>
      </c>
      <c r="D20" t="s">
        <v>159</v>
      </c>
      <c r="E20" t="s">
        <v>123</v>
      </c>
      <c r="F20">
        <v>25</v>
      </c>
      <c r="G20">
        <v>25</v>
      </c>
      <c r="H20">
        <v>27</v>
      </c>
      <c r="I20">
        <v>34</v>
      </c>
      <c r="J20">
        <v>41</v>
      </c>
      <c r="K20">
        <v>46</v>
      </c>
      <c r="L20">
        <v>51</v>
      </c>
      <c r="M20">
        <v>54</v>
      </c>
      <c r="N20">
        <v>51</v>
      </c>
      <c r="O20">
        <v>54</v>
      </c>
      <c r="P20">
        <v>72</v>
      </c>
      <c r="Q20">
        <v>78</v>
      </c>
      <c r="R20">
        <v>84</v>
      </c>
      <c r="S20">
        <v>90</v>
      </c>
      <c r="T20">
        <v>101</v>
      </c>
      <c r="U20">
        <v>105</v>
      </c>
      <c r="V20">
        <v>121</v>
      </c>
      <c r="W20">
        <v>133</v>
      </c>
      <c r="X20">
        <v>156</v>
      </c>
      <c r="Y20">
        <v>166</v>
      </c>
      <c r="Z20">
        <v>172</v>
      </c>
      <c r="AA20">
        <v>183</v>
      </c>
      <c r="AB20">
        <v>186</v>
      </c>
      <c r="AC20">
        <v>206</v>
      </c>
      <c r="AD20">
        <v>219</v>
      </c>
      <c r="AE20">
        <v>230</v>
      </c>
    </row>
    <row r="21" spans="1:31" x14ac:dyDescent="0.3">
      <c r="A21" t="s">
        <v>272</v>
      </c>
      <c r="B21" t="s">
        <v>160</v>
      </c>
      <c r="C21" t="s">
        <v>0</v>
      </c>
      <c r="D21" t="s">
        <v>161</v>
      </c>
      <c r="E21" t="s">
        <v>123</v>
      </c>
      <c r="F21">
        <v>26</v>
      </c>
      <c r="G21">
        <v>25</v>
      </c>
      <c r="H21">
        <v>27</v>
      </c>
      <c r="I21">
        <v>34</v>
      </c>
      <c r="J21">
        <v>42</v>
      </c>
      <c r="K21">
        <v>47</v>
      </c>
      <c r="L21">
        <v>54</v>
      </c>
      <c r="M21">
        <v>56</v>
      </c>
      <c r="N21">
        <v>55</v>
      </c>
      <c r="O21">
        <v>57</v>
      </c>
      <c r="P21">
        <v>77</v>
      </c>
      <c r="Q21">
        <v>83</v>
      </c>
      <c r="R21">
        <v>89</v>
      </c>
      <c r="S21">
        <v>96</v>
      </c>
      <c r="T21">
        <v>107</v>
      </c>
      <c r="U21">
        <v>114</v>
      </c>
      <c r="V21">
        <v>128</v>
      </c>
      <c r="W21">
        <v>139</v>
      </c>
      <c r="X21">
        <v>165</v>
      </c>
      <c r="Y21">
        <v>181</v>
      </c>
      <c r="Z21">
        <v>189</v>
      </c>
      <c r="AA21">
        <v>200</v>
      </c>
      <c r="AB21">
        <v>205</v>
      </c>
      <c r="AC21">
        <v>224</v>
      </c>
      <c r="AD21">
        <v>241</v>
      </c>
      <c r="AE21">
        <v>250</v>
      </c>
    </row>
    <row r="22" spans="1:31" x14ac:dyDescent="0.3">
      <c r="A22" t="s">
        <v>272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3</v>
      </c>
      <c r="M22">
        <v>2</v>
      </c>
      <c r="N22">
        <v>4</v>
      </c>
      <c r="O22">
        <v>3</v>
      </c>
      <c r="P22">
        <v>5</v>
      </c>
      <c r="Q22">
        <v>5</v>
      </c>
      <c r="R22">
        <v>5</v>
      </c>
      <c r="S22">
        <v>6</v>
      </c>
      <c r="T22">
        <v>6</v>
      </c>
      <c r="U22">
        <v>9</v>
      </c>
      <c r="V22">
        <v>7</v>
      </c>
      <c r="W22">
        <v>6</v>
      </c>
      <c r="X22">
        <v>9</v>
      </c>
      <c r="Y22">
        <v>15</v>
      </c>
      <c r="Z22">
        <v>17</v>
      </c>
      <c r="AA22">
        <v>17</v>
      </c>
      <c r="AB22">
        <v>19</v>
      </c>
      <c r="AC22">
        <v>18</v>
      </c>
      <c r="AD22">
        <v>22</v>
      </c>
      <c r="AE22">
        <v>20</v>
      </c>
    </row>
    <row r="23" spans="1:31" x14ac:dyDescent="0.3">
      <c r="A23" t="s">
        <v>272</v>
      </c>
      <c r="B23" t="s">
        <v>164</v>
      </c>
      <c r="C23" t="s">
        <v>0</v>
      </c>
      <c r="D23" t="s">
        <v>165</v>
      </c>
      <c r="E23" t="s">
        <v>123</v>
      </c>
      <c r="F23">
        <v>31</v>
      </c>
      <c r="G23">
        <v>31</v>
      </c>
      <c r="H23">
        <v>34</v>
      </c>
      <c r="I23">
        <v>40</v>
      </c>
      <c r="J23">
        <v>45</v>
      </c>
      <c r="K23">
        <v>50</v>
      </c>
      <c r="L23">
        <v>55</v>
      </c>
      <c r="M23">
        <v>59</v>
      </c>
      <c r="N23">
        <v>64</v>
      </c>
      <c r="O23">
        <v>68</v>
      </c>
      <c r="P23">
        <v>75</v>
      </c>
      <c r="Q23">
        <v>80</v>
      </c>
      <c r="R23">
        <v>70</v>
      </c>
      <c r="S23">
        <v>91</v>
      </c>
      <c r="T23">
        <v>83</v>
      </c>
      <c r="U23">
        <v>85</v>
      </c>
      <c r="V23">
        <v>76</v>
      </c>
      <c r="W23">
        <v>92</v>
      </c>
      <c r="X23">
        <v>96</v>
      </c>
      <c r="Y23">
        <v>119</v>
      </c>
      <c r="Z23">
        <v>141</v>
      </c>
      <c r="AA23">
        <v>159</v>
      </c>
      <c r="AB23">
        <v>202</v>
      </c>
      <c r="AC23">
        <v>198</v>
      </c>
      <c r="AD23">
        <v>212</v>
      </c>
      <c r="AE23">
        <v>212</v>
      </c>
    </row>
    <row r="24" spans="1:31" x14ac:dyDescent="0.3">
      <c r="A24" t="s">
        <v>272</v>
      </c>
      <c r="B24" t="s">
        <v>166</v>
      </c>
      <c r="C24" t="s">
        <v>0</v>
      </c>
      <c r="D24" t="s">
        <v>167</v>
      </c>
      <c r="E24" t="s">
        <v>123</v>
      </c>
      <c r="F24">
        <v>56</v>
      </c>
      <c r="G24">
        <v>64</v>
      </c>
      <c r="H24">
        <v>77</v>
      </c>
      <c r="I24">
        <v>103</v>
      </c>
      <c r="J24">
        <v>134</v>
      </c>
      <c r="K24">
        <v>175</v>
      </c>
      <c r="L24">
        <v>220</v>
      </c>
      <c r="M24">
        <v>267</v>
      </c>
      <c r="N24">
        <v>358</v>
      </c>
      <c r="O24">
        <v>409</v>
      </c>
      <c r="P24">
        <v>433</v>
      </c>
      <c r="Q24">
        <v>432</v>
      </c>
      <c r="R24">
        <v>431</v>
      </c>
      <c r="S24">
        <v>465</v>
      </c>
      <c r="T24">
        <v>470</v>
      </c>
      <c r="U24">
        <v>460</v>
      </c>
      <c r="V24">
        <v>479</v>
      </c>
      <c r="W24">
        <v>558</v>
      </c>
      <c r="X24">
        <v>644</v>
      </c>
      <c r="Y24">
        <v>737</v>
      </c>
      <c r="Z24">
        <v>750</v>
      </c>
      <c r="AA24">
        <v>740</v>
      </c>
      <c r="AB24">
        <v>750</v>
      </c>
      <c r="AC24">
        <v>790</v>
      </c>
      <c r="AD24">
        <v>804</v>
      </c>
      <c r="AE24">
        <v>866</v>
      </c>
    </row>
    <row r="25" spans="1:31" x14ac:dyDescent="0.3">
      <c r="A25" t="s">
        <v>272</v>
      </c>
      <c r="B25" t="s">
        <v>168</v>
      </c>
      <c r="C25" t="s">
        <v>0</v>
      </c>
      <c r="D25" t="s">
        <v>169</v>
      </c>
      <c r="E25" t="s">
        <v>123</v>
      </c>
      <c r="F25">
        <v>10</v>
      </c>
      <c r="G25">
        <v>10</v>
      </c>
      <c r="H25">
        <v>11</v>
      </c>
      <c r="I25">
        <v>14</v>
      </c>
      <c r="J25">
        <v>18</v>
      </c>
      <c r="K25">
        <v>19</v>
      </c>
      <c r="L25">
        <v>21</v>
      </c>
      <c r="M25">
        <v>23</v>
      </c>
      <c r="N25">
        <v>26</v>
      </c>
      <c r="O25">
        <v>28</v>
      </c>
      <c r="P25">
        <v>28</v>
      </c>
      <c r="Q25">
        <v>28</v>
      </c>
      <c r="R25">
        <v>32</v>
      </c>
      <c r="S25">
        <v>37</v>
      </c>
      <c r="T25">
        <v>39</v>
      </c>
      <c r="U25">
        <v>41</v>
      </c>
      <c r="V25">
        <v>38</v>
      </c>
      <c r="W25">
        <v>43</v>
      </c>
      <c r="X25">
        <v>44</v>
      </c>
      <c r="Y25">
        <v>49</v>
      </c>
      <c r="Z25">
        <v>48</v>
      </c>
      <c r="AA25">
        <v>50</v>
      </c>
      <c r="AB25">
        <v>52</v>
      </c>
      <c r="AC25">
        <v>66</v>
      </c>
      <c r="AD25">
        <v>71</v>
      </c>
      <c r="AE25">
        <v>79</v>
      </c>
    </row>
    <row r="26" spans="1:31" x14ac:dyDescent="0.3">
      <c r="A26" t="s">
        <v>272</v>
      </c>
      <c r="B26" t="s">
        <v>170</v>
      </c>
      <c r="C26" t="s">
        <v>0</v>
      </c>
      <c r="D26" t="s">
        <v>171</v>
      </c>
      <c r="E26" t="s">
        <v>123</v>
      </c>
      <c r="F26">
        <v>37</v>
      </c>
      <c r="G26">
        <v>43</v>
      </c>
      <c r="H26">
        <v>52</v>
      </c>
      <c r="I26">
        <v>70</v>
      </c>
      <c r="J26">
        <v>92</v>
      </c>
      <c r="K26">
        <v>124</v>
      </c>
      <c r="L26">
        <v>159</v>
      </c>
      <c r="M26">
        <v>195</v>
      </c>
      <c r="N26">
        <v>271</v>
      </c>
      <c r="O26">
        <v>311</v>
      </c>
      <c r="P26">
        <v>325</v>
      </c>
      <c r="Q26">
        <v>318</v>
      </c>
      <c r="R26">
        <v>303</v>
      </c>
      <c r="S26">
        <v>320</v>
      </c>
      <c r="T26">
        <v>327</v>
      </c>
      <c r="U26">
        <v>310</v>
      </c>
      <c r="V26">
        <v>330</v>
      </c>
      <c r="W26">
        <v>381</v>
      </c>
      <c r="X26">
        <v>429</v>
      </c>
      <c r="Y26">
        <v>472</v>
      </c>
      <c r="Z26">
        <v>500</v>
      </c>
      <c r="AA26">
        <v>487</v>
      </c>
      <c r="AB26">
        <v>507</v>
      </c>
      <c r="AC26">
        <v>526</v>
      </c>
      <c r="AD26">
        <v>516</v>
      </c>
      <c r="AE26">
        <v>555</v>
      </c>
    </row>
    <row r="27" spans="1:31" x14ac:dyDescent="0.3">
      <c r="A27" t="s">
        <v>272</v>
      </c>
      <c r="B27" t="s">
        <v>172</v>
      </c>
      <c r="C27" t="s">
        <v>0</v>
      </c>
      <c r="D27" t="s">
        <v>173</v>
      </c>
      <c r="E27" t="s">
        <v>123</v>
      </c>
      <c r="F27">
        <v>9</v>
      </c>
      <c r="G27">
        <v>11</v>
      </c>
      <c r="H27">
        <v>14</v>
      </c>
      <c r="I27">
        <v>19</v>
      </c>
      <c r="J27">
        <v>24</v>
      </c>
      <c r="K27">
        <v>32</v>
      </c>
      <c r="L27">
        <v>40</v>
      </c>
      <c r="M27">
        <v>49</v>
      </c>
      <c r="N27">
        <v>61</v>
      </c>
      <c r="O27">
        <v>70</v>
      </c>
      <c r="P27">
        <v>80</v>
      </c>
      <c r="Q27">
        <v>86</v>
      </c>
      <c r="R27">
        <v>96</v>
      </c>
      <c r="S27">
        <v>108</v>
      </c>
      <c r="T27">
        <v>104</v>
      </c>
      <c r="U27">
        <v>109</v>
      </c>
      <c r="V27">
        <v>111</v>
      </c>
      <c r="W27">
        <v>134</v>
      </c>
      <c r="X27">
        <v>171</v>
      </c>
      <c r="Y27">
        <v>216</v>
      </c>
      <c r="Z27">
        <v>202</v>
      </c>
      <c r="AA27">
        <v>203</v>
      </c>
      <c r="AB27">
        <v>191</v>
      </c>
      <c r="AC27">
        <v>198</v>
      </c>
      <c r="AD27">
        <v>217</v>
      </c>
      <c r="AE27">
        <v>232</v>
      </c>
    </row>
    <row r="28" spans="1:31" x14ac:dyDescent="0.3">
      <c r="A28" t="s">
        <v>272</v>
      </c>
      <c r="B28" t="s">
        <v>174</v>
      </c>
      <c r="C28" t="s">
        <v>0</v>
      </c>
      <c r="D28" t="s">
        <v>175</v>
      </c>
      <c r="E28" t="s">
        <v>123</v>
      </c>
      <c r="F28">
        <v>94</v>
      </c>
      <c r="G28">
        <v>105</v>
      </c>
      <c r="H28">
        <v>120</v>
      </c>
      <c r="I28">
        <v>142</v>
      </c>
      <c r="J28">
        <v>162</v>
      </c>
      <c r="K28">
        <v>174</v>
      </c>
      <c r="L28">
        <v>175</v>
      </c>
      <c r="M28">
        <v>165</v>
      </c>
      <c r="N28">
        <v>159</v>
      </c>
      <c r="O28">
        <v>178</v>
      </c>
      <c r="P28">
        <v>176</v>
      </c>
      <c r="Q28">
        <v>183</v>
      </c>
      <c r="R28">
        <v>176</v>
      </c>
      <c r="S28">
        <v>174</v>
      </c>
      <c r="T28">
        <v>205</v>
      </c>
      <c r="U28">
        <v>191</v>
      </c>
      <c r="V28">
        <v>190</v>
      </c>
      <c r="W28">
        <v>200</v>
      </c>
      <c r="X28">
        <v>191</v>
      </c>
      <c r="Y28">
        <v>198</v>
      </c>
      <c r="Z28">
        <v>203</v>
      </c>
      <c r="AA28">
        <v>216</v>
      </c>
      <c r="AB28">
        <v>245</v>
      </c>
      <c r="AC28">
        <v>264</v>
      </c>
      <c r="AD28">
        <v>282</v>
      </c>
      <c r="AE28">
        <v>304</v>
      </c>
    </row>
    <row r="29" spans="1:31" x14ac:dyDescent="0.3">
      <c r="A29" t="s">
        <v>272</v>
      </c>
      <c r="B29" t="s">
        <v>176</v>
      </c>
      <c r="C29" t="s">
        <v>0</v>
      </c>
      <c r="D29" t="s">
        <v>177</v>
      </c>
      <c r="E29" t="s">
        <v>123</v>
      </c>
      <c r="F29">
        <v>17</v>
      </c>
      <c r="G29">
        <v>16</v>
      </c>
      <c r="H29">
        <v>19</v>
      </c>
      <c r="I29">
        <v>18</v>
      </c>
      <c r="J29">
        <v>18</v>
      </c>
      <c r="K29">
        <v>19</v>
      </c>
      <c r="L29">
        <v>22</v>
      </c>
      <c r="M29">
        <v>23</v>
      </c>
      <c r="N29">
        <v>23</v>
      </c>
      <c r="O29">
        <v>27</v>
      </c>
      <c r="P29">
        <v>26</v>
      </c>
      <c r="Q29">
        <v>31</v>
      </c>
      <c r="R29">
        <v>33</v>
      </c>
      <c r="S29">
        <v>30</v>
      </c>
      <c r="T29">
        <v>53</v>
      </c>
      <c r="U29">
        <v>48</v>
      </c>
      <c r="V29">
        <v>37</v>
      </c>
      <c r="W29">
        <v>31</v>
      </c>
      <c r="X29">
        <v>28</v>
      </c>
      <c r="Y29">
        <v>37</v>
      </c>
      <c r="Z29">
        <v>35</v>
      </c>
      <c r="AA29">
        <v>37</v>
      </c>
      <c r="AB29">
        <v>57</v>
      </c>
      <c r="AC29">
        <v>61</v>
      </c>
      <c r="AD29">
        <v>64</v>
      </c>
      <c r="AE29">
        <v>65</v>
      </c>
    </row>
    <row r="30" spans="1:31" x14ac:dyDescent="0.3">
      <c r="A30" t="s">
        <v>272</v>
      </c>
      <c r="B30" t="s">
        <v>178</v>
      </c>
      <c r="C30" t="s">
        <v>0</v>
      </c>
      <c r="D30" t="s">
        <v>179</v>
      </c>
      <c r="E30" t="s">
        <v>123</v>
      </c>
      <c r="F30">
        <v>4</v>
      </c>
      <c r="G30">
        <v>4</v>
      </c>
      <c r="H30">
        <v>5</v>
      </c>
      <c r="I30">
        <v>5</v>
      </c>
      <c r="J30">
        <v>6</v>
      </c>
      <c r="K30">
        <v>7</v>
      </c>
      <c r="L30">
        <v>8</v>
      </c>
      <c r="M30">
        <v>9</v>
      </c>
      <c r="N30">
        <v>9</v>
      </c>
      <c r="O30">
        <v>10</v>
      </c>
      <c r="P30">
        <v>11</v>
      </c>
      <c r="Q30">
        <v>11</v>
      </c>
      <c r="R30">
        <v>11</v>
      </c>
      <c r="S30">
        <v>13</v>
      </c>
      <c r="T30">
        <v>13</v>
      </c>
      <c r="U30">
        <v>13</v>
      </c>
      <c r="V30">
        <v>11</v>
      </c>
      <c r="W30">
        <v>10</v>
      </c>
      <c r="X30">
        <v>9</v>
      </c>
      <c r="Y30">
        <v>9</v>
      </c>
      <c r="Z30">
        <v>10</v>
      </c>
      <c r="AA30">
        <v>10</v>
      </c>
      <c r="AB30">
        <v>10</v>
      </c>
      <c r="AC30">
        <v>11</v>
      </c>
      <c r="AD30">
        <v>10</v>
      </c>
      <c r="AE30">
        <v>10</v>
      </c>
    </row>
    <row r="31" spans="1:31" x14ac:dyDescent="0.3">
      <c r="A31" t="s">
        <v>272</v>
      </c>
      <c r="B31" t="s">
        <v>180</v>
      </c>
      <c r="C31" t="s">
        <v>0</v>
      </c>
      <c r="D31" t="s">
        <v>181</v>
      </c>
      <c r="E31" t="s">
        <v>123</v>
      </c>
      <c r="F31">
        <v>28</v>
      </c>
      <c r="G31">
        <v>28</v>
      </c>
      <c r="H31">
        <v>29</v>
      </c>
      <c r="I31">
        <v>34</v>
      </c>
      <c r="J31">
        <v>39</v>
      </c>
      <c r="K31">
        <v>44</v>
      </c>
      <c r="L31">
        <v>49</v>
      </c>
      <c r="M31">
        <v>51</v>
      </c>
      <c r="N31">
        <v>52</v>
      </c>
      <c r="O31">
        <v>67</v>
      </c>
      <c r="P31">
        <v>67</v>
      </c>
      <c r="Q31">
        <v>67</v>
      </c>
      <c r="R31">
        <v>62</v>
      </c>
      <c r="S31">
        <v>56</v>
      </c>
      <c r="T31">
        <v>52</v>
      </c>
      <c r="U31">
        <v>42</v>
      </c>
      <c r="V31">
        <v>37</v>
      </c>
      <c r="W31">
        <v>37</v>
      </c>
      <c r="X31">
        <v>36</v>
      </c>
      <c r="Y31">
        <v>34</v>
      </c>
      <c r="Z31">
        <v>45</v>
      </c>
      <c r="AA31">
        <v>60</v>
      </c>
      <c r="AB31">
        <v>63</v>
      </c>
      <c r="AC31">
        <v>74</v>
      </c>
      <c r="AD31">
        <v>79</v>
      </c>
      <c r="AE31">
        <v>70</v>
      </c>
    </row>
    <row r="32" spans="1:31" x14ac:dyDescent="0.3">
      <c r="A32" t="s">
        <v>272</v>
      </c>
      <c r="B32" t="s">
        <v>182</v>
      </c>
      <c r="C32" t="s">
        <v>0</v>
      </c>
      <c r="D32" t="s">
        <v>183</v>
      </c>
      <c r="E32" t="s">
        <v>123</v>
      </c>
      <c r="F32">
        <v>16</v>
      </c>
      <c r="G32">
        <v>16</v>
      </c>
      <c r="H32">
        <v>15</v>
      </c>
      <c r="I32">
        <v>20</v>
      </c>
      <c r="J32">
        <v>23</v>
      </c>
      <c r="K32">
        <v>28</v>
      </c>
      <c r="L32">
        <v>30</v>
      </c>
      <c r="M32">
        <v>33</v>
      </c>
      <c r="N32">
        <v>32</v>
      </c>
      <c r="O32">
        <v>35</v>
      </c>
      <c r="P32">
        <v>36</v>
      </c>
      <c r="Q32">
        <v>38</v>
      </c>
      <c r="R32">
        <v>37</v>
      </c>
      <c r="S32">
        <v>41</v>
      </c>
      <c r="T32">
        <v>49</v>
      </c>
      <c r="U32">
        <v>48</v>
      </c>
      <c r="V32">
        <v>61</v>
      </c>
      <c r="W32">
        <v>66</v>
      </c>
      <c r="X32">
        <v>59</v>
      </c>
      <c r="Y32">
        <v>57</v>
      </c>
      <c r="Z32">
        <v>55</v>
      </c>
      <c r="AA32">
        <v>62</v>
      </c>
      <c r="AB32">
        <v>79</v>
      </c>
      <c r="AC32">
        <v>78</v>
      </c>
      <c r="AD32">
        <v>92</v>
      </c>
      <c r="AE32">
        <v>115</v>
      </c>
    </row>
    <row r="33" spans="1:31" x14ac:dyDescent="0.3">
      <c r="A33" t="s">
        <v>272</v>
      </c>
      <c r="B33" t="s">
        <v>184</v>
      </c>
      <c r="C33" t="s">
        <v>0</v>
      </c>
      <c r="D33" t="s">
        <v>185</v>
      </c>
      <c r="E33" t="s">
        <v>123</v>
      </c>
      <c r="F33">
        <v>29</v>
      </c>
      <c r="G33">
        <v>41</v>
      </c>
      <c r="H33">
        <v>52</v>
      </c>
      <c r="I33">
        <v>65</v>
      </c>
      <c r="J33">
        <v>76</v>
      </c>
      <c r="K33">
        <v>76</v>
      </c>
      <c r="L33">
        <v>66</v>
      </c>
      <c r="M33">
        <v>49</v>
      </c>
      <c r="N33">
        <v>43</v>
      </c>
      <c r="O33">
        <v>39</v>
      </c>
      <c r="P33">
        <v>36</v>
      </c>
      <c r="Q33">
        <v>36</v>
      </c>
      <c r="R33">
        <v>33</v>
      </c>
      <c r="S33">
        <v>34</v>
      </c>
      <c r="T33">
        <v>38</v>
      </c>
      <c r="U33">
        <v>40</v>
      </c>
      <c r="V33">
        <v>44</v>
      </c>
      <c r="W33">
        <v>56</v>
      </c>
      <c r="X33">
        <v>59</v>
      </c>
      <c r="Y33">
        <v>61</v>
      </c>
      <c r="Z33">
        <v>58</v>
      </c>
      <c r="AA33">
        <v>47</v>
      </c>
      <c r="AB33">
        <v>36</v>
      </c>
      <c r="AC33">
        <v>40</v>
      </c>
      <c r="AD33">
        <v>37</v>
      </c>
      <c r="AE33">
        <v>44</v>
      </c>
    </row>
    <row r="34" spans="1:31" x14ac:dyDescent="0.3">
      <c r="A34" t="s">
        <v>272</v>
      </c>
      <c r="B34" t="s">
        <v>186</v>
      </c>
      <c r="C34" t="s">
        <v>0</v>
      </c>
      <c r="D34" t="s">
        <v>187</v>
      </c>
      <c r="E34" t="s">
        <v>123</v>
      </c>
      <c r="F34">
        <v>7</v>
      </c>
      <c r="G34">
        <v>6</v>
      </c>
      <c r="H34">
        <v>7</v>
      </c>
      <c r="I34">
        <v>8</v>
      </c>
      <c r="J34">
        <v>9</v>
      </c>
      <c r="K34">
        <v>12</v>
      </c>
      <c r="L34">
        <v>13</v>
      </c>
      <c r="M34">
        <v>14</v>
      </c>
      <c r="N34">
        <v>15</v>
      </c>
      <c r="O34">
        <v>17</v>
      </c>
      <c r="P34">
        <v>17</v>
      </c>
      <c r="Q34">
        <v>17</v>
      </c>
      <c r="R34">
        <v>20</v>
      </c>
      <c r="S34">
        <v>23</v>
      </c>
      <c r="T34">
        <v>27</v>
      </c>
      <c r="U34">
        <v>33</v>
      </c>
      <c r="V34">
        <v>36</v>
      </c>
      <c r="W34">
        <v>40</v>
      </c>
      <c r="X34">
        <v>43</v>
      </c>
      <c r="Y34">
        <v>42</v>
      </c>
      <c r="Z34">
        <v>42</v>
      </c>
      <c r="AA34">
        <v>45</v>
      </c>
      <c r="AB34">
        <v>47</v>
      </c>
      <c r="AC34">
        <v>49</v>
      </c>
      <c r="AD34">
        <v>58</v>
      </c>
      <c r="AE34">
        <v>57</v>
      </c>
    </row>
    <row r="35" spans="1:31" x14ac:dyDescent="0.3">
      <c r="A35" t="s">
        <v>272</v>
      </c>
      <c r="B35" t="s">
        <v>188</v>
      </c>
      <c r="C35" t="s">
        <v>0</v>
      </c>
      <c r="D35" t="s">
        <v>189</v>
      </c>
      <c r="E35" t="s">
        <v>123</v>
      </c>
      <c r="F35">
        <v>276</v>
      </c>
      <c r="G35">
        <v>291</v>
      </c>
      <c r="H35">
        <v>308</v>
      </c>
      <c r="I35">
        <v>348</v>
      </c>
      <c r="J35">
        <v>399</v>
      </c>
      <c r="K35">
        <v>468</v>
      </c>
      <c r="L35">
        <v>531</v>
      </c>
      <c r="M35">
        <v>547</v>
      </c>
      <c r="N35">
        <v>623</v>
      </c>
      <c r="O35">
        <v>634</v>
      </c>
      <c r="P35">
        <v>711</v>
      </c>
      <c r="Q35">
        <v>774</v>
      </c>
      <c r="R35">
        <v>859</v>
      </c>
      <c r="S35">
        <v>879</v>
      </c>
      <c r="T35">
        <v>884</v>
      </c>
      <c r="U35">
        <v>865</v>
      </c>
      <c r="V35">
        <v>839</v>
      </c>
      <c r="W35">
        <v>804</v>
      </c>
      <c r="X35">
        <v>855</v>
      </c>
      <c r="Y35">
        <v>923</v>
      </c>
      <c r="Z35">
        <v>983</v>
      </c>
      <c r="AA35">
        <v>1042</v>
      </c>
      <c r="AB35">
        <v>1075</v>
      </c>
      <c r="AC35">
        <v>1235</v>
      </c>
      <c r="AD35">
        <v>1343</v>
      </c>
      <c r="AE35">
        <v>1374</v>
      </c>
    </row>
    <row r="36" spans="1:31" x14ac:dyDescent="0.3">
      <c r="A36" t="s">
        <v>272</v>
      </c>
      <c r="B36" t="s">
        <v>190</v>
      </c>
      <c r="C36" t="s">
        <v>0</v>
      </c>
      <c r="D36" t="s">
        <v>191</v>
      </c>
      <c r="E36" t="s">
        <v>123</v>
      </c>
      <c r="F36">
        <v>48</v>
      </c>
      <c r="G36">
        <v>54</v>
      </c>
      <c r="H36">
        <v>55</v>
      </c>
      <c r="I36">
        <v>59</v>
      </c>
      <c r="J36">
        <v>70</v>
      </c>
      <c r="K36">
        <v>76</v>
      </c>
      <c r="L36">
        <v>87</v>
      </c>
      <c r="M36">
        <v>78</v>
      </c>
      <c r="N36">
        <v>81</v>
      </c>
      <c r="O36">
        <v>97</v>
      </c>
      <c r="P36">
        <v>105</v>
      </c>
      <c r="Q36">
        <v>106</v>
      </c>
      <c r="R36">
        <v>132</v>
      </c>
      <c r="S36">
        <v>138</v>
      </c>
      <c r="T36">
        <v>162</v>
      </c>
      <c r="U36">
        <v>180</v>
      </c>
      <c r="V36">
        <v>190</v>
      </c>
      <c r="W36">
        <v>204</v>
      </c>
      <c r="X36">
        <v>202</v>
      </c>
      <c r="Y36">
        <v>203</v>
      </c>
      <c r="Z36">
        <v>210</v>
      </c>
      <c r="AA36">
        <v>220</v>
      </c>
      <c r="AB36">
        <v>221</v>
      </c>
      <c r="AC36">
        <v>244</v>
      </c>
      <c r="AD36">
        <v>253</v>
      </c>
      <c r="AE36">
        <v>265</v>
      </c>
    </row>
    <row r="37" spans="1:31" x14ac:dyDescent="0.3">
      <c r="A37" t="s">
        <v>272</v>
      </c>
      <c r="B37" t="s">
        <v>192</v>
      </c>
      <c r="C37" t="s">
        <v>0</v>
      </c>
      <c r="D37" t="s">
        <v>193</v>
      </c>
      <c r="E37" t="s">
        <v>123</v>
      </c>
      <c r="F37">
        <v>92</v>
      </c>
      <c r="G37">
        <v>90</v>
      </c>
      <c r="H37">
        <v>93</v>
      </c>
      <c r="I37">
        <v>105</v>
      </c>
      <c r="J37">
        <v>117</v>
      </c>
      <c r="K37">
        <v>146</v>
      </c>
      <c r="L37">
        <v>164</v>
      </c>
      <c r="M37">
        <v>174</v>
      </c>
      <c r="N37">
        <v>236</v>
      </c>
      <c r="O37">
        <v>206</v>
      </c>
      <c r="P37">
        <v>219</v>
      </c>
      <c r="Q37">
        <v>228</v>
      </c>
      <c r="R37">
        <v>254</v>
      </c>
      <c r="S37">
        <v>218</v>
      </c>
      <c r="T37">
        <v>216</v>
      </c>
      <c r="U37">
        <v>202</v>
      </c>
      <c r="V37">
        <v>169</v>
      </c>
      <c r="W37">
        <v>148</v>
      </c>
      <c r="X37">
        <v>147</v>
      </c>
      <c r="Y37">
        <v>153</v>
      </c>
      <c r="Z37">
        <v>155</v>
      </c>
      <c r="AA37">
        <v>168</v>
      </c>
      <c r="AB37">
        <v>197</v>
      </c>
      <c r="AC37">
        <v>216</v>
      </c>
      <c r="AD37">
        <v>214</v>
      </c>
      <c r="AE37">
        <v>202</v>
      </c>
    </row>
    <row r="38" spans="1:31" x14ac:dyDescent="0.3">
      <c r="A38" t="s">
        <v>272</v>
      </c>
      <c r="B38" t="s">
        <v>194</v>
      </c>
      <c r="C38" t="s">
        <v>0</v>
      </c>
      <c r="D38" t="s">
        <v>195</v>
      </c>
      <c r="E38" t="s">
        <v>123</v>
      </c>
      <c r="F38">
        <v>136</v>
      </c>
      <c r="G38">
        <v>147</v>
      </c>
      <c r="H38">
        <v>160</v>
      </c>
      <c r="I38">
        <v>184</v>
      </c>
      <c r="J38">
        <v>212</v>
      </c>
      <c r="K38">
        <v>246</v>
      </c>
      <c r="L38">
        <v>280</v>
      </c>
      <c r="M38">
        <v>295</v>
      </c>
      <c r="N38">
        <v>306</v>
      </c>
      <c r="O38">
        <v>331</v>
      </c>
      <c r="P38">
        <v>387</v>
      </c>
      <c r="Q38">
        <v>440</v>
      </c>
      <c r="R38">
        <v>473</v>
      </c>
      <c r="S38">
        <v>523</v>
      </c>
      <c r="T38">
        <v>506</v>
      </c>
      <c r="U38">
        <v>483</v>
      </c>
      <c r="V38">
        <v>480</v>
      </c>
      <c r="W38">
        <v>452</v>
      </c>
      <c r="X38">
        <v>506</v>
      </c>
      <c r="Y38">
        <v>567</v>
      </c>
      <c r="Z38">
        <v>618</v>
      </c>
      <c r="AA38">
        <v>654</v>
      </c>
      <c r="AB38">
        <v>657</v>
      </c>
      <c r="AC38">
        <v>775</v>
      </c>
      <c r="AD38">
        <v>876</v>
      </c>
      <c r="AE38">
        <v>907</v>
      </c>
    </row>
    <row r="39" spans="1:31" x14ac:dyDescent="0.3">
      <c r="A39" t="s">
        <v>272</v>
      </c>
      <c r="B39" t="s">
        <v>196</v>
      </c>
      <c r="C39" t="s">
        <v>0</v>
      </c>
      <c r="D39" t="s">
        <v>197</v>
      </c>
      <c r="E39" t="s">
        <v>123</v>
      </c>
      <c r="F39">
        <v>352</v>
      </c>
      <c r="G39">
        <v>329</v>
      </c>
      <c r="H39">
        <v>315</v>
      </c>
      <c r="I39">
        <v>318</v>
      </c>
      <c r="J39">
        <v>338</v>
      </c>
      <c r="K39">
        <v>363</v>
      </c>
      <c r="L39">
        <v>402</v>
      </c>
      <c r="M39">
        <v>403</v>
      </c>
      <c r="N39">
        <v>444</v>
      </c>
      <c r="O39">
        <v>518</v>
      </c>
      <c r="P39">
        <v>552</v>
      </c>
      <c r="Q39">
        <v>613</v>
      </c>
      <c r="R39">
        <v>704</v>
      </c>
      <c r="S39">
        <v>764</v>
      </c>
      <c r="T39">
        <v>763</v>
      </c>
      <c r="U39">
        <v>761</v>
      </c>
      <c r="V39">
        <v>763</v>
      </c>
      <c r="W39">
        <v>676</v>
      </c>
      <c r="X39">
        <v>628</v>
      </c>
      <c r="Y39">
        <v>671</v>
      </c>
      <c r="Z39">
        <v>689</v>
      </c>
      <c r="AA39">
        <v>704</v>
      </c>
      <c r="AB39">
        <v>956</v>
      </c>
      <c r="AC39">
        <v>848</v>
      </c>
      <c r="AD39">
        <v>795</v>
      </c>
      <c r="AE39">
        <v>695</v>
      </c>
    </row>
    <row r="40" spans="1:31" x14ac:dyDescent="0.3">
      <c r="A40" t="s">
        <v>272</v>
      </c>
      <c r="B40" t="s">
        <v>198</v>
      </c>
      <c r="C40" t="s">
        <v>0</v>
      </c>
      <c r="D40" t="s">
        <v>199</v>
      </c>
      <c r="E40" t="s">
        <v>123</v>
      </c>
      <c r="F40">
        <v>6</v>
      </c>
      <c r="G40">
        <v>6</v>
      </c>
      <c r="H40">
        <v>6</v>
      </c>
      <c r="I40">
        <v>6</v>
      </c>
      <c r="J40">
        <v>5</v>
      </c>
      <c r="K40">
        <v>5</v>
      </c>
      <c r="L40">
        <v>5</v>
      </c>
      <c r="M40">
        <v>6</v>
      </c>
      <c r="N40">
        <v>5</v>
      </c>
      <c r="O40">
        <v>4</v>
      </c>
      <c r="P40">
        <v>5</v>
      </c>
      <c r="Q40">
        <v>8</v>
      </c>
      <c r="R40">
        <v>8</v>
      </c>
      <c r="S40">
        <v>14</v>
      </c>
      <c r="T40">
        <v>21</v>
      </c>
      <c r="U40">
        <v>34</v>
      </c>
      <c r="V40">
        <v>34</v>
      </c>
      <c r="W40">
        <v>37</v>
      </c>
      <c r="X40">
        <v>41</v>
      </c>
      <c r="Y40">
        <v>51</v>
      </c>
      <c r="Z40">
        <v>53</v>
      </c>
      <c r="AA40">
        <v>53</v>
      </c>
      <c r="AB40">
        <v>55</v>
      </c>
      <c r="AC40">
        <v>61</v>
      </c>
      <c r="AD40">
        <v>57</v>
      </c>
      <c r="AE40">
        <v>60</v>
      </c>
    </row>
    <row r="41" spans="1:31" x14ac:dyDescent="0.3">
      <c r="A41" t="s">
        <v>272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272</v>
      </c>
      <c r="B42" t="s">
        <v>202</v>
      </c>
      <c r="C42" t="s">
        <v>0</v>
      </c>
      <c r="D42" t="s">
        <v>203</v>
      </c>
      <c r="E42" t="s">
        <v>123</v>
      </c>
      <c r="F42">
        <v>70</v>
      </c>
      <c r="G42">
        <v>69</v>
      </c>
      <c r="H42">
        <v>72</v>
      </c>
      <c r="I42">
        <v>83</v>
      </c>
      <c r="J42">
        <v>98</v>
      </c>
      <c r="K42">
        <v>118</v>
      </c>
      <c r="L42">
        <v>131</v>
      </c>
      <c r="M42">
        <v>138</v>
      </c>
      <c r="N42">
        <v>155</v>
      </c>
      <c r="O42">
        <v>169</v>
      </c>
      <c r="P42">
        <v>190</v>
      </c>
      <c r="Q42">
        <v>197</v>
      </c>
      <c r="R42">
        <v>233</v>
      </c>
      <c r="S42">
        <v>268</v>
      </c>
      <c r="T42">
        <v>257</v>
      </c>
      <c r="U42">
        <v>267</v>
      </c>
      <c r="V42">
        <v>284</v>
      </c>
      <c r="W42">
        <v>282</v>
      </c>
      <c r="X42">
        <v>297</v>
      </c>
      <c r="Y42">
        <v>317</v>
      </c>
      <c r="Z42">
        <v>333</v>
      </c>
      <c r="AA42">
        <v>337</v>
      </c>
      <c r="AB42">
        <v>341</v>
      </c>
      <c r="AC42">
        <v>336</v>
      </c>
      <c r="AD42">
        <v>409</v>
      </c>
      <c r="AE42">
        <v>446</v>
      </c>
    </row>
    <row r="43" spans="1:31" x14ac:dyDescent="0.3">
      <c r="A43" t="s">
        <v>272</v>
      </c>
      <c r="B43" t="s">
        <v>204</v>
      </c>
      <c r="C43" t="s">
        <v>0</v>
      </c>
      <c r="D43" t="s">
        <v>205</v>
      </c>
      <c r="E43" t="s">
        <v>123</v>
      </c>
      <c r="F43">
        <v>105</v>
      </c>
      <c r="G43">
        <v>100</v>
      </c>
      <c r="H43">
        <v>106</v>
      </c>
      <c r="I43">
        <v>123</v>
      </c>
      <c r="J43">
        <v>139</v>
      </c>
      <c r="K43">
        <v>163</v>
      </c>
      <c r="L43">
        <v>182</v>
      </c>
      <c r="M43">
        <v>188</v>
      </c>
      <c r="N43">
        <v>212</v>
      </c>
      <c r="O43">
        <v>227</v>
      </c>
      <c r="P43">
        <v>255</v>
      </c>
      <c r="Q43">
        <v>269</v>
      </c>
      <c r="R43">
        <v>308</v>
      </c>
      <c r="S43">
        <v>350</v>
      </c>
      <c r="T43">
        <v>346</v>
      </c>
      <c r="U43">
        <v>363</v>
      </c>
      <c r="V43">
        <v>386</v>
      </c>
      <c r="W43">
        <v>399</v>
      </c>
      <c r="X43">
        <v>421</v>
      </c>
      <c r="Y43">
        <v>455</v>
      </c>
      <c r="Z43">
        <v>471</v>
      </c>
      <c r="AA43">
        <v>497</v>
      </c>
      <c r="AB43">
        <v>520</v>
      </c>
      <c r="AC43">
        <v>526</v>
      </c>
      <c r="AD43">
        <v>624</v>
      </c>
      <c r="AE43">
        <v>665</v>
      </c>
    </row>
    <row r="44" spans="1:31" x14ac:dyDescent="0.3">
      <c r="A44" t="s">
        <v>272</v>
      </c>
      <c r="B44" t="s">
        <v>206</v>
      </c>
      <c r="C44" t="s">
        <v>0</v>
      </c>
      <c r="D44" t="s">
        <v>207</v>
      </c>
      <c r="E44" t="s">
        <v>123</v>
      </c>
      <c r="F44">
        <v>1324</v>
      </c>
      <c r="G44">
        <v>1336</v>
      </c>
      <c r="H44">
        <v>1429</v>
      </c>
      <c r="I44">
        <v>1642</v>
      </c>
      <c r="J44">
        <v>1876</v>
      </c>
      <c r="K44">
        <v>2159</v>
      </c>
      <c r="L44">
        <v>2457</v>
      </c>
      <c r="M44">
        <v>2536</v>
      </c>
      <c r="N44">
        <v>2857</v>
      </c>
      <c r="O44">
        <v>3108</v>
      </c>
      <c r="P44">
        <v>3415</v>
      </c>
      <c r="Q44">
        <v>3740</v>
      </c>
      <c r="R44">
        <v>4028</v>
      </c>
      <c r="S44">
        <v>4300</v>
      </c>
      <c r="T44">
        <v>4420</v>
      </c>
      <c r="U44">
        <v>4496</v>
      </c>
      <c r="V44">
        <v>4580</v>
      </c>
      <c r="W44">
        <v>4634</v>
      </c>
      <c r="X44">
        <v>4710</v>
      </c>
      <c r="Y44">
        <v>4976</v>
      </c>
      <c r="Z44">
        <v>5068</v>
      </c>
      <c r="AA44">
        <v>5146</v>
      </c>
      <c r="AB44">
        <v>5582</v>
      </c>
      <c r="AC44">
        <v>5804</v>
      </c>
      <c r="AD44">
        <v>6115</v>
      </c>
      <c r="AE44">
        <v>6258</v>
      </c>
    </row>
    <row r="45" spans="1:31" x14ac:dyDescent="0.3">
      <c r="A45" t="s">
        <v>272</v>
      </c>
      <c r="B45" t="s">
        <v>208</v>
      </c>
      <c r="C45" t="s">
        <v>0</v>
      </c>
      <c r="D45" t="s">
        <v>209</v>
      </c>
      <c r="E45" t="s">
        <v>123</v>
      </c>
      <c r="F45">
        <v>1321</v>
      </c>
      <c r="G45">
        <v>1333</v>
      </c>
      <c r="H45">
        <v>1426</v>
      </c>
      <c r="I45">
        <v>1639</v>
      </c>
      <c r="J45">
        <v>1872</v>
      </c>
      <c r="K45">
        <v>2154</v>
      </c>
      <c r="L45">
        <v>2452</v>
      </c>
      <c r="M45">
        <v>2531</v>
      </c>
      <c r="N45">
        <v>2851</v>
      </c>
      <c r="O45">
        <v>3102</v>
      </c>
      <c r="P45">
        <v>3408</v>
      </c>
      <c r="Q45">
        <v>3731</v>
      </c>
      <c r="R45">
        <v>4019</v>
      </c>
      <c r="S45">
        <v>4291</v>
      </c>
      <c r="T45">
        <v>4410</v>
      </c>
      <c r="U45">
        <v>4485</v>
      </c>
      <c r="V45">
        <v>4569</v>
      </c>
      <c r="W45">
        <v>4624</v>
      </c>
      <c r="X45">
        <v>4699</v>
      </c>
      <c r="Y45">
        <v>4966</v>
      </c>
      <c r="Z45">
        <v>5058</v>
      </c>
      <c r="AA45">
        <v>5136</v>
      </c>
      <c r="AB45">
        <v>5572</v>
      </c>
      <c r="AC45">
        <v>5794</v>
      </c>
      <c r="AD45">
        <v>6105</v>
      </c>
      <c r="AE45">
        <v>6248</v>
      </c>
    </row>
    <row r="46" spans="1:31" x14ac:dyDescent="0.3">
      <c r="A46" t="s">
        <v>272</v>
      </c>
      <c r="B46" t="s">
        <v>210</v>
      </c>
      <c r="C46" t="s">
        <v>0</v>
      </c>
      <c r="D46" t="s">
        <v>211</v>
      </c>
      <c r="E46" t="s">
        <v>123</v>
      </c>
      <c r="F46">
        <v>35</v>
      </c>
      <c r="G46">
        <v>31</v>
      </c>
      <c r="H46">
        <v>34</v>
      </c>
      <c r="I46">
        <v>40</v>
      </c>
      <c r="J46">
        <v>41</v>
      </c>
      <c r="K46">
        <v>45</v>
      </c>
      <c r="L46">
        <v>51</v>
      </c>
      <c r="M46">
        <v>50</v>
      </c>
      <c r="N46">
        <v>57</v>
      </c>
      <c r="O46">
        <v>58</v>
      </c>
      <c r="P46">
        <v>65</v>
      </c>
      <c r="Q46">
        <v>72</v>
      </c>
      <c r="R46">
        <v>75</v>
      </c>
      <c r="S46">
        <v>82</v>
      </c>
      <c r="T46">
        <v>89</v>
      </c>
      <c r="U46">
        <v>96</v>
      </c>
      <c r="V46">
        <v>102</v>
      </c>
      <c r="W46">
        <v>117</v>
      </c>
      <c r="X46">
        <v>124</v>
      </c>
      <c r="Y46">
        <v>138</v>
      </c>
      <c r="Z46">
        <v>138</v>
      </c>
      <c r="AA46">
        <v>160</v>
      </c>
      <c r="AB46">
        <v>179</v>
      </c>
      <c r="AC46">
        <v>190</v>
      </c>
      <c r="AD46">
        <v>215</v>
      </c>
      <c r="AE46">
        <v>219</v>
      </c>
    </row>
    <row r="47" spans="1:31" x14ac:dyDescent="0.3">
      <c r="A47" t="s">
        <v>272</v>
      </c>
      <c r="B47" t="s">
        <v>212</v>
      </c>
      <c r="C47" t="s">
        <v>0</v>
      </c>
      <c r="D47" t="s">
        <v>213</v>
      </c>
      <c r="E47" t="s">
        <v>123</v>
      </c>
      <c r="F47">
        <v>91</v>
      </c>
      <c r="G47">
        <v>97</v>
      </c>
      <c r="H47">
        <v>101</v>
      </c>
      <c r="I47">
        <v>111</v>
      </c>
      <c r="J47">
        <v>121</v>
      </c>
      <c r="K47">
        <v>139</v>
      </c>
      <c r="L47">
        <v>171</v>
      </c>
      <c r="M47">
        <v>189</v>
      </c>
      <c r="N47">
        <v>220</v>
      </c>
      <c r="O47">
        <v>253</v>
      </c>
      <c r="P47">
        <v>266</v>
      </c>
      <c r="Q47">
        <v>275</v>
      </c>
      <c r="R47">
        <v>276</v>
      </c>
      <c r="S47">
        <v>292</v>
      </c>
      <c r="T47">
        <v>294</v>
      </c>
      <c r="U47">
        <v>316</v>
      </c>
      <c r="V47">
        <v>336</v>
      </c>
      <c r="W47">
        <v>336</v>
      </c>
      <c r="X47">
        <v>333</v>
      </c>
      <c r="Y47">
        <v>333</v>
      </c>
      <c r="Z47">
        <v>359</v>
      </c>
      <c r="AA47">
        <v>384</v>
      </c>
      <c r="AB47">
        <v>391</v>
      </c>
      <c r="AC47">
        <v>418</v>
      </c>
      <c r="AD47">
        <v>432</v>
      </c>
      <c r="AE47">
        <v>415</v>
      </c>
    </row>
    <row r="48" spans="1:31" x14ac:dyDescent="0.3">
      <c r="A48" t="s">
        <v>272</v>
      </c>
      <c r="B48" t="s">
        <v>214</v>
      </c>
      <c r="C48" t="s">
        <v>0</v>
      </c>
      <c r="D48" t="s">
        <v>215</v>
      </c>
      <c r="E48" t="s">
        <v>123</v>
      </c>
      <c r="F48">
        <v>143</v>
      </c>
      <c r="G48">
        <v>151</v>
      </c>
      <c r="H48">
        <v>157</v>
      </c>
      <c r="I48">
        <v>179</v>
      </c>
      <c r="J48">
        <v>197</v>
      </c>
      <c r="K48">
        <v>224</v>
      </c>
      <c r="L48">
        <v>262</v>
      </c>
      <c r="M48">
        <v>292</v>
      </c>
      <c r="N48">
        <v>326</v>
      </c>
      <c r="O48">
        <v>363</v>
      </c>
      <c r="P48">
        <v>380</v>
      </c>
      <c r="Q48">
        <v>406</v>
      </c>
      <c r="R48">
        <v>412</v>
      </c>
      <c r="S48">
        <v>432</v>
      </c>
      <c r="T48">
        <v>429</v>
      </c>
      <c r="U48">
        <v>463</v>
      </c>
      <c r="V48">
        <v>487</v>
      </c>
      <c r="W48">
        <v>510</v>
      </c>
      <c r="X48">
        <v>530</v>
      </c>
      <c r="Y48">
        <v>559</v>
      </c>
      <c r="Z48">
        <v>578</v>
      </c>
      <c r="AA48">
        <v>632</v>
      </c>
      <c r="AB48">
        <v>675</v>
      </c>
      <c r="AC48">
        <v>731</v>
      </c>
      <c r="AD48">
        <v>779</v>
      </c>
      <c r="AE48">
        <v>807</v>
      </c>
    </row>
    <row r="49" spans="1:31" x14ac:dyDescent="0.3">
      <c r="A49" t="s">
        <v>272</v>
      </c>
      <c r="B49" t="s">
        <v>216</v>
      </c>
      <c r="C49" t="s">
        <v>0</v>
      </c>
      <c r="D49" t="s">
        <v>217</v>
      </c>
      <c r="E49" t="s">
        <v>123</v>
      </c>
      <c r="F49">
        <v>25</v>
      </c>
      <c r="G49">
        <v>26</v>
      </c>
      <c r="H49">
        <v>27</v>
      </c>
      <c r="I49">
        <v>33</v>
      </c>
      <c r="J49">
        <v>38</v>
      </c>
      <c r="K49">
        <v>41</v>
      </c>
      <c r="L49">
        <v>42</v>
      </c>
      <c r="M49">
        <v>50</v>
      </c>
      <c r="N49">
        <v>50</v>
      </c>
      <c r="O49">
        <v>49</v>
      </c>
      <c r="P49">
        <v>48</v>
      </c>
      <c r="Q49">
        <v>48</v>
      </c>
      <c r="R49">
        <v>44</v>
      </c>
      <c r="S49">
        <v>47</v>
      </c>
      <c r="T49">
        <v>44</v>
      </c>
      <c r="U49">
        <v>48</v>
      </c>
      <c r="V49">
        <v>51</v>
      </c>
      <c r="W49">
        <v>56</v>
      </c>
      <c r="X49">
        <v>58</v>
      </c>
      <c r="Y49">
        <v>71</v>
      </c>
      <c r="Z49">
        <v>76</v>
      </c>
      <c r="AA49">
        <v>92</v>
      </c>
      <c r="AB49">
        <v>106</v>
      </c>
      <c r="AC49">
        <v>114</v>
      </c>
      <c r="AD49">
        <v>121</v>
      </c>
      <c r="AE49">
        <v>140</v>
      </c>
    </row>
    <row r="50" spans="1:31" x14ac:dyDescent="0.3">
      <c r="A50" t="s">
        <v>272</v>
      </c>
      <c r="B50" t="s">
        <v>218</v>
      </c>
      <c r="C50" t="s">
        <v>0</v>
      </c>
      <c r="D50" t="s">
        <v>219</v>
      </c>
      <c r="E50" t="s">
        <v>123</v>
      </c>
      <c r="F50">
        <v>27</v>
      </c>
      <c r="G50">
        <v>28</v>
      </c>
      <c r="H50">
        <v>29</v>
      </c>
      <c r="I50">
        <v>35</v>
      </c>
      <c r="J50">
        <v>38</v>
      </c>
      <c r="K50">
        <v>44</v>
      </c>
      <c r="L50">
        <v>49</v>
      </c>
      <c r="M50">
        <v>53</v>
      </c>
      <c r="N50">
        <v>56</v>
      </c>
      <c r="O50">
        <v>61</v>
      </c>
      <c r="P50">
        <v>66</v>
      </c>
      <c r="Q50">
        <v>83</v>
      </c>
      <c r="R50">
        <v>92</v>
      </c>
      <c r="S50">
        <v>93</v>
      </c>
      <c r="T50">
        <v>91</v>
      </c>
      <c r="U50">
        <v>99</v>
      </c>
      <c r="V50">
        <v>100</v>
      </c>
      <c r="W50">
        <v>118</v>
      </c>
      <c r="X50">
        <v>139</v>
      </c>
      <c r="Y50">
        <v>155</v>
      </c>
      <c r="Z50">
        <v>143</v>
      </c>
      <c r="AA50">
        <v>156</v>
      </c>
      <c r="AB50">
        <v>178</v>
      </c>
      <c r="AC50">
        <v>199</v>
      </c>
      <c r="AD50">
        <v>226</v>
      </c>
      <c r="AE50">
        <v>252</v>
      </c>
    </row>
    <row r="51" spans="1:31" x14ac:dyDescent="0.3">
      <c r="A51" t="s">
        <v>272</v>
      </c>
      <c r="B51" t="s">
        <v>220</v>
      </c>
      <c r="C51" t="s">
        <v>0</v>
      </c>
      <c r="D51" t="s">
        <v>221</v>
      </c>
      <c r="E51" t="s">
        <v>123</v>
      </c>
      <c r="F51">
        <v>25</v>
      </c>
      <c r="G51">
        <v>26</v>
      </c>
      <c r="H51">
        <v>27</v>
      </c>
      <c r="I51">
        <v>32</v>
      </c>
      <c r="J51">
        <v>35</v>
      </c>
      <c r="K51">
        <v>40</v>
      </c>
      <c r="L51">
        <v>45</v>
      </c>
      <c r="M51">
        <v>49</v>
      </c>
      <c r="N51">
        <v>52</v>
      </c>
      <c r="O51">
        <v>56</v>
      </c>
      <c r="P51">
        <v>62</v>
      </c>
      <c r="Q51">
        <v>79</v>
      </c>
      <c r="R51">
        <v>89</v>
      </c>
      <c r="S51">
        <v>90</v>
      </c>
      <c r="T51">
        <v>88</v>
      </c>
      <c r="U51">
        <v>93</v>
      </c>
      <c r="V51">
        <v>94</v>
      </c>
      <c r="W51">
        <v>110</v>
      </c>
      <c r="X51">
        <v>129</v>
      </c>
      <c r="Y51">
        <v>145</v>
      </c>
      <c r="Z51">
        <v>130</v>
      </c>
      <c r="AA51">
        <v>142</v>
      </c>
      <c r="AB51">
        <v>159</v>
      </c>
      <c r="AC51">
        <v>179</v>
      </c>
      <c r="AD51">
        <v>201</v>
      </c>
      <c r="AE51">
        <v>221</v>
      </c>
    </row>
    <row r="52" spans="1:31" x14ac:dyDescent="0.3">
      <c r="A52" t="s">
        <v>272</v>
      </c>
      <c r="B52" t="s">
        <v>222</v>
      </c>
      <c r="C52" t="s">
        <v>0</v>
      </c>
      <c r="D52" t="s">
        <v>223</v>
      </c>
      <c r="E52" t="s">
        <v>123</v>
      </c>
      <c r="F52">
        <v>2</v>
      </c>
      <c r="G52">
        <v>2</v>
      </c>
      <c r="H52">
        <v>2</v>
      </c>
      <c r="I52">
        <v>3</v>
      </c>
      <c r="J52">
        <v>3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4</v>
      </c>
      <c r="R52">
        <v>3</v>
      </c>
      <c r="S52">
        <v>3</v>
      </c>
      <c r="T52">
        <v>3</v>
      </c>
      <c r="U52">
        <v>6</v>
      </c>
      <c r="V52">
        <v>6</v>
      </c>
      <c r="W52">
        <v>8</v>
      </c>
      <c r="X52">
        <v>10</v>
      </c>
      <c r="Y52">
        <v>10</v>
      </c>
      <c r="Z52">
        <v>13</v>
      </c>
      <c r="AA52">
        <v>14</v>
      </c>
      <c r="AB52">
        <v>19</v>
      </c>
      <c r="AC52">
        <v>20</v>
      </c>
      <c r="AD52">
        <v>25</v>
      </c>
      <c r="AE52">
        <v>31</v>
      </c>
    </row>
    <row r="53" spans="1:31" x14ac:dyDescent="0.3">
      <c r="A53" t="s">
        <v>272</v>
      </c>
      <c r="B53" t="s">
        <v>224</v>
      </c>
      <c r="C53" t="s">
        <v>0</v>
      </c>
      <c r="D53" t="s">
        <v>225</v>
      </c>
      <c r="E53" t="s">
        <v>123</v>
      </c>
      <c r="F53">
        <v>16</v>
      </c>
      <c r="G53">
        <v>16</v>
      </c>
      <c r="H53">
        <v>18</v>
      </c>
      <c r="I53">
        <v>20</v>
      </c>
      <c r="J53">
        <v>22</v>
      </c>
      <c r="K53">
        <v>26</v>
      </c>
      <c r="L53">
        <v>27</v>
      </c>
      <c r="M53">
        <v>28</v>
      </c>
      <c r="N53">
        <v>27</v>
      </c>
      <c r="O53">
        <v>30</v>
      </c>
      <c r="P53">
        <v>37</v>
      </c>
      <c r="Q53">
        <v>53</v>
      </c>
      <c r="R53">
        <v>55</v>
      </c>
      <c r="S53">
        <v>74</v>
      </c>
      <c r="T53">
        <v>66</v>
      </c>
      <c r="U53">
        <v>78</v>
      </c>
      <c r="V53">
        <v>70</v>
      </c>
      <c r="W53">
        <v>59</v>
      </c>
      <c r="X53">
        <v>59</v>
      </c>
      <c r="Y53">
        <v>57</v>
      </c>
      <c r="Z53">
        <v>44</v>
      </c>
      <c r="AA53">
        <v>40</v>
      </c>
      <c r="AB53">
        <v>53</v>
      </c>
      <c r="AC53">
        <v>49</v>
      </c>
      <c r="AD53">
        <v>56</v>
      </c>
      <c r="AE53">
        <v>55</v>
      </c>
    </row>
    <row r="54" spans="1:31" x14ac:dyDescent="0.3">
      <c r="A54" t="s">
        <v>272</v>
      </c>
      <c r="B54" t="s">
        <v>226</v>
      </c>
      <c r="C54" t="s">
        <v>0</v>
      </c>
      <c r="D54" t="s">
        <v>227</v>
      </c>
      <c r="E54" t="s">
        <v>123</v>
      </c>
      <c r="F54">
        <v>28</v>
      </c>
      <c r="G54">
        <v>28</v>
      </c>
      <c r="H54">
        <v>32</v>
      </c>
      <c r="I54">
        <v>37</v>
      </c>
      <c r="J54">
        <v>41</v>
      </c>
      <c r="K54">
        <v>48</v>
      </c>
      <c r="L54">
        <v>51</v>
      </c>
      <c r="M54">
        <v>58</v>
      </c>
      <c r="N54">
        <v>54</v>
      </c>
      <c r="O54">
        <v>54</v>
      </c>
      <c r="P54">
        <v>62</v>
      </c>
      <c r="Q54">
        <v>73</v>
      </c>
      <c r="R54">
        <v>78</v>
      </c>
      <c r="S54">
        <v>100</v>
      </c>
      <c r="T54">
        <v>98</v>
      </c>
      <c r="U54">
        <v>113</v>
      </c>
      <c r="V54">
        <v>104</v>
      </c>
      <c r="W54">
        <v>96</v>
      </c>
      <c r="X54">
        <v>98</v>
      </c>
      <c r="Y54">
        <v>98</v>
      </c>
      <c r="Z54">
        <v>85</v>
      </c>
      <c r="AA54">
        <v>82</v>
      </c>
      <c r="AB54">
        <v>96</v>
      </c>
      <c r="AC54">
        <v>99</v>
      </c>
      <c r="AD54">
        <v>113</v>
      </c>
      <c r="AE54">
        <v>106</v>
      </c>
    </row>
    <row r="55" spans="1:31" x14ac:dyDescent="0.3">
      <c r="A55" t="s">
        <v>272</v>
      </c>
      <c r="B55" t="s">
        <v>228</v>
      </c>
      <c r="C55" t="s">
        <v>0</v>
      </c>
      <c r="D55" t="s">
        <v>229</v>
      </c>
      <c r="E55" t="s">
        <v>123</v>
      </c>
      <c r="F55">
        <v>12</v>
      </c>
      <c r="G55">
        <v>12</v>
      </c>
      <c r="H55">
        <v>14</v>
      </c>
      <c r="I55">
        <v>17</v>
      </c>
      <c r="J55">
        <v>19</v>
      </c>
      <c r="K55">
        <v>22</v>
      </c>
      <c r="L55">
        <v>24</v>
      </c>
      <c r="M55">
        <v>30</v>
      </c>
      <c r="N55">
        <v>27</v>
      </c>
      <c r="O55">
        <v>24</v>
      </c>
      <c r="P55">
        <v>25</v>
      </c>
      <c r="Q55">
        <v>20</v>
      </c>
      <c r="R55">
        <v>23</v>
      </c>
      <c r="S55">
        <v>26</v>
      </c>
      <c r="T55">
        <v>32</v>
      </c>
      <c r="U55">
        <v>35</v>
      </c>
      <c r="V55">
        <v>34</v>
      </c>
      <c r="W55">
        <v>37</v>
      </c>
      <c r="X55">
        <v>39</v>
      </c>
      <c r="Y55">
        <v>41</v>
      </c>
      <c r="Z55">
        <v>41</v>
      </c>
      <c r="AA55">
        <v>42</v>
      </c>
      <c r="AB55">
        <v>43</v>
      </c>
      <c r="AC55">
        <v>50</v>
      </c>
      <c r="AD55">
        <v>57</v>
      </c>
      <c r="AE55">
        <v>51</v>
      </c>
    </row>
    <row r="56" spans="1:31" x14ac:dyDescent="0.3">
      <c r="A56" t="s">
        <v>272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272</v>
      </c>
      <c r="B57" t="s">
        <v>232</v>
      </c>
      <c r="C57" t="s">
        <v>0</v>
      </c>
      <c r="D57" t="s">
        <v>233</v>
      </c>
      <c r="E57" t="s">
        <v>123</v>
      </c>
      <c r="F57">
        <v>1473</v>
      </c>
      <c r="G57">
        <v>1493</v>
      </c>
      <c r="H57">
        <v>1592</v>
      </c>
      <c r="I57">
        <v>1827</v>
      </c>
      <c r="J57">
        <v>2078</v>
      </c>
      <c r="K57">
        <v>2388</v>
      </c>
      <c r="L57">
        <v>2724</v>
      </c>
      <c r="M57">
        <v>2834</v>
      </c>
      <c r="N57">
        <v>3188</v>
      </c>
      <c r="O57">
        <v>3475</v>
      </c>
      <c r="P57">
        <v>3800</v>
      </c>
      <c r="Q57">
        <v>4154</v>
      </c>
      <c r="R57">
        <v>4448</v>
      </c>
      <c r="S57">
        <v>4746</v>
      </c>
      <c r="T57">
        <v>4870</v>
      </c>
      <c r="U57">
        <v>4993</v>
      </c>
      <c r="V57">
        <v>5101</v>
      </c>
      <c r="W57">
        <v>5181</v>
      </c>
      <c r="X57">
        <v>5281</v>
      </c>
      <c r="Y57">
        <v>5586</v>
      </c>
      <c r="Z57">
        <v>5699</v>
      </c>
      <c r="AA57">
        <v>5831</v>
      </c>
      <c r="AB57">
        <v>6312</v>
      </c>
      <c r="AC57">
        <v>6596</v>
      </c>
      <c r="AD57">
        <v>6951</v>
      </c>
      <c r="AE57">
        <v>7125</v>
      </c>
    </row>
    <row r="58" spans="1:31" x14ac:dyDescent="0.3">
      <c r="A58" t="s">
        <v>272</v>
      </c>
      <c r="B58" t="s">
        <v>234</v>
      </c>
      <c r="C58" t="s">
        <v>0</v>
      </c>
      <c r="D58" t="s">
        <v>235</v>
      </c>
      <c r="E58" t="s">
        <v>123</v>
      </c>
      <c r="F58">
        <v>1473</v>
      </c>
      <c r="G58">
        <v>1493</v>
      </c>
      <c r="H58">
        <v>1592</v>
      </c>
      <c r="I58">
        <v>1827</v>
      </c>
      <c r="J58">
        <v>2078</v>
      </c>
      <c r="K58">
        <v>2388</v>
      </c>
      <c r="L58">
        <v>2724</v>
      </c>
      <c r="M58">
        <v>2834</v>
      </c>
      <c r="N58">
        <v>3188</v>
      </c>
      <c r="O58">
        <v>3475</v>
      </c>
      <c r="P58">
        <v>3800</v>
      </c>
      <c r="Q58">
        <v>4154</v>
      </c>
      <c r="R58">
        <v>4448</v>
      </c>
      <c r="S58">
        <v>4746</v>
      </c>
      <c r="T58">
        <v>4870</v>
      </c>
      <c r="U58">
        <v>4993</v>
      </c>
      <c r="V58">
        <v>5101</v>
      </c>
      <c r="W58">
        <v>5181</v>
      </c>
      <c r="X58">
        <v>5281</v>
      </c>
      <c r="Y58">
        <v>5586</v>
      </c>
      <c r="Z58">
        <v>5699</v>
      </c>
      <c r="AA58">
        <v>5831</v>
      </c>
      <c r="AB58">
        <v>6312</v>
      </c>
      <c r="AC58">
        <v>6596</v>
      </c>
      <c r="AD58">
        <v>6951</v>
      </c>
      <c r="AE58">
        <v>7125</v>
      </c>
    </row>
    <row r="59" spans="1:31" x14ac:dyDescent="0.3">
      <c r="A59" t="s">
        <v>272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273</v>
      </c>
      <c r="B2" t="s">
        <v>121</v>
      </c>
      <c r="C2" t="s">
        <v>0</v>
      </c>
      <c r="D2" t="s">
        <v>122</v>
      </c>
      <c r="E2" t="s">
        <v>123</v>
      </c>
      <c r="F2">
        <v>1731</v>
      </c>
      <c r="G2">
        <v>1667</v>
      </c>
      <c r="H2">
        <v>1652</v>
      </c>
      <c r="I2">
        <v>1645</v>
      </c>
      <c r="J2">
        <v>1713</v>
      </c>
      <c r="K2">
        <v>1793</v>
      </c>
      <c r="L2">
        <v>1856</v>
      </c>
      <c r="M2">
        <v>1940</v>
      </c>
      <c r="N2">
        <v>2007</v>
      </c>
      <c r="O2">
        <v>2067</v>
      </c>
      <c r="P2">
        <v>2101</v>
      </c>
      <c r="Q2">
        <v>2218</v>
      </c>
      <c r="R2">
        <v>2198</v>
      </c>
      <c r="S2">
        <v>2194</v>
      </c>
      <c r="T2">
        <v>2219</v>
      </c>
      <c r="U2">
        <v>2220</v>
      </c>
      <c r="V2">
        <v>2245</v>
      </c>
      <c r="W2">
        <v>2342</v>
      </c>
      <c r="X2">
        <v>2341</v>
      </c>
      <c r="Y2">
        <v>2330</v>
      </c>
      <c r="Z2">
        <v>2370</v>
      </c>
      <c r="AA2">
        <v>2306</v>
      </c>
      <c r="AB2">
        <v>2233</v>
      </c>
      <c r="AC2">
        <v>2200</v>
      </c>
      <c r="AD2">
        <v>2149</v>
      </c>
      <c r="AE2">
        <v>2154</v>
      </c>
    </row>
    <row r="3" spans="1:31" x14ac:dyDescent="0.3">
      <c r="A3" t="s">
        <v>273</v>
      </c>
      <c r="B3" t="s">
        <v>124</v>
      </c>
      <c r="C3" t="s">
        <v>0</v>
      </c>
      <c r="D3" t="s">
        <v>125</v>
      </c>
      <c r="E3" t="s">
        <v>123</v>
      </c>
      <c r="F3">
        <v>10</v>
      </c>
      <c r="G3">
        <v>12</v>
      </c>
      <c r="H3">
        <v>11</v>
      </c>
      <c r="I3">
        <v>12</v>
      </c>
      <c r="J3">
        <v>15</v>
      </c>
      <c r="K3">
        <v>15</v>
      </c>
      <c r="L3">
        <v>15</v>
      </c>
      <c r="M3">
        <v>16</v>
      </c>
      <c r="N3">
        <v>17</v>
      </c>
      <c r="O3">
        <v>19</v>
      </c>
      <c r="P3">
        <v>21</v>
      </c>
      <c r="Q3">
        <v>21</v>
      </c>
      <c r="R3">
        <v>23</v>
      </c>
      <c r="S3">
        <v>28</v>
      </c>
      <c r="T3">
        <v>27</v>
      </c>
      <c r="U3">
        <v>26</v>
      </c>
      <c r="V3">
        <v>29</v>
      </c>
      <c r="W3">
        <v>54</v>
      </c>
      <c r="X3">
        <v>68</v>
      </c>
      <c r="Y3">
        <v>72</v>
      </c>
      <c r="Z3">
        <v>72</v>
      </c>
      <c r="AA3">
        <v>66</v>
      </c>
      <c r="AB3">
        <v>61</v>
      </c>
      <c r="AC3">
        <v>59</v>
      </c>
      <c r="AD3">
        <v>48</v>
      </c>
      <c r="AE3">
        <v>46</v>
      </c>
    </row>
    <row r="4" spans="1:31" x14ac:dyDescent="0.3">
      <c r="A4" t="s">
        <v>273</v>
      </c>
      <c r="B4" t="s">
        <v>126</v>
      </c>
      <c r="C4" t="s">
        <v>0</v>
      </c>
      <c r="D4" t="s">
        <v>127</v>
      </c>
      <c r="E4" t="s">
        <v>123</v>
      </c>
      <c r="F4">
        <v>379</v>
      </c>
      <c r="G4">
        <v>369</v>
      </c>
      <c r="H4">
        <v>376</v>
      </c>
      <c r="I4">
        <v>389</v>
      </c>
      <c r="J4">
        <v>400</v>
      </c>
      <c r="K4">
        <v>445</v>
      </c>
      <c r="L4">
        <v>467</v>
      </c>
      <c r="M4">
        <v>462</v>
      </c>
      <c r="N4">
        <v>457</v>
      </c>
      <c r="O4">
        <v>458</v>
      </c>
      <c r="P4">
        <v>467</v>
      </c>
      <c r="Q4">
        <v>539</v>
      </c>
      <c r="R4">
        <v>577</v>
      </c>
      <c r="S4">
        <v>660</v>
      </c>
      <c r="T4">
        <v>659</v>
      </c>
      <c r="U4">
        <v>618</v>
      </c>
      <c r="V4">
        <v>590</v>
      </c>
      <c r="W4">
        <v>586</v>
      </c>
      <c r="X4">
        <v>539</v>
      </c>
      <c r="Y4">
        <v>512</v>
      </c>
      <c r="Z4">
        <v>523</v>
      </c>
      <c r="AA4">
        <v>510</v>
      </c>
      <c r="AB4">
        <v>522</v>
      </c>
      <c r="AC4">
        <v>525</v>
      </c>
      <c r="AD4">
        <v>501</v>
      </c>
      <c r="AE4">
        <v>496</v>
      </c>
    </row>
    <row r="5" spans="1:31" x14ac:dyDescent="0.3">
      <c r="A5" t="s">
        <v>273</v>
      </c>
      <c r="B5" t="s">
        <v>128</v>
      </c>
      <c r="C5" t="s">
        <v>0</v>
      </c>
      <c r="D5" t="s">
        <v>129</v>
      </c>
      <c r="E5" t="s">
        <v>123</v>
      </c>
      <c r="F5">
        <v>48</v>
      </c>
      <c r="G5">
        <v>44</v>
      </c>
      <c r="H5">
        <v>45</v>
      </c>
      <c r="I5">
        <v>41</v>
      </c>
      <c r="J5">
        <v>40</v>
      </c>
      <c r="K5">
        <v>42</v>
      </c>
      <c r="L5">
        <v>44</v>
      </c>
      <c r="M5">
        <v>42</v>
      </c>
      <c r="N5">
        <v>39</v>
      </c>
      <c r="O5">
        <v>38</v>
      </c>
      <c r="P5">
        <v>38</v>
      </c>
      <c r="Q5">
        <v>42</v>
      </c>
      <c r="R5">
        <v>43</v>
      </c>
      <c r="S5">
        <v>45</v>
      </c>
      <c r="T5">
        <v>44</v>
      </c>
      <c r="U5">
        <v>43</v>
      </c>
      <c r="V5">
        <v>40</v>
      </c>
      <c r="W5">
        <v>42</v>
      </c>
      <c r="X5">
        <v>41</v>
      </c>
      <c r="Y5">
        <v>43</v>
      </c>
      <c r="Z5">
        <v>43</v>
      </c>
      <c r="AA5">
        <v>43</v>
      </c>
      <c r="AB5">
        <v>54</v>
      </c>
      <c r="AC5">
        <v>52</v>
      </c>
      <c r="AD5">
        <v>48</v>
      </c>
      <c r="AE5">
        <v>47</v>
      </c>
    </row>
    <row r="6" spans="1:31" x14ac:dyDescent="0.3">
      <c r="A6" t="s">
        <v>273</v>
      </c>
      <c r="B6" t="s">
        <v>130</v>
      </c>
      <c r="C6" t="s">
        <v>0</v>
      </c>
      <c r="D6" t="s">
        <v>131</v>
      </c>
      <c r="E6" t="s">
        <v>123</v>
      </c>
      <c r="F6">
        <v>11</v>
      </c>
      <c r="G6">
        <v>10</v>
      </c>
      <c r="H6">
        <v>12</v>
      </c>
      <c r="I6">
        <v>11</v>
      </c>
      <c r="J6">
        <v>12</v>
      </c>
      <c r="K6">
        <v>13</v>
      </c>
      <c r="L6">
        <v>14</v>
      </c>
      <c r="M6">
        <v>13</v>
      </c>
      <c r="N6">
        <v>12</v>
      </c>
      <c r="O6">
        <v>11</v>
      </c>
      <c r="P6">
        <v>11</v>
      </c>
      <c r="Q6">
        <v>11</v>
      </c>
      <c r="R6">
        <v>11</v>
      </c>
      <c r="S6">
        <v>11</v>
      </c>
      <c r="T6">
        <v>10</v>
      </c>
      <c r="U6">
        <v>7</v>
      </c>
      <c r="V6">
        <v>5</v>
      </c>
      <c r="W6">
        <v>3</v>
      </c>
      <c r="X6">
        <v>3</v>
      </c>
      <c r="Y6">
        <v>3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273</v>
      </c>
      <c r="B7" t="s">
        <v>132</v>
      </c>
      <c r="C7" t="s">
        <v>0</v>
      </c>
      <c r="D7" t="s">
        <v>133</v>
      </c>
      <c r="E7" t="s">
        <v>123</v>
      </c>
      <c r="F7">
        <v>92</v>
      </c>
      <c r="G7">
        <v>92</v>
      </c>
      <c r="H7">
        <v>96</v>
      </c>
      <c r="I7">
        <v>100</v>
      </c>
      <c r="J7">
        <v>105</v>
      </c>
      <c r="K7">
        <v>116</v>
      </c>
      <c r="L7">
        <v>121</v>
      </c>
      <c r="M7">
        <v>121</v>
      </c>
      <c r="N7">
        <v>118</v>
      </c>
      <c r="O7">
        <v>118</v>
      </c>
      <c r="P7">
        <v>117</v>
      </c>
      <c r="Q7">
        <v>131</v>
      </c>
      <c r="R7">
        <v>136</v>
      </c>
      <c r="S7">
        <v>143</v>
      </c>
      <c r="T7">
        <v>131</v>
      </c>
      <c r="U7">
        <v>119</v>
      </c>
      <c r="V7">
        <v>115</v>
      </c>
      <c r="W7">
        <v>109</v>
      </c>
      <c r="X7">
        <v>101</v>
      </c>
      <c r="Y7">
        <v>91</v>
      </c>
      <c r="Z7">
        <v>89</v>
      </c>
      <c r="AA7">
        <v>92</v>
      </c>
      <c r="AB7">
        <v>110</v>
      </c>
      <c r="AC7">
        <v>106</v>
      </c>
      <c r="AD7">
        <v>102</v>
      </c>
      <c r="AE7">
        <v>97</v>
      </c>
    </row>
    <row r="8" spans="1:31" x14ac:dyDescent="0.3">
      <c r="A8" t="s">
        <v>273</v>
      </c>
      <c r="B8" t="s">
        <v>134</v>
      </c>
      <c r="C8" t="s">
        <v>0</v>
      </c>
      <c r="D8" t="s">
        <v>135</v>
      </c>
      <c r="E8" t="s">
        <v>123</v>
      </c>
      <c r="F8">
        <v>6</v>
      </c>
      <c r="G8">
        <v>7</v>
      </c>
      <c r="H8">
        <v>8</v>
      </c>
      <c r="I8">
        <v>9</v>
      </c>
      <c r="J8">
        <v>9</v>
      </c>
      <c r="K8">
        <v>9</v>
      </c>
      <c r="L8">
        <v>10</v>
      </c>
      <c r="M8">
        <v>10</v>
      </c>
      <c r="N8">
        <v>9</v>
      </c>
      <c r="O8">
        <v>8</v>
      </c>
      <c r="P8">
        <v>8</v>
      </c>
      <c r="Q8">
        <v>9</v>
      </c>
      <c r="R8">
        <v>9</v>
      </c>
      <c r="S8">
        <v>9</v>
      </c>
      <c r="T8">
        <v>10</v>
      </c>
      <c r="U8">
        <v>13</v>
      </c>
      <c r="V8">
        <v>12</v>
      </c>
      <c r="W8">
        <v>13</v>
      </c>
      <c r="X8">
        <v>12</v>
      </c>
      <c r="Y8">
        <v>12</v>
      </c>
      <c r="Z8">
        <v>18</v>
      </c>
      <c r="AA8">
        <v>13</v>
      </c>
      <c r="AB8">
        <v>0</v>
      </c>
      <c r="AC8">
        <v>0</v>
      </c>
      <c r="AD8">
        <v>0</v>
      </c>
      <c r="AE8">
        <v>1</v>
      </c>
    </row>
    <row r="9" spans="1:31" x14ac:dyDescent="0.3">
      <c r="A9" t="s">
        <v>273</v>
      </c>
      <c r="B9" t="s">
        <v>136</v>
      </c>
      <c r="C9" t="s">
        <v>0</v>
      </c>
      <c r="D9" t="s">
        <v>137</v>
      </c>
      <c r="E9" t="s">
        <v>123</v>
      </c>
      <c r="F9">
        <v>27</v>
      </c>
      <c r="G9">
        <v>27</v>
      </c>
      <c r="H9">
        <v>29</v>
      </c>
      <c r="I9">
        <v>29</v>
      </c>
      <c r="J9">
        <v>29</v>
      </c>
      <c r="K9">
        <v>31</v>
      </c>
      <c r="L9">
        <v>32</v>
      </c>
      <c r="M9">
        <v>32</v>
      </c>
      <c r="N9">
        <v>29</v>
      </c>
      <c r="O9">
        <v>29</v>
      </c>
      <c r="P9">
        <v>29</v>
      </c>
      <c r="Q9">
        <v>28</v>
      </c>
      <c r="R9">
        <v>30</v>
      </c>
      <c r="S9">
        <v>30</v>
      </c>
      <c r="T9">
        <v>28</v>
      </c>
      <c r="U9">
        <v>25</v>
      </c>
      <c r="V9">
        <v>23</v>
      </c>
      <c r="W9">
        <v>23</v>
      </c>
      <c r="X9">
        <v>25</v>
      </c>
      <c r="Y9">
        <v>24</v>
      </c>
      <c r="Z9">
        <v>28</v>
      </c>
      <c r="AA9">
        <v>35</v>
      </c>
      <c r="AB9">
        <v>43</v>
      </c>
      <c r="AC9">
        <v>48</v>
      </c>
      <c r="AD9">
        <v>48</v>
      </c>
      <c r="AE9">
        <v>50</v>
      </c>
    </row>
    <row r="10" spans="1:31" x14ac:dyDescent="0.3">
      <c r="A10" t="s">
        <v>273</v>
      </c>
      <c r="B10" t="s">
        <v>138</v>
      </c>
      <c r="C10" t="s">
        <v>0</v>
      </c>
      <c r="D10" t="s">
        <v>139</v>
      </c>
      <c r="E10" t="s">
        <v>123</v>
      </c>
      <c r="F10">
        <v>32</v>
      </c>
      <c r="G10">
        <v>32</v>
      </c>
      <c r="H10">
        <v>33</v>
      </c>
      <c r="I10">
        <v>34</v>
      </c>
      <c r="J10">
        <v>34</v>
      </c>
      <c r="K10">
        <v>36</v>
      </c>
      <c r="L10">
        <v>36</v>
      </c>
      <c r="M10">
        <v>37</v>
      </c>
      <c r="N10">
        <v>34</v>
      </c>
      <c r="O10">
        <v>33</v>
      </c>
      <c r="P10">
        <v>33</v>
      </c>
      <c r="Q10">
        <v>32</v>
      </c>
      <c r="R10">
        <v>33</v>
      </c>
      <c r="S10">
        <v>35</v>
      </c>
      <c r="T10">
        <v>32</v>
      </c>
      <c r="U10">
        <v>28</v>
      </c>
      <c r="V10">
        <v>26</v>
      </c>
      <c r="W10">
        <v>25</v>
      </c>
      <c r="X10">
        <v>27</v>
      </c>
      <c r="Y10">
        <v>25</v>
      </c>
      <c r="Z10">
        <v>29</v>
      </c>
      <c r="AA10">
        <v>36</v>
      </c>
      <c r="AB10">
        <v>44</v>
      </c>
      <c r="AC10">
        <v>49</v>
      </c>
      <c r="AD10">
        <v>48</v>
      </c>
      <c r="AE10">
        <v>50</v>
      </c>
    </row>
    <row r="11" spans="1:31" x14ac:dyDescent="0.3">
      <c r="A11" t="s">
        <v>273</v>
      </c>
      <c r="B11" t="s">
        <v>140</v>
      </c>
      <c r="C11" t="s">
        <v>0</v>
      </c>
      <c r="D11" t="s">
        <v>141</v>
      </c>
      <c r="E11" t="s">
        <v>123</v>
      </c>
      <c r="F11">
        <v>5</v>
      </c>
      <c r="G11">
        <v>5</v>
      </c>
      <c r="H11">
        <v>4</v>
      </c>
      <c r="I11">
        <v>5</v>
      </c>
      <c r="J11">
        <v>5</v>
      </c>
      <c r="K11">
        <v>5</v>
      </c>
      <c r="L11">
        <v>4</v>
      </c>
      <c r="M11">
        <v>5</v>
      </c>
      <c r="N11">
        <v>5</v>
      </c>
      <c r="O11">
        <v>4</v>
      </c>
      <c r="P11">
        <v>4</v>
      </c>
      <c r="Q11">
        <v>4</v>
      </c>
      <c r="R11">
        <v>3</v>
      </c>
      <c r="S11">
        <v>5</v>
      </c>
      <c r="T11">
        <v>4</v>
      </c>
      <c r="U11">
        <v>3</v>
      </c>
      <c r="V11">
        <v>3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</row>
    <row r="12" spans="1:31" x14ac:dyDescent="0.3">
      <c r="A12" t="s">
        <v>273</v>
      </c>
      <c r="B12" t="s">
        <v>142</v>
      </c>
      <c r="C12" t="s">
        <v>0</v>
      </c>
      <c r="D12" t="s">
        <v>143</v>
      </c>
      <c r="E12" t="s">
        <v>123</v>
      </c>
      <c r="F12">
        <v>43</v>
      </c>
      <c r="G12">
        <v>42</v>
      </c>
      <c r="H12">
        <v>40</v>
      </c>
      <c r="I12">
        <v>43</v>
      </c>
      <c r="J12">
        <v>41</v>
      </c>
      <c r="K12">
        <v>47</v>
      </c>
      <c r="L12">
        <v>48</v>
      </c>
      <c r="M12">
        <v>46</v>
      </c>
      <c r="N12">
        <v>44</v>
      </c>
      <c r="O12">
        <v>43</v>
      </c>
      <c r="P12">
        <v>42</v>
      </c>
      <c r="Q12">
        <v>49</v>
      </c>
      <c r="R12">
        <v>48</v>
      </c>
      <c r="S12">
        <v>52</v>
      </c>
      <c r="T12">
        <v>51</v>
      </c>
      <c r="U12">
        <v>47</v>
      </c>
      <c r="V12">
        <v>44</v>
      </c>
      <c r="W12">
        <v>43</v>
      </c>
      <c r="X12">
        <v>39</v>
      </c>
      <c r="Y12">
        <v>37</v>
      </c>
      <c r="Z12">
        <v>37</v>
      </c>
      <c r="AA12">
        <v>34</v>
      </c>
      <c r="AB12">
        <v>30</v>
      </c>
      <c r="AC12">
        <v>28</v>
      </c>
      <c r="AD12">
        <v>24</v>
      </c>
      <c r="AE12">
        <v>22</v>
      </c>
    </row>
    <row r="13" spans="1:31" x14ac:dyDescent="0.3">
      <c r="A13" t="s">
        <v>273</v>
      </c>
      <c r="B13" t="s">
        <v>144</v>
      </c>
      <c r="C13" t="s">
        <v>0</v>
      </c>
      <c r="D13" t="s">
        <v>145</v>
      </c>
      <c r="E13" t="s">
        <v>123</v>
      </c>
      <c r="F13">
        <v>44</v>
      </c>
      <c r="G13">
        <v>40</v>
      </c>
      <c r="H13">
        <v>37</v>
      </c>
      <c r="I13">
        <v>41</v>
      </c>
      <c r="J13">
        <v>41</v>
      </c>
      <c r="K13">
        <v>47</v>
      </c>
      <c r="L13">
        <v>49</v>
      </c>
      <c r="M13">
        <v>49</v>
      </c>
      <c r="N13">
        <v>50</v>
      </c>
      <c r="O13">
        <v>50</v>
      </c>
      <c r="P13">
        <v>49</v>
      </c>
      <c r="Q13">
        <v>64</v>
      </c>
      <c r="R13">
        <v>81</v>
      </c>
      <c r="S13">
        <v>100</v>
      </c>
      <c r="T13">
        <v>114</v>
      </c>
      <c r="U13">
        <v>111</v>
      </c>
      <c r="V13">
        <v>107</v>
      </c>
      <c r="W13">
        <v>118</v>
      </c>
      <c r="X13">
        <v>106</v>
      </c>
      <c r="Y13">
        <v>99</v>
      </c>
      <c r="Z13">
        <v>97</v>
      </c>
      <c r="AA13">
        <v>92</v>
      </c>
      <c r="AB13">
        <v>88</v>
      </c>
      <c r="AC13">
        <v>91</v>
      </c>
      <c r="AD13">
        <v>93</v>
      </c>
      <c r="AE13">
        <v>91</v>
      </c>
    </row>
    <row r="14" spans="1:31" x14ac:dyDescent="0.3">
      <c r="A14" t="s">
        <v>273</v>
      </c>
      <c r="B14" t="s">
        <v>146</v>
      </c>
      <c r="C14" t="s">
        <v>0</v>
      </c>
      <c r="D14" t="s">
        <v>147</v>
      </c>
      <c r="E14" t="s">
        <v>123</v>
      </c>
      <c r="F14">
        <v>9</v>
      </c>
      <c r="G14">
        <v>12</v>
      </c>
      <c r="H14">
        <v>16</v>
      </c>
      <c r="I14">
        <v>21</v>
      </c>
      <c r="J14">
        <v>26</v>
      </c>
      <c r="K14">
        <v>33</v>
      </c>
      <c r="L14">
        <v>41</v>
      </c>
      <c r="M14">
        <v>43</v>
      </c>
      <c r="N14">
        <v>49</v>
      </c>
      <c r="O14">
        <v>55</v>
      </c>
      <c r="P14">
        <v>61</v>
      </c>
      <c r="Q14">
        <v>73</v>
      </c>
      <c r="R14">
        <v>77</v>
      </c>
      <c r="S14">
        <v>106</v>
      </c>
      <c r="T14">
        <v>97</v>
      </c>
      <c r="U14">
        <v>94</v>
      </c>
      <c r="V14">
        <v>91</v>
      </c>
      <c r="W14">
        <v>87</v>
      </c>
      <c r="X14">
        <v>79</v>
      </c>
      <c r="Y14">
        <v>76</v>
      </c>
      <c r="Z14">
        <v>78</v>
      </c>
      <c r="AA14">
        <v>75</v>
      </c>
      <c r="AB14">
        <v>74</v>
      </c>
      <c r="AC14">
        <v>73</v>
      </c>
      <c r="AD14">
        <v>70</v>
      </c>
      <c r="AE14">
        <v>75</v>
      </c>
    </row>
    <row r="15" spans="1:31" x14ac:dyDescent="0.3">
      <c r="A15" t="s">
        <v>273</v>
      </c>
      <c r="B15" t="s">
        <v>148</v>
      </c>
      <c r="C15" t="s">
        <v>0</v>
      </c>
      <c r="D15" t="s">
        <v>149</v>
      </c>
      <c r="E15" t="s">
        <v>123</v>
      </c>
      <c r="F15">
        <v>19</v>
      </c>
      <c r="G15">
        <v>21</v>
      </c>
      <c r="H15">
        <v>26</v>
      </c>
      <c r="I15">
        <v>31</v>
      </c>
      <c r="J15">
        <v>37</v>
      </c>
      <c r="K15">
        <v>46</v>
      </c>
      <c r="L15">
        <v>54</v>
      </c>
      <c r="M15">
        <v>55</v>
      </c>
      <c r="N15">
        <v>63</v>
      </c>
      <c r="O15">
        <v>70</v>
      </c>
      <c r="P15">
        <v>76</v>
      </c>
      <c r="Q15">
        <v>89</v>
      </c>
      <c r="R15">
        <v>94</v>
      </c>
      <c r="S15">
        <v>125</v>
      </c>
      <c r="T15">
        <v>116</v>
      </c>
      <c r="U15">
        <v>112</v>
      </c>
      <c r="V15">
        <v>107</v>
      </c>
      <c r="W15">
        <v>102</v>
      </c>
      <c r="X15">
        <v>94</v>
      </c>
      <c r="Y15">
        <v>88</v>
      </c>
      <c r="Z15">
        <v>89</v>
      </c>
      <c r="AA15">
        <v>84</v>
      </c>
      <c r="AB15">
        <v>83</v>
      </c>
      <c r="AC15">
        <v>82</v>
      </c>
      <c r="AD15">
        <v>77</v>
      </c>
      <c r="AE15">
        <v>82</v>
      </c>
    </row>
    <row r="16" spans="1:31" x14ac:dyDescent="0.3">
      <c r="A16" t="s">
        <v>273</v>
      </c>
      <c r="B16" t="s">
        <v>150</v>
      </c>
      <c r="C16" t="s">
        <v>0</v>
      </c>
      <c r="D16" t="s">
        <v>151</v>
      </c>
      <c r="E16" t="s">
        <v>123</v>
      </c>
      <c r="F16">
        <v>10</v>
      </c>
      <c r="G16">
        <v>9</v>
      </c>
      <c r="H16">
        <v>10</v>
      </c>
      <c r="I16">
        <v>10</v>
      </c>
      <c r="J16">
        <v>11</v>
      </c>
      <c r="K16">
        <v>13</v>
      </c>
      <c r="L16">
        <v>13</v>
      </c>
      <c r="M16">
        <v>12</v>
      </c>
      <c r="N16">
        <v>14</v>
      </c>
      <c r="O16">
        <v>15</v>
      </c>
      <c r="P16">
        <v>15</v>
      </c>
      <c r="Q16">
        <v>16</v>
      </c>
      <c r="R16">
        <v>17</v>
      </c>
      <c r="S16">
        <v>19</v>
      </c>
      <c r="T16">
        <v>19</v>
      </c>
      <c r="U16">
        <v>18</v>
      </c>
      <c r="V16">
        <v>16</v>
      </c>
      <c r="W16">
        <v>15</v>
      </c>
      <c r="X16">
        <v>15</v>
      </c>
      <c r="Y16">
        <v>12</v>
      </c>
      <c r="Z16">
        <v>11</v>
      </c>
      <c r="AA16">
        <v>9</v>
      </c>
      <c r="AB16">
        <v>9</v>
      </c>
      <c r="AC16">
        <v>9</v>
      </c>
      <c r="AD16">
        <v>7</v>
      </c>
      <c r="AE16">
        <v>7</v>
      </c>
    </row>
    <row r="17" spans="1:31" x14ac:dyDescent="0.3">
      <c r="A17" t="s">
        <v>273</v>
      </c>
      <c r="B17" t="s">
        <v>152</v>
      </c>
      <c r="C17" t="s">
        <v>0</v>
      </c>
      <c r="D17" t="s">
        <v>153</v>
      </c>
      <c r="E17" t="s">
        <v>123</v>
      </c>
      <c r="F17">
        <v>38</v>
      </c>
      <c r="G17">
        <v>38</v>
      </c>
      <c r="H17">
        <v>37</v>
      </c>
      <c r="I17">
        <v>38</v>
      </c>
      <c r="J17">
        <v>40</v>
      </c>
      <c r="K17">
        <v>43</v>
      </c>
      <c r="L17">
        <v>45</v>
      </c>
      <c r="M17">
        <v>43</v>
      </c>
      <c r="N17">
        <v>44</v>
      </c>
      <c r="O17">
        <v>44</v>
      </c>
      <c r="P17">
        <v>48</v>
      </c>
      <c r="Q17">
        <v>59</v>
      </c>
      <c r="R17">
        <v>65</v>
      </c>
      <c r="S17">
        <v>78</v>
      </c>
      <c r="T17">
        <v>89</v>
      </c>
      <c r="U17">
        <v>79</v>
      </c>
      <c r="V17">
        <v>78</v>
      </c>
      <c r="W17">
        <v>78</v>
      </c>
      <c r="X17">
        <v>71</v>
      </c>
      <c r="Y17">
        <v>68</v>
      </c>
      <c r="Z17">
        <v>67</v>
      </c>
      <c r="AA17">
        <v>64</v>
      </c>
      <c r="AB17">
        <v>58</v>
      </c>
      <c r="AC17">
        <v>60</v>
      </c>
      <c r="AD17">
        <v>60</v>
      </c>
      <c r="AE17">
        <v>58</v>
      </c>
    </row>
    <row r="18" spans="1:31" x14ac:dyDescent="0.3">
      <c r="A18" t="s">
        <v>273</v>
      </c>
      <c r="B18" t="s">
        <v>154</v>
      </c>
      <c r="C18" t="s">
        <v>0</v>
      </c>
      <c r="D18" t="s">
        <v>155</v>
      </c>
      <c r="E18" t="s">
        <v>123</v>
      </c>
      <c r="F18">
        <v>28</v>
      </c>
      <c r="G18">
        <v>25</v>
      </c>
      <c r="H18">
        <v>23</v>
      </c>
      <c r="I18">
        <v>21</v>
      </c>
      <c r="J18">
        <v>21</v>
      </c>
      <c r="K18">
        <v>23</v>
      </c>
      <c r="L18">
        <v>23</v>
      </c>
      <c r="M18">
        <v>21</v>
      </c>
      <c r="N18">
        <v>19</v>
      </c>
      <c r="O18">
        <v>18</v>
      </c>
      <c r="P18">
        <v>19</v>
      </c>
      <c r="Q18">
        <v>23</v>
      </c>
      <c r="R18">
        <v>25</v>
      </c>
      <c r="S18">
        <v>26</v>
      </c>
      <c r="T18">
        <v>28</v>
      </c>
      <c r="U18">
        <v>26</v>
      </c>
      <c r="V18">
        <v>25</v>
      </c>
      <c r="W18">
        <v>24</v>
      </c>
      <c r="X18">
        <v>20</v>
      </c>
      <c r="Y18">
        <v>17</v>
      </c>
      <c r="Z18">
        <v>15</v>
      </c>
      <c r="AA18">
        <v>13</v>
      </c>
      <c r="AB18">
        <v>11</v>
      </c>
      <c r="AC18">
        <v>11</v>
      </c>
      <c r="AD18">
        <v>0</v>
      </c>
      <c r="AE18">
        <v>0</v>
      </c>
    </row>
    <row r="19" spans="1:31" x14ac:dyDescent="0.3">
      <c r="A19" t="s">
        <v>273</v>
      </c>
      <c r="B19" t="s">
        <v>156</v>
      </c>
      <c r="C19" t="s">
        <v>0</v>
      </c>
      <c r="D19" t="s">
        <v>157</v>
      </c>
      <c r="E19" t="s">
        <v>123</v>
      </c>
      <c r="F19">
        <v>18</v>
      </c>
      <c r="G19">
        <v>18</v>
      </c>
      <c r="H19">
        <v>19</v>
      </c>
      <c r="I19">
        <v>20</v>
      </c>
      <c r="J19">
        <v>20</v>
      </c>
      <c r="K19">
        <v>23</v>
      </c>
      <c r="L19">
        <v>23</v>
      </c>
      <c r="M19">
        <v>25</v>
      </c>
      <c r="N19">
        <v>25</v>
      </c>
      <c r="O19">
        <v>25</v>
      </c>
      <c r="P19">
        <v>26</v>
      </c>
      <c r="Q19">
        <v>30</v>
      </c>
      <c r="R19">
        <v>32</v>
      </c>
      <c r="S19">
        <v>36</v>
      </c>
      <c r="T19">
        <v>34</v>
      </c>
      <c r="U19">
        <v>33</v>
      </c>
      <c r="V19">
        <v>31</v>
      </c>
      <c r="W19">
        <v>29</v>
      </c>
      <c r="X19">
        <v>25</v>
      </c>
      <c r="Y19">
        <v>29</v>
      </c>
      <c r="Z19">
        <v>38</v>
      </c>
      <c r="AA19">
        <v>39</v>
      </c>
      <c r="AB19">
        <v>44</v>
      </c>
      <c r="AC19">
        <v>46</v>
      </c>
      <c r="AD19">
        <v>49</v>
      </c>
      <c r="AE19">
        <v>48</v>
      </c>
    </row>
    <row r="20" spans="1:31" x14ac:dyDescent="0.3">
      <c r="A20" t="s">
        <v>273</v>
      </c>
      <c r="B20" t="s">
        <v>158</v>
      </c>
      <c r="C20" t="s">
        <v>0</v>
      </c>
      <c r="D20" t="s">
        <v>159</v>
      </c>
      <c r="E20" t="s">
        <v>123</v>
      </c>
      <c r="F20">
        <v>74</v>
      </c>
      <c r="G20">
        <v>70</v>
      </c>
      <c r="H20">
        <v>70</v>
      </c>
      <c r="I20">
        <v>69</v>
      </c>
      <c r="J20">
        <v>69</v>
      </c>
      <c r="K20">
        <v>72</v>
      </c>
      <c r="L20">
        <v>74</v>
      </c>
      <c r="M20">
        <v>71</v>
      </c>
      <c r="N20">
        <v>69</v>
      </c>
      <c r="O20">
        <v>68</v>
      </c>
      <c r="P20">
        <v>66</v>
      </c>
      <c r="Q20">
        <v>66</v>
      </c>
      <c r="R20">
        <v>64</v>
      </c>
      <c r="S20">
        <v>69</v>
      </c>
      <c r="T20">
        <v>69</v>
      </c>
      <c r="U20">
        <v>98</v>
      </c>
      <c r="V20">
        <v>90</v>
      </c>
      <c r="W20">
        <v>113</v>
      </c>
      <c r="X20">
        <v>137</v>
      </c>
      <c r="Y20">
        <v>164</v>
      </c>
      <c r="Z20">
        <v>196</v>
      </c>
      <c r="AA20">
        <v>233</v>
      </c>
      <c r="AB20">
        <v>247</v>
      </c>
      <c r="AC20">
        <v>259</v>
      </c>
      <c r="AD20">
        <v>254</v>
      </c>
      <c r="AE20">
        <v>277</v>
      </c>
    </row>
    <row r="21" spans="1:31" x14ac:dyDescent="0.3">
      <c r="A21" t="s">
        <v>273</v>
      </c>
      <c r="B21" t="s">
        <v>160</v>
      </c>
      <c r="C21" t="s">
        <v>0</v>
      </c>
      <c r="D21" t="s">
        <v>161</v>
      </c>
      <c r="E21" t="s">
        <v>123</v>
      </c>
      <c r="F21">
        <v>205</v>
      </c>
      <c r="G21">
        <v>197</v>
      </c>
      <c r="H21">
        <v>199</v>
      </c>
      <c r="I21">
        <v>206</v>
      </c>
      <c r="J21">
        <v>216</v>
      </c>
      <c r="K21">
        <v>232</v>
      </c>
      <c r="L21">
        <v>240</v>
      </c>
      <c r="M21">
        <v>218</v>
      </c>
      <c r="N21">
        <v>197</v>
      </c>
      <c r="O21">
        <v>182</v>
      </c>
      <c r="P21">
        <v>172</v>
      </c>
      <c r="Q21">
        <v>164</v>
      </c>
      <c r="R21">
        <v>158</v>
      </c>
      <c r="S21">
        <v>160</v>
      </c>
      <c r="T21">
        <v>154</v>
      </c>
      <c r="U21">
        <v>186</v>
      </c>
      <c r="V21">
        <v>171</v>
      </c>
      <c r="W21">
        <v>217</v>
      </c>
      <c r="X21">
        <v>237</v>
      </c>
      <c r="Y21">
        <v>262</v>
      </c>
      <c r="Z21">
        <v>295</v>
      </c>
      <c r="AA21">
        <v>341</v>
      </c>
      <c r="AB21">
        <v>358</v>
      </c>
      <c r="AC21">
        <v>367</v>
      </c>
      <c r="AD21">
        <v>351</v>
      </c>
      <c r="AE21">
        <v>366</v>
      </c>
    </row>
    <row r="22" spans="1:31" x14ac:dyDescent="0.3">
      <c r="A22" t="s">
        <v>273</v>
      </c>
      <c r="B22" t="s">
        <v>162</v>
      </c>
      <c r="C22" t="s">
        <v>0</v>
      </c>
      <c r="D22" t="s">
        <v>163</v>
      </c>
      <c r="E22" t="s">
        <v>123</v>
      </c>
      <c r="F22">
        <v>131</v>
      </c>
      <c r="G22">
        <v>127</v>
      </c>
      <c r="H22">
        <v>129</v>
      </c>
      <c r="I22">
        <v>137</v>
      </c>
      <c r="J22">
        <v>147</v>
      </c>
      <c r="K22">
        <v>160</v>
      </c>
      <c r="L22">
        <v>166</v>
      </c>
      <c r="M22">
        <v>147</v>
      </c>
      <c r="N22">
        <v>128</v>
      </c>
      <c r="O22">
        <v>114</v>
      </c>
      <c r="P22">
        <v>106</v>
      </c>
      <c r="Q22">
        <v>98</v>
      </c>
      <c r="R22">
        <v>94</v>
      </c>
      <c r="S22">
        <v>91</v>
      </c>
      <c r="T22">
        <v>85</v>
      </c>
      <c r="U22">
        <v>88</v>
      </c>
      <c r="V22">
        <v>81</v>
      </c>
      <c r="W22">
        <v>104</v>
      </c>
      <c r="X22">
        <v>100</v>
      </c>
      <c r="Y22">
        <v>98</v>
      </c>
      <c r="Z22">
        <v>99</v>
      </c>
      <c r="AA22">
        <v>108</v>
      </c>
      <c r="AB22">
        <v>111</v>
      </c>
      <c r="AC22">
        <v>108</v>
      </c>
      <c r="AD22">
        <v>97</v>
      </c>
      <c r="AE22">
        <v>89</v>
      </c>
    </row>
    <row r="23" spans="1:31" x14ac:dyDescent="0.3">
      <c r="A23" t="s">
        <v>273</v>
      </c>
      <c r="B23" t="s">
        <v>164</v>
      </c>
      <c r="C23" t="s">
        <v>0</v>
      </c>
      <c r="D23" t="s">
        <v>165</v>
      </c>
      <c r="E23" t="s">
        <v>123</v>
      </c>
      <c r="F23">
        <v>207</v>
      </c>
      <c r="G23">
        <v>240</v>
      </c>
      <c r="H23">
        <v>279</v>
      </c>
      <c r="I23">
        <v>320</v>
      </c>
      <c r="J23">
        <v>372</v>
      </c>
      <c r="K23">
        <v>446</v>
      </c>
      <c r="L23">
        <v>495</v>
      </c>
      <c r="M23">
        <v>525</v>
      </c>
      <c r="N23">
        <v>550</v>
      </c>
      <c r="O23">
        <v>582</v>
      </c>
      <c r="P23">
        <v>613</v>
      </c>
      <c r="Q23">
        <v>651</v>
      </c>
      <c r="R23">
        <v>707</v>
      </c>
      <c r="S23">
        <v>738</v>
      </c>
      <c r="T23">
        <v>742</v>
      </c>
      <c r="U23">
        <v>799</v>
      </c>
      <c r="V23">
        <v>808</v>
      </c>
      <c r="W23">
        <v>823</v>
      </c>
      <c r="X23">
        <v>783</v>
      </c>
      <c r="Y23">
        <v>748</v>
      </c>
      <c r="Z23">
        <v>754</v>
      </c>
      <c r="AA23">
        <v>753</v>
      </c>
      <c r="AB23">
        <v>746</v>
      </c>
      <c r="AC23">
        <v>739</v>
      </c>
      <c r="AD23">
        <v>693</v>
      </c>
      <c r="AE23">
        <v>651</v>
      </c>
    </row>
    <row r="24" spans="1:31" x14ac:dyDescent="0.3">
      <c r="A24" t="s">
        <v>273</v>
      </c>
      <c r="B24" t="s">
        <v>166</v>
      </c>
      <c r="C24" t="s">
        <v>0</v>
      </c>
      <c r="D24" t="s">
        <v>167</v>
      </c>
      <c r="E24" t="s">
        <v>123</v>
      </c>
      <c r="F24">
        <v>1390</v>
      </c>
      <c r="G24">
        <v>1332</v>
      </c>
      <c r="H24">
        <v>1311</v>
      </c>
      <c r="I24">
        <v>1291</v>
      </c>
      <c r="J24">
        <v>1283</v>
      </c>
      <c r="K24">
        <v>1370</v>
      </c>
      <c r="L24">
        <v>1450</v>
      </c>
      <c r="M24">
        <v>1423</v>
      </c>
      <c r="N24">
        <v>1406</v>
      </c>
      <c r="O24">
        <v>1380</v>
      </c>
      <c r="P24">
        <v>1360</v>
      </c>
      <c r="Q24">
        <v>1337</v>
      </c>
      <c r="R24">
        <v>1358</v>
      </c>
      <c r="S24">
        <v>1383</v>
      </c>
      <c r="T24">
        <v>1365</v>
      </c>
      <c r="U24">
        <v>1421</v>
      </c>
      <c r="V24">
        <v>1415</v>
      </c>
      <c r="W24">
        <v>1463</v>
      </c>
      <c r="X24">
        <v>1371</v>
      </c>
      <c r="Y24">
        <v>1278</v>
      </c>
      <c r="Z24">
        <v>1234</v>
      </c>
      <c r="AA24">
        <v>1152</v>
      </c>
      <c r="AB24">
        <v>1031</v>
      </c>
      <c r="AC24">
        <v>941</v>
      </c>
      <c r="AD24">
        <v>822</v>
      </c>
      <c r="AE24">
        <v>726</v>
      </c>
    </row>
    <row r="25" spans="1:31" x14ac:dyDescent="0.3">
      <c r="A25" t="s">
        <v>273</v>
      </c>
      <c r="B25" t="s">
        <v>168</v>
      </c>
      <c r="C25" t="s">
        <v>0</v>
      </c>
      <c r="D25" t="s">
        <v>169</v>
      </c>
      <c r="E25" t="s">
        <v>123</v>
      </c>
      <c r="F25">
        <v>126</v>
      </c>
      <c r="G25">
        <v>125</v>
      </c>
      <c r="H25">
        <v>127</v>
      </c>
      <c r="I25">
        <v>126</v>
      </c>
      <c r="J25">
        <v>127</v>
      </c>
      <c r="K25">
        <v>152</v>
      </c>
      <c r="L25">
        <v>169</v>
      </c>
      <c r="M25">
        <v>172</v>
      </c>
      <c r="N25">
        <v>172</v>
      </c>
      <c r="O25">
        <v>174</v>
      </c>
      <c r="P25">
        <v>168</v>
      </c>
      <c r="Q25">
        <v>174</v>
      </c>
      <c r="R25">
        <v>170</v>
      </c>
      <c r="S25">
        <v>182</v>
      </c>
      <c r="T25">
        <v>180</v>
      </c>
      <c r="U25">
        <v>199</v>
      </c>
      <c r="V25">
        <v>210</v>
      </c>
      <c r="W25">
        <v>214</v>
      </c>
      <c r="X25">
        <v>192</v>
      </c>
      <c r="Y25">
        <v>176</v>
      </c>
      <c r="Z25">
        <v>169</v>
      </c>
      <c r="AA25">
        <v>163</v>
      </c>
      <c r="AB25">
        <v>146</v>
      </c>
      <c r="AC25">
        <v>135</v>
      </c>
      <c r="AD25">
        <v>120</v>
      </c>
      <c r="AE25">
        <v>110</v>
      </c>
    </row>
    <row r="26" spans="1:31" x14ac:dyDescent="0.3">
      <c r="A26" t="s">
        <v>273</v>
      </c>
      <c r="B26" t="s">
        <v>170</v>
      </c>
      <c r="C26" t="s">
        <v>0</v>
      </c>
      <c r="D26" t="s">
        <v>171</v>
      </c>
      <c r="E26" t="s">
        <v>123</v>
      </c>
      <c r="F26">
        <v>994</v>
      </c>
      <c r="G26">
        <v>948</v>
      </c>
      <c r="H26">
        <v>928</v>
      </c>
      <c r="I26">
        <v>916</v>
      </c>
      <c r="J26">
        <v>898</v>
      </c>
      <c r="K26">
        <v>934</v>
      </c>
      <c r="L26">
        <v>959</v>
      </c>
      <c r="M26">
        <v>922</v>
      </c>
      <c r="N26">
        <v>878</v>
      </c>
      <c r="O26">
        <v>836</v>
      </c>
      <c r="P26">
        <v>803</v>
      </c>
      <c r="Q26">
        <v>764</v>
      </c>
      <c r="R26">
        <v>767</v>
      </c>
      <c r="S26">
        <v>770</v>
      </c>
      <c r="T26">
        <v>744</v>
      </c>
      <c r="U26">
        <v>742</v>
      </c>
      <c r="V26">
        <v>724</v>
      </c>
      <c r="W26">
        <v>741</v>
      </c>
      <c r="X26">
        <v>691</v>
      </c>
      <c r="Y26">
        <v>637</v>
      </c>
      <c r="Z26">
        <v>600</v>
      </c>
      <c r="AA26">
        <v>549</v>
      </c>
      <c r="AB26">
        <v>488</v>
      </c>
      <c r="AC26">
        <v>438</v>
      </c>
      <c r="AD26">
        <v>374</v>
      </c>
      <c r="AE26">
        <v>321</v>
      </c>
    </row>
    <row r="27" spans="1:31" x14ac:dyDescent="0.3">
      <c r="A27" t="s">
        <v>273</v>
      </c>
      <c r="B27" t="s">
        <v>172</v>
      </c>
      <c r="C27" t="s">
        <v>0</v>
      </c>
      <c r="D27" t="s">
        <v>173</v>
      </c>
      <c r="E27" t="s">
        <v>123</v>
      </c>
      <c r="F27">
        <v>270</v>
      </c>
      <c r="G27">
        <v>259</v>
      </c>
      <c r="H27">
        <v>256</v>
      </c>
      <c r="I27">
        <v>249</v>
      </c>
      <c r="J27">
        <v>258</v>
      </c>
      <c r="K27">
        <v>284</v>
      </c>
      <c r="L27">
        <v>322</v>
      </c>
      <c r="M27">
        <v>329</v>
      </c>
      <c r="N27">
        <v>356</v>
      </c>
      <c r="O27">
        <v>370</v>
      </c>
      <c r="P27">
        <v>389</v>
      </c>
      <c r="Q27">
        <v>399</v>
      </c>
      <c r="R27">
        <v>421</v>
      </c>
      <c r="S27">
        <v>431</v>
      </c>
      <c r="T27">
        <v>441</v>
      </c>
      <c r="U27">
        <v>480</v>
      </c>
      <c r="V27">
        <v>481</v>
      </c>
      <c r="W27">
        <v>508</v>
      </c>
      <c r="X27">
        <v>488</v>
      </c>
      <c r="Y27">
        <v>465</v>
      </c>
      <c r="Z27">
        <v>465</v>
      </c>
      <c r="AA27">
        <v>440</v>
      </c>
      <c r="AB27">
        <v>397</v>
      </c>
      <c r="AC27">
        <v>368</v>
      </c>
      <c r="AD27">
        <v>328</v>
      </c>
      <c r="AE27">
        <v>295</v>
      </c>
    </row>
    <row r="28" spans="1:31" x14ac:dyDescent="0.3">
      <c r="A28" t="s">
        <v>273</v>
      </c>
      <c r="B28" t="s">
        <v>174</v>
      </c>
      <c r="C28" t="s">
        <v>0</v>
      </c>
      <c r="D28" t="s">
        <v>175</v>
      </c>
      <c r="E28" t="s">
        <v>123</v>
      </c>
      <c r="F28">
        <v>6291</v>
      </c>
      <c r="G28">
        <v>6169</v>
      </c>
      <c r="H28">
        <v>6487</v>
      </c>
      <c r="I28">
        <v>6683</v>
      </c>
      <c r="J28">
        <v>6887</v>
      </c>
      <c r="K28">
        <v>7234</v>
      </c>
      <c r="L28">
        <v>7570</v>
      </c>
      <c r="M28">
        <v>7328</v>
      </c>
      <c r="N28">
        <v>6937</v>
      </c>
      <c r="O28">
        <v>7078</v>
      </c>
      <c r="P28">
        <v>7113</v>
      </c>
      <c r="Q28">
        <v>7194</v>
      </c>
      <c r="R28">
        <v>7332</v>
      </c>
      <c r="S28">
        <v>7083</v>
      </c>
      <c r="T28">
        <v>7207</v>
      </c>
      <c r="U28">
        <v>7006</v>
      </c>
      <c r="V28">
        <v>7017</v>
      </c>
      <c r="W28">
        <v>7150</v>
      </c>
      <c r="X28">
        <v>7089</v>
      </c>
      <c r="Y28">
        <v>6985</v>
      </c>
      <c r="Z28">
        <v>7159</v>
      </c>
      <c r="AA28">
        <v>7368</v>
      </c>
      <c r="AB28">
        <v>7472</v>
      </c>
      <c r="AC28">
        <v>7155</v>
      </c>
      <c r="AD28">
        <v>7671</v>
      </c>
      <c r="AE28">
        <v>7483</v>
      </c>
    </row>
    <row r="29" spans="1:31" x14ac:dyDescent="0.3">
      <c r="A29" t="s">
        <v>273</v>
      </c>
      <c r="B29" t="s">
        <v>176</v>
      </c>
      <c r="C29" t="s">
        <v>0</v>
      </c>
      <c r="D29" t="s">
        <v>177</v>
      </c>
      <c r="E29" t="s">
        <v>123</v>
      </c>
      <c r="F29">
        <v>1977</v>
      </c>
      <c r="G29">
        <v>2024</v>
      </c>
      <c r="H29">
        <v>2150</v>
      </c>
      <c r="I29">
        <v>2255</v>
      </c>
      <c r="J29">
        <v>2382</v>
      </c>
      <c r="K29">
        <v>2556</v>
      </c>
      <c r="L29">
        <v>2675</v>
      </c>
      <c r="M29">
        <v>2657</v>
      </c>
      <c r="N29">
        <v>2660</v>
      </c>
      <c r="O29">
        <v>2722</v>
      </c>
      <c r="P29">
        <v>2792</v>
      </c>
      <c r="Q29">
        <v>2755</v>
      </c>
      <c r="R29">
        <v>2694</v>
      </c>
      <c r="S29">
        <v>2704</v>
      </c>
      <c r="T29">
        <v>2652</v>
      </c>
      <c r="U29">
        <v>2617</v>
      </c>
      <c r="V29">
        <v>2658</v>
      </c>
      <c r="W29">
        <v>2596</v>
      </c>
      <c r="X29">
        <v>2407</v>
      </c>
      <c r="Y29">
        <v>2431</v>
      </c>
      <c r="Z29">
        <v>2528</v>
      </c>
      <c r="AA29">
        <v>2699</v>
      </c>
      <c r="AB29">
        <v>2892</v>
      </c>
      <c r="AC29">
        <v>2658</v>
      </c>
      <c r="AD29">
        <v>3010</v>
      </c>
      <c r="AE29">
        <v>3028</v>
      </c>
    </row>
    <row r="30" spans="1:31" x14ac:dyDescent="0.3">
      <c r="A30" t="s">
        <v>273</v>
      </c>
      <c r="B30" t="s">
        <v>178</v>
      </c>
      <c r="C30" t="s">
        <v>0</v>
      </c>
      <c r="D30" t="s">
        <v>179</v>
      </c>
      <c r="E30" t="s">
        <v>123</v>
      </c>
      <c r="F30">
        <v>3349</v>
      </c>
      <c r="G30">
        <v>3182</v>
      </c>
      <c r="H30">
        <v>3370</v>
      </c>
      <c r="I30">
        <v>3417</v>
      </c>
      <c r="J30">
        <v>3370</v>
      </c>
      <c r="K30">
        <v>3444</v>
      </c>
      <c r="L30">
        <v>3546</v>
      </c>
      <c r="M30">
        <v>3398</v>
      </c>
      <c r="N30">
        <v>3115</v>
      </c>
      <c r="O30">
        <v>3218</v>
      </c>
      <c r="P30">
        <v>3108</v>
      </c>
      <c r="Q30">
        <v>3059</v>
      </c>
      <c r="R30">
        <v>3150</v>
      </c>
      <c r="S30">
        <v>2884</v>
      </c>
      <c r="T30">
        <v>2782</v>
      </c>
      <c r="U30">
        <v>2617</v>
      </c>
      <c r="V30">
        <v>2652</v>
      </c>
      <c r="W30">
        <v>2841</v>
      </c>
      <c r="X30">
        <v>2957</v>
      </c>
      <c r="Y30">
        <v>2759</v>
      </c>
      <c r="Z30">
        <v>2591</v>
      </c>
      <c r="AA30">
        <v>2451</v>
      </c>
      <c r="AB30">
        <v>2234</v>
      </c>
      <c r="AC30">
        <v>2198</v>
      </c>
      <c r="AD30">
        <v>2128</v>
      </c>
      <c r="AE30">
        <v>2030</v>
      </c>
    </row>
    <row r="31" spans="1:31" x14ac:dyDescent="0.3">
      <c r="A31" t="s">
        <v>273</v>
      </c>
      <c r="B31" t="s">
        <v>180</v>
      </c>
      <c r="C31" t="s">
        <v>0</v>
      </c>
      <c r="D31" t="s">
        <v>181</v>
      </c>
      <c r="E31" t="s">
        <v>123</v>
      </c>
      <c r="F31">
        <v>813</v>
      </c>
      <c r="G31">
        <v>819</v>
      </c>
      <c r="H31">
        <v>792</v>
      </c>
      <c r="I31">
        <v>789</v>
      </c>
      <c r="J31">
        <v>930</v>
      </c>
      <c r="K31">
        <v>1014</v>
      </c>
      <c r="L31">
        <v>1127</v>
      </c>
      <c r="M31">
        <v>1064</v>
      </c>
      <c r="N31">
        <v>968</v>
      </c>
      <c r="O31">
        <v>942</v>
      </c>
      <c r="P31">
        <v>1033</v>
      </c>
      <c r="Q31">
        <v>1166</v>
      </c>
      <c r="R31">
        <v>1282</v>
      </c>
      <c r="S31">
        <v>1296</v>
      </c>
      <c r="T31">
        <v>1551</v>
      </c>
      <c r="U31">
        <v>1499</v>
      </c>
      <c r="V31">
        <v>1423</v>
      </c>
      <c r="W31">
        <v>1445</v>
      </c>
      <c r="X31">
        <v>1469</v>
      </c>
      <c r="Y31">
        <v>1524</v>
      </c>
      <c r="Z31">
        <v>1760</v>
      </c>
      <c r="AA31">
        <v>1845</v>
      </c>
      <c r="AB31">
        <v>1941</v>
      </c>
      <c r="AC31">
        <v>1903</v>
      </c>
      <c r="AD31">
        <v>2121</v>
      </c>
      <c r="AE31">
        <v>2014</v>
      </c>
    </row>
    <row r="32" spans="1:31" x14ac:dyDescent="0.3">
      <c r="A32" t="s">
        <v>273</v>
      </c>
      <c r="B32" t="s">
        <v>182</v>
      </c>
      <c r="C32" t="s">
        <v>0</v>
      </c>
      <c r="D32" t="s">
        <v>183</v>
      </c>
      <c r="E32" t="s">
        <v>123</v>
      </c>
      <c r="F32">
        <v>120</v>
      </c>
      <c r="G32">
        <v>114</v>
      </c>
      <c r="H32">
        <v>147</v>
      </c>
      <c r="I32">
        <v>195</v>
      </c>
      <c r="J32">
        <v>179</v>
      </c>
      <c r="K32">
        <v>181</v>
      </c>
      <c r="L32">
        <v>180</v>
      </c>
      <c r="M32">
        <v>164</v>
      </c>
      <c r="N32">
        <v>151</v>
      </c>
      <c r="O32">
        <v>146</v>
      </c>
      <c r="P32">
        <v>137</v>
      </c>
      <c r="Q32">
        <v>151</v>
      </c>
      <c r="R32">
        <v>142</v>
      </c>
      <c r="S32">
        <v>137</v>
      </c>
      <c r="T32">
        <v>149</v>
      </c>
      <c r="U32">
        <v>176</v>
      </c>
      <c r="V32">
        <v>183</v>
      </c>
      <c r="W32">
        <v>172</v>
      </c>
      <c r="X32">
        <v>161</v>
      </c>
      <c r="Y32">
        <v>174</v>
      </c>
      <c r="Z32">
        <v>190</v>
      </c>
      <c r="AA32">
        <v>286</v>
      </c>
      <c r="AB32">
        <v>313</v>
      </c>
      <c r="AC32">
        <v>310</v>
      </c>
      <c r="AD32">
        <v>332</v>
      </c>
      <c r="AE32">
        <v>337</v>
      </c>
    </row>
    <row r="33" spans="1:31" x14ac:dyDescent="0.3">
      <c r="A33" t="s">
        <v>273</v>
      </c>
      <c r="B33" t="s">
        <v>184</v>
      </c>
      <c r="C33" t="s">
        <v>0</v>
      </c>
      <c r="D33" t="s">
        <v>185</v>
      </c>
      <c r="E33" t="s">
        <v>123</v>
      </c>
      <c r="F33">
        <v>32</v>
      </c>
      <c r="G33">
        <v>30</v>
      </c>
      <c r="H33">
        <v>28</v>
      </c>
      <c r="I33">
        <v>27</v>
      </c>
      <c r="J33">
        <v>26</v>
      </c>
      <c r="K33">
        <v>39</v>
      </c>
      <c r="L33">
        <v>42</v>
      </c>
      <c r="M33">
        <v>45</v>
      </c>
      <c r="N33">
        <v>43</v>
      </c>
      <c r="O33">
        <v>50</v>
      </c>
      <c r="P33">
        <v>43</v>
      </c>
      <c r="Q33">
        <v>63</v>
      </c>
      <c r="R33">
        <v>64</v>
      </c>
      <c r="S33">
        <v>62</v>
      </c>
      <c r="T33">
        <v>73</v>
      </c>
      <c r="U33">
        <v>97</v>
      </c>
      <c r="V33">
        <v>101</v>
      </c>
      <c r="W33">
        <v>96</v>
      </c>
      <c r="X33">
        <v>95</v>
      </c>
      <c r="Y33">
        <v>97</v>
      </c>
      <c r="Z33">
        <v>90</v>
      </c>
      <c r="AA33">
        <v>87</v>
      </c>
      <c r="AB33">
        <v>92</v>
      </c>
      <c r="AC33">
        <v>86</v>
      </c>
      <c r="AD33">
        <v>80</v>
      </c>
      <c r="AE33">
        <v>74</v>
      </c>
    </row>
    <row r="34" spans="1:31" x14ac:dyDescent="0.3">
      <c r="A34" t="s">
        <v>273</v>
      </c>
      <c r="B34" t="s">
        <v>186</v>
      </c>
      <c r="C34" t="s">
        <v>0</v>
      </c>
      <c r="D34" t="s">
        <v>187</v>
      </c>
      <c r="E34" t="s">
        <v>123</v>
      </c>
      <c r="F34">
        <v>50</v>
      </c>
      <c r="G34">
        <v>54</v>
      </c>
      <c r="H34">
        <v>54</v>
      </c>
      <c r="I34">
        <v>57</v>
      </c>
      <c r="J34">
        <v>63</v>
      </c>
      <c r="K34">
        <v>71</v>
      </c>
      <c r="L34">
        <v>76</v>
      </c>
      <c r="M34">
        <v>79</v>
      </c>
      <c r="N34">
        <v>82</v>
      </c>
      <c r="O34">
        <v>85</v>
      </c>
      <c r="P34">
        <v>89</v>
      </c>
      <c r="Q34">
        <v>95</v>
      </c>
      <c r="R34">
        <v>93</v>
      </c>
      <c r="S34">
        <v>89</v>
      </c>
      <c r="T34">
        <v>88</v>
      </c>
      <c r="U34">
        <v>93</v>
      </c>
      <c r="V34">
        <v>93</v>
      </c>
      <c r="W34">
        <v>102</v>
      </c>
      <c r="X34">
        <v>98</v>
      </c>
      <c r="Y34">
        <v>93</v>
      </c>
      <c r="Z34">
        <v>90</v>
      </c>
      <c r="AA34">
        <v>87</v>
      </c>
      <c r="AB34">
        <v>78</v>
      </c>
      <c r="AC34">
        <v>75</v>
      </c>
      <c r="AD34">
        <v>69</v>
      </c>
      <c r="AE34">
        <v>63</v>
      </c>
    </row>
    <row r="35" spans="1:31" x14ac:dyDescent="0.3">
      <c r="A35" t="s">
        <v>273</v>
      </c>
      <c r="B35" t="s">
        <v>188</v>
      </c>
      <c r="C35" t="s">
        <v>0</v>
      </c>
      <c r="D35" t="s">
        <v>189</v>
      </c>
      <c r="E35" t="s">
        <v>123</v>
      </c>
      <c r="F35">
        <v>141</v>
      </c>
      <c r="G35">
        <v>143</v>
      </c>
      <c r="H35">
        <v>150</v>
      </c>
      <c r="I35">
        <v>154</v>
      </c>
      <c r="J35">
        <v>163</v>
      </c>
      <c r="K35">
        <v>192</v>
      </c>
      <c r="L35">
        <v>213</v>
      </c>
      <c r="M35">
        <v>217</v>
      </c>
      <c r="N35">
        <v>209</v>
      </c>
      <c r="O35">
        <v>248</v>
      </c>
      <c r="P35">
        <v>269</v>
      </c>
      <c r="Q35">
        <v>280</v>
      </c>
      <c r="R35">
        <v>293</v>
      </c>
      <c r="S35">
        <v>324</v>
      </c>
      <c r="T35">
        <v>342</v>
      </c>
      <c r="U35">
        <v>401</v>
      </c>
      <c r="V35">
        <v>384</v>
      </c>
      <c r="W35">
        <v>381</v>
      </c>
      <c r="X35">
        <v>350</v>
      </c>
      <c r="Y35">
        <v>317</v>
      </c>
      <c r="Z35">
        <v>292</v>
      </c>
      <c r="AA35">
        <v>266</v>
      </c>
      <c r="AB35">
        <v>238</v>
      </c>
      <c r="AC35">
        <v>225</v>
      </c>
      <c r="AD35">
        <v>196</v>
      </c>
      <c r="AE35">
        <v>181</v>
      </c>
    </row>
    <row r="36" spans="1:31" x14ac:dyDescent="0.3">
      <c r="A36" t="s">
        <v>273</v>
      </c>
      <c r="B36" t="s">
        <v>190</v>
      </c>
      <c r="C36" t="s">
        <v>0</v>
      </c>
      <c r="D36" t="s">
        <v>191</v>
      </c>
      <c r="E36" t="s">
        <v>123</v>
      </c>
      <c r="F36">
        <v>27</v>
      </c>
      <c r="G36">
        <v>28</v>
      </c>
      <c r="H36">
        <v>30</v>
      </c>
      <c r="I36">
        <v>33</v>
      </c>
      <c r="J36">
        <v>34</v>
      </c>
      <c r="K36">
        <v>40</v>
      </c>
      <c r="L36">
        <v>45</v>
      </c>
      <c r="M36">
        <v>45</v>
      </c>
      <c r="N36">
        <v>44</v>
      </c>
      <c r="O36">
        <v>43</v>
      </c>
      <c r="P36">
        <v>45</v>
      </c>
      <c r="Q36">
        <v>47</v>
      </c>
      <c r="R36">
        <v>47</v>
      </c>
      <c r="S36">
        <v>46</v>
      </c>
      <c r="T36">
        <v>47</v>
      </c>
      <c r="U36">
        <v>50</v>
      </c>
      <c r="V36">
        <v>51</v>
      </c>
      <c r="W36">
        <v>52</v>
      </c>
      <c r="X36">
        <v>45</v>
      </c>
      <c r="Y36">
        <v>38</v>
      </c>
      <c r="Z36">
        <v>32</v>
      </c>
      <c r="AA36">
        <v>28</v>
      </c>
      <c r="AB36">
        <v>25</v>
      </c>
      <c r="AC36">
        <v>23</v>
      </c>
      <c r="AD36">
        <v>20</v>
      </c>
      <c r="AE36">
        <v>18</v>
      </c>
    </row>
    <row r="37" spans="1:31" x14ac:dyDescent="0.3">
      <c r="A37" t="s">
        <v>273</v>
      </c>
      <c r="B37" t="s">
        <v>192</v>
      </c>
      <c r="C37" t="s">
        <v>0</v>
      </c>
      <c r="D37" t="s">
        <v>193</v>
      </c>
      <c r="E37" t="s">
        <v>123</v>
      </c>
      <c r="F37">
        <v>53</v>
      </c>
      <c r="G37">
        <v>52</v>
      </c>
      <c r="H37">
        <v>57</v>
      </c>
      <c r="I37">
        <v>60</v>
      </c>
      <c r="J37">
        <v>64</v>
      </c>
      <c r="K37">
        <v>80</v>
      </c>
      <c r="L37">
        <v>89</v>
      </c>
      <c r="M37">
        <v>90</v>
      </c>
      <c r="N37">
        <v>86</v>
      </c>
      <c r="O37">
        <v>127</v>
      </c>
      <c r="P37">
        <v>148</v>
      </c>
      <c r="Q37">
        <v>154</v>
      </c>
      <c r="R37">
        <v>184</v>
      </c>
      <c r="S37">
        <v>217</v>
      </c>
      <c r="T37">
        <v>247</v>
      </c>
      <c r="U37">
        <v>300</v>
      </c>
      <c r="V37">
        <v>289</v>
      </c>
      <c r="W37">
        <v>280</v>
      </c>
      <c r="X37">
        <v>258</v>
      </c>
      <c r="Y37">
        <v>236</v>
      </c>
      <c r="Z37">
        <v>217</v>
      </c>
      <c r="AA37">
        <v>197</v>
      </c>
      <c r="AB37">
        <v>176</v>
      </c>
      <c r="AC37">
        <v>164</v>
      </c>
      <c r="AD37">
        <v>145</v>
      </c>
      <c r="AE37">
        <v>137</v>
      </c>
    </row>
    <row r="38" spans="1:31" x14ac:dyDescent="0.3">
      <c r="A38" t="s">
        <v>273</v>
      </c>
      <c r="B38" t="s">
        <v>194</v>
      </c>
      <c r="C38" t="s">
        <v>0</v>
      </c>
      <c r="D38" t="s">
        <v>195</v>
      </c>
      <c r="E38" t="s">
        <v>123</v>
      </c>
      <c r="F38">
        <v>61</v>
      </c>
      <c r="G38">
        <v>63</v>
      </c>
      <c r="H38">
        <v>63</v>
      </c>
      <c r="I38">
        <v>61</v>
      </c>
      <c r="J38">
        <v>65</v>
      </c>
      <c r="K38">
        <v>72</v>
      </c>
      <c r="L38">
        <v>79</v>
      </c>
      <c r="M38">
        <v>82</v>
      </c>
      <c r="N38">
        <v>79</v>
      </c>
      <c r="O38">
        <v>78</v>
      </c>
      <c r="P38">
        <v>76</v>
      </c>
      <c r="Q38">
        <v>79</v>
      </c>
      <c r="R38">
        <v>62</v>
      </c>
      <c r="S38">
        <v>61</v>
      </c>
      <c r="T38">
        <v>48</v>
      </c>
      <c r="U38">
        <v>51</v>
      </c>
      <c r="V38">
        <v>44</v>
      </c>
      <c r="W38">
        <v>49</v>
      </c>
      <c r="X38">
        <v>47</v>
      </c>
      <c r="Y38">
        <v>43</v>
      </c>
      <c r="Z38">
        <v>43</v>
      </c>
      <c r="AA38">
        <v>41</v>
      </c>
      <c r="AB38">
        <v>37</v>
      </c>
      <c r="AC38">
        <v>38</v>
      </c>
      <c r="AD38">
        <v>31</v>
      </c>
      <c r="AE38">
        <v>26</v>
      </c>
    </row>
    <row r="39" spans="1:31" x14ac:dyDescent="0.3">
      <c r="A39" t="s">
        <v>273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273</v>
      </c>
      <c r="B40" t="s">
        <v>198</v>
      </c>
      <c r="C40" t="s">
        <v>0</v>
      </c>
      <c r="D40" t="s">
        <v>199</v>
      </c>
      <c r="E40" t="s">
        <v>123</v>
      </c>
      <c r="F40">
        <v>55</v>
      </c>
      <c r="G40">
        <v>57</v>
      </c>
      <c r="H40">
        <v>56</v>
      </c>
      <c r="I40">
        <v>50</v>
      </c>
      <c r="J40">
        <v>52</v>
      </c>
      <c r="K40">
        <v>54</v>
      </c>
      <c r="L40">
        <v>51</v>
      </c>
      <c r="M40">
        <v>58</v>
      </c>
      <c r="N40">
        <v>64</v>
      </c>
      <c r="O40">
        <v>67</v>
      </c>
      <c r="P40">
        <v>82</v>
      </c>
      <c r="Q40">
        <v>95</v>
      </c>
      <c r="R40">
        <v>105</v>
      </c>
      <c r="S40">
        <v>125</v>
      </c>
      <c r="T40">
        <v>150</v>
      </c>
      <c r="U40">
        <v>165</v>
      </c>
      <c r="V40">
        <v>162</v>
      </c>
      <c r="W40">
        <v>177</v>
      </c>
      <c r="X40">
        <v>187</v>
      </c>
      <c r="Y40">
        <v>192</v>
      </c>
      <c r="Z40">
        <v>197</v>
      </c>
      <c r="AA40">
        <v>200</v>
      </c>
      <c r="AB40">
        <v>188</v>
      </c>
      <c r="AC40">
        <v>183</v>
      </c>
      <c r="AD40">
        <v>168</v>
      </c>
      <c r="AE40">
        <v>152</v>
      </c>
    </row>
    <row r="41" spans="1:31" x14ac:dyDescent="0.3">
      <c r="A41" t="s">
        <v>273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273</v>
      </c>
      <c r="B42" t="s">
        <v>202</v>
      </c>
      <c r="C42" t="s">
        <v>0</v>
      </c>
      <c r="D42" t="s">
        <v>203</v>
      </c>
      <c r="E42" t="s">
        <v>123</v>
      </c>
      <c r="F42">
        <v>115</v>
      </c>
      <c r="G42">
        <v>125</v>
      </c>
      <c r="H42">
        <v>151</v>
      </c>
      <c r="I42">
        <v>162</v>
      </c>
      <c r="J42">
        <v>180</v>
      </c>
      <c r="K42">
        <v>201</v>
      </c>
      <c r="L42">
        <v>217</v>
      </c>
      <c r="M42">
        <v>216</v>
      </c>
      <c r="N42">
        <v>219</v>
      </c>
      <c r="O42">
        <v>224</v>
      </c>
      <c r="P42">
        <v>223</v>
      </c>
      <c r="Q42">
        <v>224</v>
      </c>
      <c r="R42">
        <v>236</v>
      </c>
      <c r="S42">
        <v>245</v>
      </c>
      <c r="T42">
        <v>221</v>
      </c>
      <c r="U42">
        <v>212</v>
      </c>
      <c r="V42">
        <v>217</v>
      </c>
      <c r="W42">
        <v>205</v>
      </c>
      <c r="X42">
        <v>186</v>
      </c>
      <c r="Y42">
        <v>169</v>
      </c>
      <c r="Z42">
        <v>153</v>
      </c>
      <c r="AA42">
        <v>138</v>
      </c>
      <c r="AB42">
        <v>125</v>
      </c>
      <c r="AC42">
        <v>113</v>
      </c>
      <c r="AD42">
        <v>101</v>
      </c>
      <c r="AE42">
        <v>89</v>
      </c>
    </row>
    <row r="43" spans="1:31" x14ac:dyDescent="0.3">
      <c r="A43" t="s">
        <v>273</v>
      </c>
      <c r="B43" t="s">
        <v>204</v>
      </c>
      <c r="C43" t="s">
        <v>0</v>
      </c>
      <c r="D43" t="s">
        <v>205</v>
      </c>
      <c r="E43" t="s">
        <v>123</v>
      </c>
      <c r="F43">
        <v>262</v>
      </c>
      <c r="G43">
        <v>278</v>
      </c>
      <c r="H43">
        <v>326</v>
      </c>
      <c r="I43">
        <v>356</v>
      </c>
      <c r="J43">
        <v>387</v>
      </c>
      <c r="K43">
        <v>530</v>
      </c>
      <c r="L43">
        <v>685</v>
      </c>
      <c r="M43">
        <v>784</v>
      </c>
      <c r="N43">
        <v>806</v>
      </c>
      <c r="O43">
        <v>832</v>
      </c>
      <c r="P43">
        <v>843</v>
      </c>
      <c r="Q43">
        <v>981</v>
      </c>
      <c r="R43">
        <v>1011</v>
      </c>
      <c r="S43">
        <v>994</v>
      </c>
      <c r="T43">
        <v>923</v>
      </c>
      <c r="U43">
        <v>890</v>
      </c>
      <c r="V43">
        <v>895</v>
      </c>
      <c r="W43">
        <v>915</v>
      </c>
      <c r="X43">
        <v>883</v>
      </c>
      <c r="Y43">
        <v>876</v>
      </c>
      <c r="Z43">
        <v>890</v>
      </c>
      <c r="AA43">
        <v>877</v>
      </c>
      <c r="AB43">
        <v>983</v>
      </c>
      <c r="AC43">
        <v>970</v>
      </c>
      <c r="AD43">
        <v>949</v>
      </c>
      <c r="AE43">
        <v>911</v>
      </c>
    </row>
    <row r="44" spans="1:31" x14ac:dyDescent="0.3">
      <c r="A44" t="s">
        <v>273</v>
      </c>
      <c r="B44" t="s">
        <v>206</v>
      </c>
      <c r="C44" t="s">
        <v>0</v>
      </c>
      <c r="D44" t="s">
        <v>207</v>
      </c>
      <c r="E44" t="s">
        <v>123</v>
      </c>
      <c r="F44">
        <v>10732</v>
      </c>
      <c r="G44">
        <v>10533</v>
      </c>
      <c r="H44">
        <v>10921</v>
      </c>
      <c r="I44">
        <v>11195</v>
      </c>
      <c r="J44">
        <v>11587</v>
      </c>
      <c r="K44">
        <v>12428</v>
      </c>
      <c r="L44">
        <v>13175</v>
      </c>
      <c r="M44">
        <v>13105</v>
      </c>
      <c r="N44">
        <v>12790</v>
      </c>
      <c r="O44">
        <v>13067</v>
      </c>
      <c r="P44">
        <v>13200</v>
      </c>
      <c r="Q44">
        <v>13643</v>
      </c>
      <c r="R44">
        <v>13930</v>
      </c>
      <c r="S44">
        <v>13835</v>
      </c>
      <c r="T44">
        <v>13915</v>
      </c>
      <c r="U44">
        <v>13845</v>
      </c>
      <c r="V44">
        <v>13830</v>
      </c>
      <c r="W44">
        <v>14219</v>
      </c>
      <c r="X44">
        <v>13935</v>
      </c>
      <c r="Y44">
        <v>13634</v>
      </c>
      <c r="Z44">
        <v>13831</v>
      </c>
      <c r="AA44">
        <v>13870</v>
      </c>
      <c r="AB44">
        <v>13854</v>
      </c>
      <c r="AC44">
        <v>13376</v>
      </c>
      <c r="AD44">
        <v>13547</v>
      </c>
      <c r="AE44">
        <v>13165</v>
      </c>
    </row>
    <row r="45" spans="1:31" x14ac:dyDescent="0.3">
      <c r="A45" t="s">
        <v>273</v>
      </c>
      <c r="B45" t="s">
        <v>208</v>
      </c>
      <c r="C45" t="s">
        <v>0</v>
      </c>
      <c r="D45" t="s">
        <v>209</v>
      </c>
      <c r="E45" t="s">
        <v>123</v>
      </c>
      <c r="F45">
        <v>9001</v>
      </c>
      <c r="G45">
        <v>8866</v>
      </c>
      <c r="H45">
        <v>9269</v>
      </c>
      <c r="I45">
        <v>9550</v>
      </c>
      <c r="J45">
        <v>9874</v>
      </c>
      <c r="K45">
        <v>10635</v>
      </c>
      <c r="L45">
        <v>11319</v>
      </c>
      <c r="M45">
        <v>11165</v>
      </c>
      <c r="N45">
        <v>10783</v>
      </c>
      <c r="O45">
        <v>11000</v>
      </c>
      <c r="P45">
        <v>11099</v>
      </c>
      <c r="Q45">
        <v>11425</v>
      </c>
      <c r="R45">
        <v>11732</v>
      </c>
      <c r="S45">
        <v>11641</v>
      </c>
      <c r="T45">
        <v>11696</v>
      </c>
      <c r="U45">
        <v>11625</v>
      </c>
      <c r="V45">
        <v>11585</v>
      </c>
      <c r="W45">
        <v>11877</v>
      </c>
      <c r="X45">
        <v>11594</v>
      </c>
      <c r="Y45">
        <v>11304</v>
      </c>
      <c r="Z45">
        <v>11461</v>
      </c>
      <c r="AA45">
        <v>11564</v>
      </c>
      <c r="AB45">
        <v>11621</v>
      </c>
      <c r="AC45">
        <v>11176</v>
      </c>
      <c r="AD45">
        <v>11398</v>
      </c>
      <c r="AE45">
        <v>11011</v>
      </c>
    </row>
    <row r="46" spans="1:31" x14ac:dyDescent="0.3">
      <c r="A46" t="s">
        <v>273</v>
      </c>
      <c r="B46" t="s">
        <v>210</v>
      </c>
      <c r="C46" t="s">
        <v>0</v>
      </c>
      <c r="D46" t="s">
        <v>211</v>
      </c>
      <c r="E46" t="s">
        <v>123</v>
      </c>
      <c r="F46">
        <v>147</v>
      </c>
      <c r="G46">
        <v>153</v>
      </c>
      <c r="H46">
        <v>175</v>
      </c>
      <c r="I46">
        <v>194</v>
      </c>
      <c r="J46">
        <v>207</v>
      </c>
      <c r="K46">
        <v>329</v>
      </c>
      <c r="L46">
        <v>468</v>
      </c>
      <c r="M46">
        <v>568</v>
      </c>
      <c r="N46">
        <v>587</v>
      </c>
      <c r="O46">
        <v>608</v>
      </c>
      <c r="P46">
        <v>620</v>
      </c>
      <c r="Q46">
        <v>757</v>
      </c>
      <c r="R46">
        <v>775</v>
      </c>
      <c r="S46">
        <v>749</v>
      </c>
      <c r="T46">
        <v>702</v>
      </c>
      <c r="U46">
        <v>678</v>
      </c>
      <c r="V46">
        <v>678</v>
      </c>
      <c r="W46">
        <v>710</v>
      </c>
      <c r="X46">
        <v>697</v>
      </c>
      <c r="Y46">
        <v>707</v>
      </c>
      <c r="Z46">
        <v>737</v>
      </c>
      <c r="AA46">
        <v>739</v>
      </c>
      <c r="AB46">
        <v>858</v>
      </c>
      <c r="AC46">
        <v>857</v>
      </c>
      <c r="AD46">
        <v>848</v>
      </c>
      <c r="AE46">
        <v>822</v>
      </c>
    </row>
    <row r="47" spans="1:31" x14ac:dyDescent="0.3">
      <c r="A47" t="s">
        <v>273</v>
      </c>
      <c r="B47" t="s">
        <v>212</v>
      </c>
      <c r="C47" t="s">
        <v>0</v>
      </c>
      <c r="D47" t="s">
        <v>213</v>
      </c>
      <c r="E47" t="s">
        <v>123</v>
      </c>
      <c r="F47">
        <v>137</v>
      </c>
      <c r="G47">
        <v>158</v>
      </c>
      <c r="H47">
        <v>168</v>
      </c>
      <c r="I47">
        <v>173</v>
      </c>
      <c r="J47">
        <v>196</v>
      </c>
      <c r="K47">
        <v>235</v>
      </c>
      <c r="L47">
        <v>247</v>
      </c>
      <c r="M47">
        <v>271</v>
      </c>
      <c r="N47">
        <v>280</v>
      </c>
      <c r="O47">
        <v>290</v>
      </c>
      <c r="P47">
        <v>312</v>
      </c>
      <c r="Q47">
        <v>316</v>
      </c>
      <c r="R47">
        <v>304</v>
      </c>
      <c r="S47">
        <v>303</v>
      </c>
      <c r="T47">
        <v>304</v>
      </c>
      <c r="U47">
        <v>343</v>
      </c>
      <c r="V47">
        <v>372</v>
      </c>
      <c r="W47">
        <v>419</v>
      </c>
      <c r="X47">
        <v>445</v>
      </c>
      <c r="Y47">
        <v>444</v>
      </c>
      <c r="Z47">
        <v>467</v>
      </c>
      <c r="AA47">
        <v>490</v>
      </c>
      <c r="AB47">
        <v>480</v>
      </c>
      <c r="AC47">
        <v>473</v>
      </c>
      <c r="AD47">
        <v>463</v>
      </c>
      <c r="AE47">
        <v>498</v>
      </c>
    </row>
    <row r="48" spans="1:31" x14ac:dyDescent="0.3">
      <c r="A48" t="s">
        <v>273</v>
      </c>
      <c r="B48" t="s">
        <v>214</v>
      </c>
      <c r="C48" t="s">
        <v>0</v>
      </c>
      <c r="D48" t="s">
        <v>215</v>
      </c>
      <c r="E48" t="s">
        <v>123</v>
      </c>
      <c r="F48">
        <v>234</v>
      </c>
      <c r="G48">
        <v>260</v>
      </c>
      <c r="H48">
        <v>272</v>
      </c>
      <c r="I48">
        <v>280</v>
      </c>
      <c r="J48">
        <v>309</v>
      </c>
      <c r="K48">
        <v>361</v>
      </c>
      <c r="L48">
        <v>378</v>
      </c>
      <c r="M48">
        <v>409</v>
      </c>
      <c r="N48">
        <v>428</v>
      </c>
      <c r="O48">
        <v>454</v>
      </c>
      <c r="P48">
        <v>489</v>
      </c>
      <c r="Q48">
        <v>508</v>
      </c>
      <c r="R48">
        <v>519</v>
      </c>
      <c r="S48">
        <v>531</v>
      </c>
      <c r="T48">
        <v>542</v>
      </c>
      <c r="U48">
        <v>591</v>
      </c>
      <c r="V48">
        <v>630</v>
      </c>
      <c r="W48">
        <v>684</v>
      </c>
      <c r="X48">
        <v>704</v>
      </c>
      <c r="Y48">
        <v>692</v>
      </c>
      <c r="Z48">
        <v>714</v>
      </c>
      <c r="AA48">
        <v>726</v>
      </c>
      <c r="AB48">
        <v>695</v>
      </c>
      <c r="AC48">
        <v>671</v>
      </c>
      <c r="AD48">
        <v>645</v>
      </c>
      <c r="AE48">
        <v>665</v>
      </c>
    </row>
    <row r="49" spans="1:31" x14ac:dyDescent="0.3">
      <c r="A49" t="s">
        <v>273</v>
      </c>
      <c r="B49" t="s">
        <v>216</v>
      </c>
      <c r="C49" t="s">
        <v>0</v>
      </c>
      <c r="D49" t="s">
        <v>217</v>
      </c>
      <c r="E49" t="s">
        <v>123</v>
      </c>
      <c r="F49">
        <v>81</v>
      </c>
      <c r="G49">
        <v>81</v>
      </c>
      <c r="H49">
        <v>82</v>
      </c>
      <c r="I49">
        <v>80</v>
      </c>
      <c r="J49">
        <v>82</v>
      </c>
      <c r="K49">
        <v>91</v>
      </c>
      <c r="L49">
        <v>92</v>
      </c>
      <c r="M49">
        <v>95</v>
      </c>
      <c r="N49">
        <v>94</v>
      </c>
      <c r="O49">
        <v>94</v>
      </c>
      <c r="P49">
        <v>94</v>
      </c>
      <c r="Q49">
        <v>95</v>
      </c>
      <c r="R49">
        <v>98</v>
      </c>
      <c r="S49">
        <v>101</v>
      </c>
      <c r="T49">
        <v>104</v>
      </c>
      <c r="U49">
        <v>103</v>
      </c>
      <c r="V49">
        <v>102</v>
      </c>
      <c r="W49">
        <v>104</v>
      </c>
      <c r="X49">
        <v>99</v>
      </c>
      <c r="Y49">
        <v>95</v>
      </c>
      <c r="Z49">
        <v>95</v>
      </c>
      <c r="AA49">
        <v>90</v>
      </c>
      <c r="AB49">
        <v>83</v>
      </c>
      <c r="AC49">
        <v>77</v>
      </c>
      <c r="AD49">
        <v>70</v>
      </c>
      <c r="AE49">
        <v>67</v>
      </c>
    </row>
    <row r="50" spans="1:31" x14ac:dyDescent="0.3">
      <c r="A50" t="s">
        <v>273</v>
      </c>
      <c r="B50" t="s">
        <v>218</v>
      </c>
      <c r="C50" t="s">
        <v>0</v>
      </c>
      <c r="D50" t="s">
        <v>219</v>
      </c>
      <c r="E50" t="s">
        <v>123</v>
      </c>
      <c r="F50">
        <v>16</v>
      </c>
      <c r="G50">
        <v>21</v>
      </c>
      <c r="H50">
        <v>22</v>
      </c>
      <c r="I50">
        <v>27</v>
      </c>
      <c r="J50">
        <v>31</v>
      </c>
      <c r="K50">
        <v>35</v>
      </c>
      <c r="L50">
        <v>39</v>
      </c>
      <c r="M50">
        <v>43</v>
      </c>
      <c r="N50">
        <v>54</v>
      </c>
      <c r="O50">
        <v>70</v>
      </c>
      <c r="P50">
        <v>83</v>
      </c>
      <c r="Q50">
        <v>97</v>
      </c>
      <c r="R50">
        <v>117</v>
      </c>
      <c r="S50">
        <v>127</v>
      </c>
      <c r="T50">
        <v>134</v>
      </c>
      <c r="U50">
        <v>145</v>
      </c>
      <c r="V50">
        <v>156</v>
      </c>
      <c r="W50">
        <v>161</v>
      </c>
      <c r="X50">
        <v>160</v>
      </c>
      <c r="Y50">
        <v>153</v>
      </c>
      <c r="Z50">
        <v>152</v>
      </c>
      <c r="AA50">
        <v>146</v>
      </c>
      <c r="AB50">
        <v>132</v>
      </c>
      <c r="AC50">
        <v>121</v>
      </c>
      <c r="AD50">
        <v>112</v>
      </c>
      <c r="AE50">
        <v>100</v>
      </c>
    </row>
    <row r="51" spans="1:31" x14ac:dyDescent="0.3">
      <c r="A51" t="s">
        <v>273</v>
      </c>
      <c r="B51" t="s">
        <v>220</v>
      </c>
      <c r="C51" t="s">
        <v>0</v>
      </c>
      <c r="D51" t="s">
        <v>221</v>
      </c>
      <c r="E51" t="s">
        <v>123</v>
      </c>
      <c r="F51">
        <v>15</v>
      </c>
      <c r="G51">
        <v>18</v>
      </c>
      <c r="H51">
        <v>19</v>
      </c>
      <c r="I51">
        <v>21</v>
      </c>
      <c r="J51">
        <v>24</v>
      </c>
      <c r="K51">
        <v>27</v>
      </c>
      <c r="L51">
        <v>28</v>
      </c>
      <c r="M51">
        <v>29</v>
      </c>
      <c r="N51">
        <v>36</v>
      </c>
      <c r="O51">
        <v>46</v>
      </c>
      <c r="P51">
        <v>54</v>
      </c>
      <c r="Q51">
        <v>61</v>
      </c>
      <c r="R51">
        <v>73</v>
      </c>
      <c r="S51">
        <v>79</v>
      </c>
      <c r="T51">
        <v>85</v>
      </c>
      <c r="U51">
        <v>93</v>
      </c>
      <c r="V51">
        <v>101</v>
      </c>
      <c r="W51">
        <v>103</v>
      </c>
      <c r="X51">
        <v>104</v>
      </c>
      <c r="Y51">
        <v>99</v>
      </c>
      <c r="Z51">
        <v>99</v>
      </c>
      <c r="AA51">
        <v>95</v>
      </c>
      <c r="AB51">
        <v>88</v>
      </c>
      <c r="AC51">
        <v>80</v>
      </c>
      <c r="AD51">
        <v>72</v>
      </c>
      <c r="AE51">
        <v>63</v>
      </c>
    </row>
    <row r="52" spans="1:31" x14ac:dyDescent="0.3">
      <c r="A52" t="s">
        <v>273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3</v>
      </c>
      <c r="H52">
        <v>3</v>
      </c>
      <c r="I52">
        <v>6</v>
      </c>
      <c r="J52">
        <v>7</v>
      </c>
      <c r="K52">
        <v>8</v>
      </c>
      <c r="L52">
        <v>11</v>
      </c>
      <c r="M52">
        <v>14</v>
      </c>
      <c r="N52">
        <v>18</v>
      </c>
      <c r="O52">
        <v>24</v>
      </c>
      <c r="P52">
        <v>29</v>
      </c>
      <c r="Q52">
        <v>36</v>
      </c>
      <c r="R52">
        <v>44</v>
      </c>
      <c r="S52">
        <v>48</v>
      </c>
      <c r="T52">
        <v>49</v>
      </c>
      <c r="U52">
        <v>52</v>
      </c>
      <c r="V52">
        <v>55</v>
      </c>
      <c r="W52">
        <v>58</v>
      </c>
      <c r="X52">
        <v>56</v>
      </c>
      <c r="Y52">
        <v>54</v>
      </c>
      <c r="Z52">
        <v>53</v>
      </c>
      <c r="AA52">
        <v>51</v>
      </c>
      <c r="AB52">
        <v>44</v>
      </c>
      <c r="AC52">
        <v>41</v>
      </c>
      <c r="AD52">
        <v>40</v>
      </c>
      <c r="AE52">
        <v>37</v>
      </c>
    </row>
    <row r="53" spans="1:31" x14ac:dyDescent="0.3">
      <c r="A53" t="s">
        <v>273</v>
      </c>
      <c r="B53" t="s">
        <v>224</v>
      </c>
      <c r="C53" t="s">
        <v>0</v>
      </c>
      <c r="D53" t="s">
        <v>225</v>
      </c>
      <c r="E53" t="s">
        <v>123</v>
      </c>
      <c r="F53">
        <v>27</v>
      </c>
      <c r="G53">
        <v>31</v>
      </c>
      <c r="H53">
        <v>34</v>
      </c>
      <c r="I53">
        <v>38</v>
      </c>
      <c r="J53">
        <v>41</v>
      </c>
      <c r="K53">
        <v>48</v>
      </c>
      <c r="L53">
        <v>51</v>
      </c>
      <c r="M53">
        <v>53</v>
      </c>
      <c r="N53">
        <v>61</v>
      </c>
      <c r="O53">
        <v>71</v>
      </c>
      <c r="P53">
        <v>82</v>
      </c>
      <c r="Q53">
        <v>92</v>
      </c>
      <c r="R53">
        <v>108</v>
      </c>
      <c r="S53">
        <v>109</v>
      </c>
      <c r="T53">
        <v>114</v>
      </c>
      <c r="U53">
        <v>108</v>
      </c>
      <c r="V53">
        <v>111</v>
      </c>
      <c r="W53">
        <v>116</v>
      </c>
      <c r="X53">
        <v>114</v>
      </c>
      <c r="Y53">
        <v>108</v>
      </c>
      <c r="Z53">
        <v>102</v>
      </c>
      <c r="AA53">
        <v>100</v>
      </c>
      <c r="AB53">
        <v>93</v>
      </c>
      <c r="AC53">
        <v>85</v>
      </c>
      <c r="AD53">
        <v>74</v>
      </c>
      <c r="AE53">
        <v>68</v>
      </c>
    </row>
    <row r="54" spans="1:31" x14ac:dyDescent="0.3">
      <c r="A54" t="s">
        <v>273</v>
      </c>
      <c r="B54" t="s">
        <v>226</v>
      </c>
      <c r="C54" t="s">
        <v>0</v>
      </c>
      <c r="D54" t="s">
        <v>227</v>
      </c>
      <c r="E54" t="s">
        <v>123</v>
      </c>
      <c r="F54">
        <v>66</v>
      </c>
      <c r="G54">
        <v>72</v>
      </c>
      <c r="H54">
        <v>76</v>
      </c>
      <c r="I54">
        <v>82</v>
      </c>
      <c r="J54">
        <v>88</v>
      </c>
      <c r="K54">
        <v>100</v>
      </c>
      <c r="L54">
        <v>108</v>
      </c>
      <c r="M54">
        <v>113</v>
      </c>
      <c r="N54">
        <v>122</v>
      </c>
      <c r="O54">
        <v>136</v>
      </c>
      <c r="P54">
        <v>152</v>
      </c>
      <c r="Q54">
        <v>163</v>
      </c>
      <c r="R54">
        <v>180</v>
      </c>
      <c r="S54">
        <v>182</v>
      </c>
      <c r="T54">
        <v>189</v>
      </c>
      <c r="U54">
        <v>185</v>
      </c>
      <c r="V54">
        <v>183</v>
      </c>
      <c r="W54">
        <v>186</v>
      </c>
      <c r="X54">
        <v>176</v>
      </c>
      <c r="Y54">
        <v>161</v>
      </c>
      <c r="Z54">
        <v>152</v>
      </c>
      <c r="AA54">
        <v>144</v>
      </c>
      <c r="AB54">
        <v>132</v>
      </c>
      <c r="AC54">
        <v>120</v>
      </c>
      <c r="AD54">
        <v>98</v>
      </c>
      <c r="AE54">
        <v>88</v>
      </c>
    </row>
    <row r="55" spans="1:31" x14ac:dyDescent="0.3">
      <c r="A55" t="s">
        <v>273</v>
      </c>
      <c r="B55" t="s">
        <v>228</v>
      </c>
      <c r="C55" t="s">
        <v>0</v>
      </c>
      <c r="D55" t="s">
        <v>229</v>
      </c>
      <c r="E55" t="s">
        <v>123</v>
      </c>
      <c r="F55">
        <v>39</v>
      </c>
      <c r="G55">
        <v>41</v>
      </c>
      <c r="H55">
        <v>42</v>
      </c>
      <c r="I55">
        <v>44</v>
      </c>
      <c r="J55">
        <v>47</v>
      </c>
      <c r="K55">
        <v>52</v>
      </c>
      <c r="L55">
        <v>57</v>
      </c>
      <c r="M55">
        <v>60</v>
      </c>
      <c r="N55">
        <v>61</v>
      </c>
      <c r="O55">
        <v>65</v>
      </c>
      <c r="P55">
        <v>70</v>
      </c>
      <c r="Q55">
        <v>71</v>
      </c>
      <c r="R55">
        <v>72</v>
      </c>
      <c r="S55">
        <v>73</v>
      </c>
      <c r="T55">
        <v>75</v>
      </c>
      <c r="U55">
        <v>77</v>
      </c>
      <c r="V55">
        <v>72</v>
      </c>
      <c r="W55">
        <v>70</v>
      </c>
      <c r="X55">
        <v>62</v>
      </c>
      <c r="Y55">
        <v>53</v>
      </c>
      <c r="Z55">
        <v>50</v>
      </c>
      <c r="AA55">
        <v>44</v>
      </c>
      <c r="AB55">
        <v>39</v>
      </c>
      <c r="AC55">
        <v>35</v>
      </c>
      <c r="AD55">
        <v>24</v>
      </c>
      <c r="AE55">
        <v>20</v>
      </c>
    </row>
    <row r="56" spans="1:31" x14ac:dyDescent="0.3">
      <c r="A56" t="s">
        <v>273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273</v>
      </c>
      <c r="B57" t="s">
        <v>232</v>
      </c>
      <c r="C57" t="s">
        <v>0</v>
      </c>
      <c r="D57" t="s">
        <v>233</v>
      </c>
      <c r="E57" t="s">
        <v>123</v>
      </c>
      <c r="F57">
        <v>11021</v>
      </c>
      <c r="G57">
        <v>10850</v>
      </c>
      <c r="H57">
        <v>11249</v>
      </c>
      <c r="I57">
        <v>11525</v>
      </c>
      <c r="J57">
        <v>11948</v>
      </c>
      <c r="K57">
        <v>12843</v>
      </c>
      <c r="L57">
        <v>13604</v>
      </c>
      <c r="M57">
        <v>13572</v>
      </c>
      <c r="N57">
        <v>13282</v>
      </c>
      <c r="O57">
        <v>13588</v>
      </c>
      <c r="P57">
        <v>13771</v>
      </c>
      <c r="Q57">
        <v>14246</v>
      </c>
      <c r="R57">
        <v>14554</v>
      </c>
      <c r="S57">
        <v>14491</v>
      </c>
      <c r="T57">
        <v>14607</v>
      </c>
      <c r="U57">
        <v>14601</v>
      </c>
      <c r="V57">
        <v>14622</v>
      </c>
      <c r="W57">
        <v>15080</v>
      </c>
      <c r="X57">
        <v>14826</v>
      </c>
      <c r="Y57">
        <v>14518</v>
      </c>
      <c r="Z57">
        <v>14742</v>
      </c>
      <c r="AA57">
        <v>14796</v>
      </c>
      <c r="AB57">
        <v>14737</v>
      </c>
      <c r="AC57">
        <v>14230</v>
      </c>
      <c r="AD57">
        <v>14360</v>
      </c>
      <c r="AE57">
        <v>13982</v>
      </c>
    </row>
    <row r="58" spans="1:31" x14ac:dyDescent="0.3">
      <c r="A58" t="s">
        <v>273</v>
      </c>
      <c r="B58" t="s">
        <v>234</v>
      </c>
      <c r="C58" t="s">
        <v>0</v>
      </c>
      <c r="D58" t="s">
        <v>235</v>
      </c>
      <c r="E58" t="s">
        <v>123</v>
      </c>
      <c r="F58">
        <v>11021</v>
      </c>
      <c r="G58">
        <v>10850</v>
      </c>
      <c r="H58">
        <v>11249</v>
      </c>
      <c r="I58">
        <v>11525</v>
      </c>
      <c r="J58">
        <v>11948</v>
      </c>
      <c r="K58">
        <v>12843</v>
      </c>
      <c r="L58">
        <v>13604</v>
      </c>
      <c r="M58">
        <v>13572</v>
      </c>
      <c r="N58">
        <v>13282</v>
      </c>
      <c r="O58">
        <v>13588</v>
      </c>
      <c r="P58">
        <v>13771</v>
      </c>
      <c r="Q58">
        <v>14246</v>
      </c>
      <c r="R58">
        <v>14554</v>
      </c>
      <c r="S58">
        <v>14491</v>
      </c>
      <c r="T58">
        <v>14607</v>
      </c>
      <c r="U58">
        <v>14601</v>
      </c>
      <c r="V58">
        <v>14622</v>
      </c>
      <c r="W58">
        <v>15080</v>
      </c>
      <c r="X58">
        <v>14826</v>
      </c>
      <c r="Y58">
        <v>14518</v>
      </c>
      <c r="Z58">
        <v>14742</v>
      </c>
      <c r="AA58">
        <v>14796</v>
      </c>
      <c r="AB58">
        <v>14737</v>
      </c>
      <c r="AC58">
        <v>14230</v>
      </c>
      <c r="AD58">
        <v>14360</v>
      </c>
      <c r="AE58">
        <v>13982</v>
      </c>
    </row>
    <row r="59" spans="1:31" x14ac:dyDescent="0.3">
      <c r="A59" t="s">
        <v>273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274</v>
      </c>
      <c r="B2" t="s">
        <v>121</v>
      </c>
      <c r="C2" t="s">
        <v>0</v>
      </c>
      <c r="D2" t="s">
        <v>122</v>
      </c>
      <c r="E2" t="s">
        <v>123</v>
      </c>
      <c r="F2">
        <v>1189</v>
      </c>
      <c r="G2">
        <v>1084</v>
      </c>
      <c r="H2">
        <v>1068</v>
      </c>
      <c r="I2">
        <v>1042</v>
      </c>
      <c r="J2">
        <v>1040</v>
      </c>
      <c r="K2">
        <v>1053</v>
      </c>
      <c r="L2">
        <v>1125</v>
      </c>
      <c r="M2">
        <v>1202</v>
      </c>
      <c r="N2">
        <v>1273</v>
      </c>
      <c r="O2">
        <v>1329</v>
      </c>
      <c r="P2">
        <v>1388</v>
      </c>
      <c r="Q2">
        <v>1448</v>
      </c>
      <c r="R2">
        <v>1567</v>
      </c>
      <c r="S2">
        <v>1664</v>
      </c>
      <c r="T2">
        <v>1722</v>
      </c>
      <c r="U2">
        <v>1736</v>
      </c>
      <c r="V2">
        <v>1822</v>
      </c>
      <c r="W2">
        <v>1875</v>
      </c>
      <c r="X2">
        <v>1927</v>
      </c>
      <c r="Y2">
        <v>1942</v>
      </c>
      <c r="Z2">
        <v>1934</v>
      </c>
      <c r="AA2">
        <v>1869</v>
      </c>
      <c r="AB2">
        <v>1859</v>
      </c>
      <c r="AC2">
        <v>1934</v>
      </c>
      <c r="AD2">
        <v>1999</v>
      </c>
      <c r="AE2">
        <v>1925</v>
      </c>
    </row>
    <row r="3" spans="1:31" x14ac:dyDescent="0.3">
      <c r="A3" t="s">
        <v>274</v>
      </c>
      <c r="B3" t="s">
        <v>124</v>
      </c>
      <c r="C3" t="s">
        <v>0</v>
      </c>
      <c r="D3" t="s">
        <v>125</v>
      </c>
      <c r="E3" t="s">
        <v>123</v>
      </c>
      <c r="F3">
        <v>379</v>
      </c>
      <c r="G3">
        <v>390</v>
      </c>
      <c r="H3">
        <v>384</v>
      </c>
      <c r="I3">
        <v>388</v>
      </c>
      <c r="J3">
        <v>394</v>
      </c>
      <c r="K3">
        <v>391</v>
      </c>
      <c r="L3">
        <v>409</v>
      </c>
      <c r="M3">
        <v>421</v>
      </c>
      <c r="N3">
        <v>463</v>
      </c>
      <c r="O3">
        <v>471</v>
      </c>
      <c r="P3">
        <v>487</v>
      </c>
      <c r="Q3">
        <v>514</v>
      </c>
      <c r="R3">
        <v>540</v>
      </c>
      <c r="S3">
        <v>855</v>
      </c>
      <c r="T3">
        <v>929</v>
      </c>
      <c r="U3">
        <v>950</v>
      </c>
      <c r="V3">
        <v>1059</v>
      </c>
      <c r="W3">
        <v>1141</v>
      </c>
      <c r="X3">
        <v>1204</v>
      </c>
      <c r="Y3">
        <v>1229</v>
      </c>
      <c r="Z3">
        <v>1260</v>
      </c>
      <c r="AA3">
        <v>1256</v>
      </c>
      <c r="AB3">
        <v>1252</v>
      </c>
      <c r="AC3">
        <v>1302</v>
      </c>
      <c r="AD3">
        <v>1319</v>
      </c>
      <c r="AE3">
        <v>1431</v>
      </c>
    </row>
    <row r="4" spans="1:31" x14ac:dyDescent="0.3">
      <c r="A4" t="s">
        <v>274</v>
      </c>
      <c r="B4" t="s">
        <v>126</v>
      </c>
      <c r="C4" t="s">
        <v>0</v>
      </c>
      <c r="D4" t="s">
        <v>127</v>
      </c>
      <c r="E4" t="s">
        <v>123</v>
      </c>
      <c r="F4">
        <v>22060</v>
      </c>
      <c r="G4">
        <v>22963</v>
      </c>
      <c r="H4">
        <v>23880</v>
      </c>
      <c r="I4">
        <v>24405</v>
      </c>
      <c r="J4">
        <v>24373</v>
      </c>
      <c r="K4">
        <v>24694</v>
      </c>
      <c r="L4">
        <v>25425</v>
      </c>
      <c r="M4">
        <v>25318</v>
      </c>
      <c r="N4">
        <v>25098</v>
      </c>
      <c r="O4">
        <v>24940</v>
      </c>
      <c r="P4">
        <v>24987</v>
      </c>
      <c r="Q4">
        <v>24489</v>
      </c>
      <c r="R4">
        <v>25081</v>
      </c>
      <c r="S4">
        <v>25480</v>
      </c>
      <c r="T4">
        <v>24962</v>
      </c>
      <c r="U4">
        <v>23950</v>
      </c>
      <c r="V4">
        <v>23574</v>
      </c>
      <c r="W4">
        <v>23410</v>
      </c>
      <c r="X4">
        <v>22936</v>
      </c>
      <c r="Y4">
        <v>22256</v>
      </c>
      <c r="Z4">
        <v>22194</v>
      </c>
      <c r="AA4">
        <v>22072</v>
      </c>
      <c r="AB4">
        <v>22923</v>
      </c>
      <c r="AC4">
        <v>23167</v>
      </c>
      <c r="AD4">
        <v>23251</v>
      </c>
      <c r="AE4">
        <v>22934</v>
      </c>
    </row>
    <row r="5" spans="1:31" x14ac:dyDescent="0.3">
      <c r="A5" t="s">
        <v>274</v>
      </c>
      <c r="B5" t="s">
        <v>128</v>
      </c>
      <c r="C5" t="s">
        <v>0</v>
      </c>
      <c r="D5" t="s">
        <v>129</v>
      </c>
      <c r="E5" t="s">
        <v>123</v>
      </c>
      <c r="F5">
        <v>2055</v>
      </c>
      <c r="G5">
        <v>2087</v>
      </c>
      <c r="H5">
        <v>2111</v>
      </c>
      <c r="I5">
        <v>2133</v>
      </c>
      <c r="J5">
        <v>2115</v>
      </c>
      <c r="K5">
        <v>2105</v>
      </c>
      <c r="L5">
        <v>2123</v>
      </c>
      <c r="M5">
        <v>2155</v>
      </c>
      <c r="N5">
        <v>2196</v>
      </c>
      <c r="O5">
        <v>2173</v>
      </c>
      <c r="P5">
        <v>2185</v>
      </c>
      <c r="Q5">
        <v>2157</v>
      </c>
      <c r="R5">
        <v>2202</v>
      </c>
      <c r="S5">
        <v>2277</v>
      </c>
      <c r="T5">
        <v>2287</v>
      </c>
      <c r="U5">
        <v>2227</v>
      </c>
      <c r="V5">
        <v>2214</v>
      </c>
      <c r="W5">
        <v>2192</v>
      </c>
      <c r="X5">
        <v>2190</v>
      </c>
      <c r="Y5">
        <v>2187</v>
      </c>
      <c r="Z5">
        <v>2234</v>
      </c>
      <c r="AA5">
        <v>2226</v>
      </c>
      <c r="AB5">
        <v>2357</v>
      </c>
      <c r="AC5">
        <v>2388</v>
      </c>
      <c r="AD5">
        <v>2352</v>
      </c>
      <c r="AE5">
        <v>2315</v>
      </c>
    </row>
    <row r="6" spans="1:31" x14ac:dyDescent="0.3">
      <c r="A6" t="s">
        <v>274</v>
      </c>
      <c r="B6" t="s">
        <v>130</v>
      </c>
      <c r="C6" t="s">
        <v>0</v>
      </c>
      <c r="D6" t="s">
        <v>131</v>
      </c>
      <c r="E6" t="s">
        <v>123</v>
      </c>
      <c r="F6">
        <v>401</v>
      </c>
      <c r="G6">
        <v>384</v>
      </c>
      <c r="H6">
        <v>383</v>
      </c>
      <c r="I6">
        <v>369</v>
      </c>
      <c r="J6">
        <v>346</v>
      </c>
      <c r="K6">
        <v>333</v>
      </c>
      <c r="L6">
        <v>327</v>
      </c>
      <c r="M6">
        <v>316</v>
      </c>
      <c r="N6">
        <v>302</v>
      </c>
      <c r="O6">
        <v>287</v>
      </c>
      <c r="P6">
        <v>280</v>
      </c>
      <c r="Q6">
        <v>268</v>
      </c>
      <c r="R6">
        <v>266</v>
      </c>
      <c r="S6">
        <v>254</v>
      </c>
      <c r="T6">
        <v>234</v>
      </c>
      <c r="U6">
        <v>218</v>
      </c>
      <c r="V6">
        <v>209</v>
      </c>
      <c r="W6">
        <v>196</v>
      </c>
      <c r="X6">
        <v>180</v>
      </c>
      <c r="Y6">
        <v>166</v>
      </c>
      <c r="Z6">
        <v>162</v>
      </c>
      <c r="AA6">
        <v>174</v>
      </c>
      <c r="AB6">
        <v>174</v>
      </c>
      <c r="AC6">
        <v>174</v>
      </c>
      <c r="AD6">
        <v>184</v>
      </c>
      <c r="AE6">
        <v>195</v>
      </c>
    </row>
    <row r="7" spans="1:31" x14ac:dyDescent="0.3">
      <c r="A7" t="s">
        <v>274</v>
      </c>
      <c r="B7" t="s">
        <v>132</v>
      </c>
      <c r="C7" t="s">
        <v>0</v>
      </c>
      <c r="D7" t="s">
        <v>133</v>
      </c>
      <c r="E7" t="s">
        <v>123</v>
      </c>
      <c r="F7">
        <v>10491</v>
      </c>
      <c r="G7">
        <v>11010</v>
      </c>
      <c r="H7">
        <v>11179</v>
      </c>
      <c r="I7">
        <v>11267</v>
      </c>
      <c r="J7">
        <v>11053</v>
      </c>
      <c r="K7">
        <v>10982</v>
      </c>
      <c r="L7">
        <v>11371</v>
      </c>
      <c r="M7">
        <v>11029</v>
      </c>
      <c r="N7">
        <v>10881</v>
      </c>
      <c r="O7">
        <v>10639</v>
      </c>
      <c r="P7">
        <v>10517</v>
      </c>
      <c r="Q7">
        <v>10212</v>
      </c>
      <c r="R7">
        <v>10091</v>
      </c>
      <c r="S7">
        <v>10204</v>
      </c>
      <c r="T7">
        <v>9685</v>
      </c>
      <c r="U7">
        <v>9170</v>
      </c>
      <c r="V7">
        <v>8928</v>
      </c>
      <c r="W7">
        <v>8682</v>
      </c>
      <c r="X7">
        <v>8469</v>
      </c>
      <c r="Y7">
        <v>8119</v>
      </c>
      <c r="Z7">
        <v>7885</v>
      </c>
      <c r="AA7">
        <v>7855</v>
      </c>
      <c r="AB7">
        <v>8187</v>
      </c>
      <c r="AC7">
        <v>8085</v>
      </c>
      <c r="AD7">
        <v>8000</v>
      </c>
      <c r="AE7">
        <v>7781</v>
      </c>
    </row>
    <row r="8" spans="1:31" x14ac:dyDescent="0.3">
      <c r="A8" t="s">
        <v>274</v>
      </c>
      <c r="B8" t="s">
        <v>134</v>
      </c>
      <c r="C8" t="s">
        <v>0</v>
      </c>
      <c r="D8" t="s">
        <v>135</v>
      </c>
      <c r="E8" t="s">
        <v>123</v>
      </c>
      <c r="F8">
        <v>681</v>
      </c>
      <c r="G8">
        <v>673</v>
      </c>
      <c r="H8">
        <v>746</v>
      </c>
      <c r="I8">
        <v>714</v>
      </c>
      <c r="J8">
        <v>703</v>
      </c>
      <c r="K8">
        <v>680</v>
      </c>
      <c r="L8">
        <v>716</v>
      </c>
      <c r="M8">
        <v>674</v>
      </c>
      <c r="N8">
        <v>674</v>
      </c>
      <c r="O8">
        <v>649</v>
      </c>
      <c r="P8">
        <v>739</v>
      </c>
      <c r="Q8">
        <v>852</v>
      </c>
      <c r="R8">
        <v>1351</v>
      </c>
      <c r="S8">
        <v>1326</v>
      </c>
      <c r="T8">
        <v>1269</v>
      </c>
      <c r="U8">
        <v>1257</v>
      </c>
      <c r="V8">
        <v>1220</v>
      </c>
      <c r="W8">
        <v>1215</v>
      </c>
      <c r="X8">
        <v>1187</v>
      </c>
      <c r="Y8">
        <v>1160</v>
      </c>
      <c r="Z8">
        <v>1281</v>
      </c>
      <c r="AA8">
        <v>1251</v>
      </c>
      <c r="AB8">
        <v>1605</v>
      </c>
      <c r="AC8">
        <v>1641</v>
      </c>
      <c r="AD8">
        <v>1587</v>
      </c>
      <c r="AE8">
        <v>1521</v>
      </c>
    </row>
    <row r="9" spans="1:31" x14ac:dyDescent="0.3">
      <c r="A9" t="s">
        <v>274</v>
      </c>
      <c r="B9" t="s">
        <v>136</v>
      </c>
      <c r="C9" t="s">
        <v>0</v>
      </c>
      <c r="D9" t="s">
        <v>137</v>
      </c>
      <c r="E9" t="s">
        <v>123</v>
      </c>
      <c r="F9">
        <v>1545</v>
      </c>
      <c r="G9">
        <v>1579</v>
      </c>
      <c r="H9">
        <v>1681</v>
      </c>
      <c r="I9">
        <v>1703</v>
      </c>
      <c r="J9">
        <v>1728</v>
      </c>
      <c r="K9">
        <v>1719</v>
      </c>
      <c r="L9">
        <v>1719</v>
      </c>
      <c r="M9">
        <v>1785</v>
      </c>
      <c r="N9">
        <v>1763</v>
      </c>
      <c r="O9">
        <v>1766</v>
      </c>
      <c r="P9">
        <v>1755</v>
      </c>
      <c r="Q9">
        <v>1712</v>
      </c>
      <c r="R9">
        <v>1809</v>
      </c>
      <c r="S9">
        <v>1861</v>
      </c>
      <c r="T9">
        <v>1887</v>
      </c>
      <c r="U9">
        <v>1779</v>
      </c>
      <c r="V9">
        <v>1764</v>
      </c>
      <c r="W9">
        <v>1766</v>
      </c>
      <c r="X9">
        <v>1794</v>
      </c>
      <c r="Y9">
        <v>1745</v>
      </c>
      <c r="Z9">
        <v>1753</v>
      </c>
      <c r="AA9">
        <v>1751</v>
      </c>
      <c r="AB9">
        <v>1810</v>
      </c>
      <c r="AC9">
        <v>1848</v>
      </c>
      <c r="AD9">
        <v>1851</v>
      </c>
      <c r="AE9">
        <v>1818</v>
      </c>
    </row>
    <row r="10" spans="1:31" x14ac:dyDescent="0.3">
      <c r="A10" t="s">
        <v>274</v>
      </c>
      <c r="B10" t="s">
        <v>138</v>
      </c>
      <c r="C10" t="s">
        <v>0</v>
      </c>
      <c r="D10" t="s">
        <v>139</v>
      </c>
      <c r="E10" t="s">
        <v>123</v>
      </c>
      <c r="F10">
        <v>1765</v>
      </c>
      <c r="G10">
        <v>1799</v>
      </c>
      <c r="H10">
        <v>1902</v>
      </c>
      <c r="I10">
        <v>1927</v>
      </c>
      <c r="J10">
        <v>1948</v>
      </c>
      <c r="K10">
        <v>1942</v>
      </c>
      <c r="L10">
        <v>1930</v>
      </c>
      <c r="M10">
        <v>2013</v>
      </c>
      <c r="N10">
        <v>1986</v>
      </c>
      <c r="O10">
        <v>1983</v>
      </c>
      <c r="P10">
        <v>1968</v>
      </c>
      <c r="Q10">
        <v>1918</v>
      </c>
      <c r="R10">
        <v>2016</v>
      </c>
      <c r="S10">
        <v>2068</v>
      </c>
      <c r="T10">
        <v>2105</v>
      </c>
      <c r="U10">
        <v>2000</v>
      </c>
      <c r="V10">
        <v>1987</v>
      </c>
      <c r="W10">
        <v>1997</v>
      </c>
      <c r="X10">
        <v>2041</v>
      </c>
      <c r="Y10">
        <v>1996</v>
      </c>
      <c r="Z10">
        <v>2007</v>
      </c>
      <c r="AA10">
        <v>2000</v>
      </c>
      <c r="AB10">
        <v>2051</v>
      </c>
      <c r="AC10">
        <v>2094</v>
      </c>
      <c r="AD10">
        <v>2100</v>
      </c>
      <c r="AE10">
        <v>2057</v>
      </c>
    </row>
    <row r="11" spans="1:31" x14ac:dyDescent="0.3">
      <c r="A11" t="s">
        <v>274</v>
      </c>
      <c r="B11" t="s">
        <v>140</v>
      </c>
      <c r="C11" t="s">
        <v>0</v>
      </c>
      <c r="D11" t="s">
        <v>141</v>
      </c>
      <c r="E11" t="s">
        <v>123</v>
      </c>
      <c r="F11">
        <v>220</v>
      </c>
      <c r="G11">
        <v>220</v>
      </c>
      <c r="H11">
        <v>221</v>
      </c>
      <c r="I11">
        <v>224</v>
      </c>
      <c r="J11">
        <v>220</v>
      </c>
      <c r="K11">
        <v>223</v>
      </c>
      <c r="L11">
        <v>211</v>
      </c>
      <c r="M11">
        <v>228</v>
      </c>
      <c r="N11">
        <v>223</v>
      </c>
      <c r="O11">
        <v>217</v>
      </c>
      <c r="P11">
        <v>213</v>
      </c>
      <c r="Q11">
        <v>206</v>
      </c>
      <c r="R11">
        <v>207</v>
      </c>
      <c r="S11">
        <v>207</v>
      </c>
      <c r="T11">
        <v>218</v>
      </c>
      <c r="U11">
        <v>221</v>
      </c>
      <c r="V11">
        <v>223</v>
      </c>
      <c r="W11">
        <v>231</v>
      </c>
      <c r="X11">
        <v>247</v>
      </c>
      <c r="Y11">
        <v>251</v>
      </c>
      <c r="Z11">
        <v>254</v>
      </c>
      <c r="AA11">
        <v>249</v>
      </c>
      <c r="AB11">
        <v>241</v>
      </c>
      <c r="AC11">
        <v>246</v>
      </c>
      <c r="AD11">
        <v>249</v>
      </c>
      <c r="AE11">
        <v>239</v>
      </c>
    </row>
    <row r="12" spans="1:31" x14ac:dyDescent="0.3">
      <c r="A12" t="s">
        <v>274</v>
      </c>
      <c r="B12" t="s">
        <v>142</v>
      </c>
      <c r="C12" t="s">
        <v>0</v>
      </c>
      <c r="D12" t="s">
        <v>143</v>
      </c>
      <c r="E12" t="s">
        <v>123</v>
      </c>
      <c r="F12">
        <v>1371</v>
      </c>
      <c r="G12">
        <v>1398</v>
      </c>
      <c r="H12">
        <v>1443</v>
      </c>
      <c r="I12">
        <v>1509</v>
      </c>
      <c r="J12">
        <v>1547</v>
      </c>
      <c r="K12">
        <v>1619</v>
      </c>
      <c r="L12">
        <v>1645</v>
      </c>
      <c r="M12">
        <v>1655</v>
      </c>
      <c r="N12">
        <v>1670</v>
      </c>
      <c r="O12">
        <v>1671</v>
      </c>
      <c r="P12">
        <v>1711</v>
      </c>
      <c r="Q12">
        <v>1709</v>
      </c>
      <c r="R12">
        <v>1735</v>
      </c>
      <c r="S12">
        <v>1778</v>
      </c>
      <c r="T12">
        <v>1775</v>
      </c>
      <c r="U12">
        <v>1703</v>
      </c>
      <c r="V12">
        <v>1698</v>
      </c>
      <c r="W12">
        <v>1659</v>
      </c>
      <c r="X12">
        <v>1625</v>
      </c>
      <c r="Y12">
        <v>1585</v>
      </c>
      <c r="Z12">
        <v>1614</v>
      </c>
      <c r="AA12">
        <v>1645</v>
      </c>
      <c r="AB12">
        <v>1673</v>
      </c>
      <c r="AC12">
        <v>1756</v>
      </c>
      <c r="AD12">
        <v>1831</v>
      </c>
      <c r="AE12">
        <v>1890</v>
      </c>
    </row>
    <row r="13" spans="1:31" x14ac:dyDescent="0.3">
      <c r="A13" t="s">
        <v>274</v>
      </c>
      <c r="B13" t="s">
        <v>144</v>
      </c>
      <c r="C13" t="s">
        <v>0</v>
      </c>
      <c r="D13" t="s">
        <v>145</v>
      </c>
      <c r="E13" t="s">
        <v>123</v>
      </c>
      <c r="F13">
        <v>2466</v>
      </c>
      <c r="G13">
        <v>2643</v>
      </c>
      <c r="H13">
        <v>2937</v>
      </c>
      <c r="I13">
        <v>3120</v>
      </c>
      <c r="J13">
        <v>3114</v>
      </c>
      <c r="K13">
        <v>3260</v>
      </c>
      <c r="L13">
        <v>3341</v>
      </c>
      <c r="M13">
        <v>3557</v>
      </c>
      <c r="N13">
        <v>3551</v>
      </c>
      <c r="O13">
        <v>3811</v>
      </c>
      <c r="P13">
        <v>3825</v>
      </c>
      <c r="Q13">
        <v>3733</v>
      </c>
      <c r="R13">
        <v>3828</v>
      </c>
      <c r="S13">
        <v>3982</v>
      </c>
      <c r="T13">
        <v>4077</v>
      </c>
      <c r="U13">
        <v>4027</v>
      </c>
      <c r="V13">
        <v>4003</v>
      </c>
      <c r="W13">
        <v>4223</v>
      </c>
      <c r="X13">
        <v>4098</v>
      </c>
      <c r="Y13">
        <v>4000</v>
      </c>
      <c r="Z13">
        <v>3997</v>
      </c>
      <c r="AA13">
        <v>3927</v>
      </c>
      <c r="AB13">
        <v>3875</v>
      </c>
      <c r="AC13">
        <v>3921</v>
      </c>
      <c r="AD13">
        <v>4028</v>
      </c>
      <c r="AE13">
        <v>3955</v>
      </c>
    </row>
    <row r="14" spans="1:31" x14ac:dyDescent="0.3">
      <c r="A14" t="s">
        <v>274</v>
      </c>
      <c r="B14" t="s">
        <v>146</v>
      </c>
      <c r="C14" t="s">
        <v>0</v>
      </c>
      <c r="D14" t="s">
        <v>147</v>
      </c>
      <c r="E14" t="s">
        <v>123</v>
      </c>
      <c r="F14">
        <v>715</v>
      </c>
      <c r="G14">
        <v>763</v>
      </c>
      <c r="H14">
        <v>869</v>
      </c>
      <c r="I14">
        <v>998</v>
      </c>
      <c r="J14">
        <v>1181</v>
      </c>
      <c r="K14">
        <v>1389</v>
      </c>
      <c r="L14">
        <v>1568</v>
      </c>
      <c r="M14">
        <v>1540</v>
      </c>
      <c r="N14">
        <v>1470</v>
      </c>
      <c r="O14">
        <v>1430</v>
      </c>
      <c r="P14">
        <v>1461</v>
      </c>
      <c r="Q14">
        <v>1352</v>
      </c>
      <c r="R14">
        <v>1267</v>
      </c>
      <c r="S14">
        <v>1135</v>
      </c>
      <c r="T14">
        <v>1014</v>
      </c>
      <c r="U14">
        <v>925</v>
      </c>
      <c r="V14">
        <v>865</v>
      </c>
      <c r="W14">
        <v>805</v>
      </c>
      <c r="X14">
        <v>711</v>
      </c>
      <c r="Y14">
        <v>664</v>
      </c>
      <c r="Z14">
        <v>652</v>
      </c>
      <c r="AA14">
        <v>628</v>
      </c>
      <c r="AB14">
        <v>616</v>
      </c>
      <c r="AC14">
        <v>610</v>
      </c>
      <c r="AD14">
        <v>598</v>
      </c>
      <c r="AE14">
        <v>617</v>
      </c>
    </row>
    <row r="15" spans="1:31" x14ac:dyDescent="0.3">
      <c r="A15" t="s">
        <v>274</v>
      </c>
      <c r="B15" t="s">
        <v>148</v>
      </c>
      <c r="C15" t="s">
        <v>0</v>
      </c>
      <c r="D15" t="s">
        <v>149</v>
      </c>
      <c r="E15" t="s">
        <v>123</v>
      </c>
      <c r="F15">
        <v>1024</v>
      </c>
      <c r="G15">
        <v>1081</v>
      </c>
      <c r="H15">
        <v>1203</v>
      </c>
      <c r="I15">
        <v>1349</v>
      </c>
      <c r="J15">
        <v>1525</v>
      </c>
      <c r="K15">
        <v>1730</v>
      </c>
      <c r="L15">
        <v>1906</v>
      </c>
      <c r="M15">
        <v>1860</v>
      </c>
      <c r="N15">
        <v>1784</v>
      </c>
      <c r="O15">
        <v>1726</v>
      </c>
      <c r="P15">
        <v>1762</v>
      </c>
      <c r="Q15">
        <v>1637</v>
      </c>
      <c r="R15">
        <v>1553</v>
      </c>
      <c r="S15">
        <v>1437</v>
      </c>
      <c r="T15">
        <v>1314</v>
      </c>
      <c r="U15">
        <v>1219</v>
      </c>
      <c r="V15">
        <v>1157</v>
      </c>
      <c r="W15">
        <v>1092</v>
      </c>
      <c r="X15">
        <v>994</v>
      </c>
      <c r="Y15">
        <v>928</v>
      </c>
      <c r="Z15">
        <v>932</v>
      </c>
      <c r="AA15">
        <v>943</v>
      </c>
      <c r="AB15">
        <v>931</v>
      </c>
      <c r="AC15">
        <v>921</v>
      </c>
      <c r="AD15">
        <v>919</v>
      </c>
      <c r="AE15">
        <v>925</v>
      </c>
    </row>
    <row r="16" spans="1:31" x14ac:dyDescent="0.3">
      <c r="A16" t="s">
        <v>274</v>
      </c>
      <c r="B16" t="s">
        <v>150</v>
      </c>
      <c r="C16" t="s">
        <v>0</v>
      </c>
      <c r="D16" t="s">
        <v>151</v>
      </c>
      <c r="E16" t="s">
        <v>123</v>
      </c>
      <c r="F16">
        <v>309</v>
      </c>
      <c r="G16">
        <v>318</v>
      </c>
      <c r="H16">
        <v>334</v>
      </c>
      <c r="I16">
        <v>351</v>
      </c>
      <c r="J16">
        <v>344</v>
      </c>
      <c r="K16">
        <v>341</v>
      </c>
      <c r="L16">
        <v>338</v>
      </c>
      <c r="M16">
        <v>320</v>
      </c>
      <c r="N16">
        <v>314</v>
      </c>
      <c r="O16">
        <v>296</v>
      </c>
      <c r="P16">
        <v>301</v>
      </c>
      <c r="Q16">
        <v>285</v>
      </c>
      <c r="R16">
        <v>286</v>
      </c>
      <c r="S16">
        <v>302</v>
      </c>
      <c r="T16">
        <v>300</v>
      </c>
      <c r="U16">
        <v>294</v>
      </c>
      <c r="V16">
        <v>292</v>
      </c>
      <c r="W16">
        <v>287</v>
      </c>
      <c r="X16">
        <v>283</v>
      </c>
      <c r="Y16">
        <v>264</v>
      </c>
      <c r="Z16">
        <v>280</v>
      </c>
      <c r="AA16">
        <v>315</v>
      </c>
      <c r="AB16">
        <v>315</v>
      </c>
      <c r="AC16">
        <v>311</v>
      </c>
      <c r="AD16">
        <v>321</v>
      </c>
      <c r="AE16">
        <v>308</v>
      </c>
    </row>
    <row r="17" spans="1:31" x14ac:dyDescent="0.3">
      <c r="A17" t="s">
        <v>274</v>
      </c>
      <c r="B17" t="s">
        <v>152</v>
      </c>
      <c r="C17" t="s">
        <v>0</v>
      </c>
      <c r="D17" t="s">
        <v>153</v>
      </c>
      <c r="E17" t="s">
        <v>123</v>
      </c>
      <c r="F17">
        <v>810</v>
      </c>
      <c r="G17">
        <v>866</v>
      </c>
      <c r="H17">
        <v>907</v>
      </c>
      <c r="I17">
        <v>919</v>
      </c>
      <c r="J17">
        <v>907</v>
      </c>
      <c r="K17">
        <v>917</v>
      </c>
      <c r="L17">
        <v>912</v>
      </c>
      <c r="M17">
        <v>884</v>
      </c>
      <c r="N17">
        <v>899</v>
      </c>
      <c r="O17">
        <v>866</v>
      </c>
      <c r="P17">
        <v>859</v>
      </c>
      <c r="Q17">
        <v>864</v>
      </c>
      <c r="R17">
        <v>891</v>
      </c>
      <c r="S17">
        <v>979</v>
      </c>
      <c r="T17">
        <v>1069</v>
      </c>
      <c r="U17">
        <v>1018</v>
      </c>
      <c r="V17">
        <v>1032</v>
      </c>
      <c r="W17">
        <v>1047</v>
      </c>
      <c r="X17">
        <v>1024</v>
      </c>
      <c r="Y17">
        <v>1036</v>
      </c>
      <c r="Z17">
        <v>1035</v>
      </c>
      <c r="AA17">
        <v>1010</v>
      </c>
      <c r="AB17">
        <v>964</v>
      </c>
      <c r="AC17">
        <v>971</v>
      </c>
      <c r="AD17">
        <v>1007</v>
      </c>
      <c r="AE17">
        <v>1032</v>
      </c>
    </row>
    <row r="18" spans="1:31" x14ac:dyDescent="0.3">
      <c r="A18" t="s">
        <v>274</v>
      </c>
      <c r="B18" t="s">
        <v>154</v>
      </c>
      <c r="C18" t="s">
        <v>0</v>
      </c>
      <c r="D18" t="s">
        <v>155</v>
      </c>
      <c r="E18" t="s">
        <v>123</v>
      </c>
      <c r="F18">
        <v>407</v>
      </c>
      <c r="G18">
        <v>411</v>
      </c>
      <c r="H18">
        <v>415</v>
      </c>
      <c r="I18">
        <v>411</v>
      </c>
      <c r="J18">
        <v>402</v>
      </c>
      <c r="K18">
        <v>389</v>
      </c>
      <c r="L18">
        <v>396</v>
      </c>
      <c r="M18">
        <v>389</v>
      </c>
      <c r="N18">
        <v>383</v>
      </c>
      <c r="O18">
        <v>384</v>
      </c>
      <c r="P18">
        <v>390</v>
      </c>
      <c r="Q18">
        <v>390</v>
      </c>
      <c r="R18">
        <v>392</v>
      </c>
      <c r="S18">
        <v>406</v>
      </c>
      <c r="T18">
        <v>414</v>
      </c>
      <c r="U18">
        <v>414</v>
      </c>
      <c r="V18">
        <v>439</v>
      </c>
      <c r="W18">
        <v>446</v>
      </c>
      <c r="X18">
        <v>512</v>
      </c>
      <c r="Y18">
        <v>500</v>
      </c>
      <c r="Z18">
        <v>484</v>
      </c>
      <c r="AA18">
        <v>480</v>
      </c>
      <c r="AB18">
        <v>539</v>
      </c>
      <c r="AC18">
        <v>632</v>
      </c>
      <c r="AD18">
        <v>643</v>
      </c>
      <c r="AE18">
        <v>647</v>
      </c>
    </row>
    <row r="19" spans="1:31" x14ac:dyDescent="0.3">
      <c r="A19" t="s">
        <v>274</v>
      </c>
      <c r="B19" t="s">
        <v>156</v>
      </c>
      <c r="C19" t="s">
        <v>0</v>
      </c>
      <c r="D19" t="s">
        <v>157</v>
      </c>
      <c r="E19" t="s">
        <v>123</v>
      </c>
      <c r="F19">
        <v>589</v>
      </c>
      <c r="G19">
        <v>611</v>
      </c>
      <c r="H19">
        <v>654</v>
      </c>
      <c r="I19">
        <v>687</v>
      </c>
      <c r="J19">
        <v>713</v>
      </c>
      <c r="K19">
        <v>737</v>
      </c>
      <c r="L19">
        <v>758</v>
      </c>
      <c r="M19">
        <v>786</v>
      </c>
      <c r="N19">
        <v>772</v>
      </c>
      <c r="O19">
        <v>751</v>
      </c>
      <c r="P19">
        <v>751</v>
      </c>
      <c r="Q19">
        <v>749</v>
      </c>
      <c r="R19">
        <v>756</v>
      </c>
      <c r="S19">
        <v>769</v>
      </c>
      <c r="T19">
        <v>733</v>
      </c>
      <c r="U19">
        <v>697</v>
      </c>
      <c r="V19">
        <v>687</v>
      </c>
      <c r="W19">
        <v>661</v>
      </c>
      <c r="X19">
        <v>616</v>
      </c>
      <c r="Y19">
        <v>579</v>
      </c>
      <c r="Z19">
        <v>563</v>
      </c>
      <c r="AA19">
        <v>561</v>
      </c>
      <c r="AB19">
        <v>567</v>
      </c>
      <c r="AC19">
        <v>584</v>
      </c>
      <c r="AD19">
        <v>600</v>
      </c>
      <c r="AE19">
        <v>616</v>
      </c>
    </row>
    <row r="20" spans="1:31" x14ac:dyDescent="0.3">
      <c r="A20" t="s">
        <v>274</v>
      </c>
      <c r="B20" t="s">
        <v>158</v>
      </c>
      <c r="C20" t="s">
        <v>0</v>
      </c>
      <c r="D20" t="s">
        <v>159</v>
      </c>
      <c r="E20" t="s">
        <v>123</v>
      </c>
      <c r="F20">
        <v>5586</v>
      </c>
      <c r="G20">
        <v>5633</v>
      </c>
      <c r="H20">
        <v>5778</v>
      </c>
      <c r="I20">
        <v>5705</v>
      </c>
      <c r="J20">
        <v>5601</v>
      </c>
      <c r="K20">
        <v>5644</v>
      </c>
      <c r="L20">
        <v>5603</v>
      </c>
      <c r="M20">
        <v>5620</v>
      </c>
      <c r="N20">
        <v>5566</v>
      </c>
      <c r="O20">
        <v>5650</v>
      </c>
      <c r="P20">
        <v>5762</v>
      </c>
      <c r="Q20">
        <v>5763</v>
      </c>
      <c r="R20">
        <v>5943</v>
      </c>
      <c r="S20">
        <v>6299</v>
      </c>
      <c r="T20">
        <v>6808</v>
      </c>
      <c r="U20">
        <v>7066</v>
      </c>
      <c r="V20">
        <v>7380</v>
      </c>
      <c r="W20">
        <v>7745</v>
      </c>
      <c r="X20">
        <v>8131</v>
      </c>
      <c r="Y20">
        <v>8678</v>
      </c>
      <c r="Z20">
        <v>9599</v>
      </c>
      <c r="AA20">
        <v>10332</v>
      </c>
      <c r="AB20">
        <v>11057</v>
      </c>
      <c r="AC20">
        <v>11534</v>
      </c>
      <c r="AD20">
        <v>11861</v>
      </c>
      <c r="AE20">
        <v>12360</v>
      </c>
    </row>
    <row r="21" spans="1:31" x14ac:dyDescent="0.3">
      <c r="A21" t="s">
        <v>274</v>
      </c>
      <c r="B21" t="s">
        <v>160</v>
      </c>
      <c r="C21" t="s">
        <v>0</v>
      </c>
      <c r="D21" t="s">
        <v>161</v>
      </c>
      <c r="E21" t="s">
        <v>123</v>
      </c>
      <c r="F21">
        <v>5867</v>
      </c>
      <c r="G21">
        <v>5921</v>
      </c>
      <c r="H21">
        <v>6078</v>
      </c>
      <c r="I21">
        <v>6004</v>
      </c>
      <c r="J21">
        <v>5905</v>
      </c>
      <c r="K21">
        <v>5951</v>
      </c>
      <c r="L21">
        <v>5906</v>
      </c>
      <c r="M21">
        <v>5937</v>
      </c>
      <c r="N21">
        <v>5890</v>
      </c>
      <c r="O21">
        <v>5969</v>
      </c>
      <c r="P21">
        <v>6091</v>
      </c>
      <c r="Q21">
        <v>6100</v>
      </c>
      <c r="R21">
        <v>6335</v>
      </c>
      <c r="S21">
        <v>6723</v>
      </c>
      <c r="T21">
        <v>7280</v>
      </c>
      <c r="U21">
        <v>7545</v>
      </c>
      <c r="V21">
        <v>7896</v>
      </c>
      <c r="W21">
        <v>8354</v>
      </c>
      <c r="X21">
        <v>8766</v>
      </c>
      <c r="Y21">
        <v>9312</v>
      </c>
      <c r="Z21">
        <v>10254</v>
      </c>
      <c r="AA21">
        <v>11006</v>
      </c>
      <c r="AB21">
        <v>11760</v>
      </c>
      <c r="AC21">
        <v>12267</v>
      </c>
      <c r="AD21">
        <v>12605</v>
      </c>
      <c r="AE21">
        <v>13138</v>
      </c>
    </row>
    <row r="22" spans="1:31" x14ac:dyDescent="0.3">
      <c r="A22" t="s">
        <v>274</v>
      </c>
      <c r="B22" t="s">
        <v>162</v>
      </c>
      <c r="C22" t="s">
        <v>0</v>
      </c>
      <c r="D22" t="s">
        <v>163</v>
      </c>
      <c r="E22" t="s">
        <v>123</v>
      </c>
      <c r="F22">
        <v>281</v>
      </c>
      <c r="G22">
        <v>288</v>
      </c>
      <c r="H22">
        <v>300</v>
      </c>
      <c r="I22">
        <v>299</v>
      </c>
      <c r="J22">
        <v>304</v>
      </c>
      <c r="K22">
        <v>307</v>
      </c>
      <c r="L22">
        <v>303</v>
      </c>
      <c r="M22">
        <v>317</v>
      </c>
      <c r="N22">
        <v>324</v>
      </c>
      <c r="O22">
        <v>319</v>
      </c>
      <c r="P22">
        <v>329</v>
      </c>
      <c r="Q22">
        <v>337</v>
      </c>
      <c r="R22">
        <v>392</v>
      </c>
      <c r="S22">
        <v>424</v>
      </c>
      <c r="T22">
        <v>472</v>
      </c>
      <c r="U22">
        <v>479</v>
      </c>
      <c r="V22">
        <v>516</v>
      </c>
      <c r="W22">
        <v>609</v>
      </c>
      <c r="X22">
        <v>635</v>
      </c>
      <c r="Y22">
        <v>634</v>
      </c>
      <c r="Z22">
        <v>655</v>
      </c>
      <c r="AA22">
        <v>674</v>
      </c>
      <c r="AB22">
        <v>703</v>
      </c>
      <c r="AC22">
        <v>733</v>
      </c>
      <c r="AD22">
        <v>744</v>
      </c>
      <c r="AE22">
        <v>778</v>
      </c>
    </row>
    <row r="23" spans="1:31" x14ac:dyDescent="0.3">
      <c r="A23" t="s">
        <v>274</v>
      </c>
      <c r="B23" t="s">
        <v>164</v>
      </c>
      <c r="C23" t="s">
        <v>0</v>
      </c>
      <c r="D23" t="s">
        <v>165</v>
      </c>
      <c r="E23" t="s">
        <v>123</v>
      </c>
      <c r="F23">
        <v>920</v>
      </c>
      <c r="G23">
        <v>930</v>
      </c>
      <c r="H23">
        <v>971</v>
      </c>
      <c r="I23">
        <v>962</v>
      </c>
      <c r="J23">
        <v>1020</v>
      </c>
      <c r="K23">
        <v>1123</v>
      </c>
      <c r="L23">
        <v>1185</v>
      </c>
      <c r="M23">
        <v>1232</v>
      </c>
      <c r="N23">
        <v>1316</v>
      </c>
      <c r="O23">
        <v>1385</v>
      </c>
      <c r="P23">
        <v>1515</v>
      </c>
      <c r="Q23">
        <v>1657</v>
      </c>
      <c r="R23">
        <v>1866</v>
      </c>
      <c r="S23">
        <v>2112</v>
      </c>
      <c r="T23">
        <v>2124</v>
      </c>
      <c r="U23">
        <v>2057</v>
      </c>
      <c r="V23">
        <v>2176</v>
      </c>
      <c r="W23">
        <v>2283</v>
      </c>
      <c r="X23">
        <v>2350</v>
      </c>
      <c r="Y23">
        <v>2369</v>
      </c>
      <c r="Z23">
        <v>2403</v>
      </c>
      <c r="AA23">
        <v>2512</v>
      </c>
      <c r="AB23">
        <v>2659</v>
      </c>
      <c r="AC23">
        <v>2913</v>
      </c>
      <c r="AD23">
        <v>3241</v>
      </c>
      <c r="AE23">
        <v>3464</v>
      </c>
    </row>
    <row r="24" spans="1:31" x14ac:dyDescent="0.3">
      <c r="A24" t="s">
        <v>274</v>
      </c>
      <c r="B24" t="s">
        <v>166</v>
      </c>
      <c r="C24" t="s">
        <v>0</v>
      </c>
      <c r="D24" t="s">
        <v>167</v>
      </c>
      <c r="E24" t="s">
        <v>123</v>
      </c>
      <c r="F24">
        <v>3667</v>
      </c>
      <c r="G24">
        <v>3587</v>
      </c>
      <c r="H24">
        <v>3697</v>
      </c>
      <c r="I24">
        <v>3724</v>
      </c>
      <c r="J24">
        <v>3725</v>
      </c>
      <c r="K24">
        <v>3762</v>
      </c>
      <c r="L24">
        <v>3760</v>
      </c>
      <c r="M24">
        <v>3734</v>
      </c>
      <c r="N24">
        <v>3709</v>
      </c>
      <c r="O24">
        <v>3610</v>
      </c>
      <c r="P24">
        <v>3574</v>
      </c>
      <c r="Q24">
        <v>3474</v>
      </c>
      <c r="R24">
        <v>3549</v>
      </c>
      <c r="S24">
        <v>3679</v>
      </c>
      <c r="T24">
        <v>3718</v>
      </c>
      <c r="U24">
        <v>3624</v>
      </c>
      <c r="V24">
        <v>3776</v>
      </c>
      <c r="W24">
        <v>4006</v>
      </c>
      <c r="X24">
        <v>4055</v>
      </c>
      <c r="Y24">
        <v>4172</v>
      </c>
      <c r="Z24">
        <v>4242</v>
      </c>
      <c r="AA24">
        <v>4490</v>
      </c>
      <c r="AB24">
        <v>4744</v>
      </c>
      <c r="AC24">
        <v>5098</v>
      </c>
      <c r="AD24">
        <v>5369</v>
      </c>
      <c r="AE24">
        <v>5519</v>
      </c>
    </row>
    <row r="25" spans="1:31" x14ac:dyDescent="0.3">
      <c r="A25" t="s">
        <v>274</v>
      </c>
      <c r="B25" t="s">
        <v>168</v>
      </c>
      <c r="C25" t="s">
        <v>0</v>
      </c>
      <c r="D25" t="s">
        <v>169</v>
      </c>
      <c r="E25" t="s">
        <v>123</v>
      </c>
      <c r="F25">
        <v>516</v>
      </c>
      <c r="G25">
        <v>501</v>
      </c>
      <c r="H25">
        <v>508</v>
      </c>
      <c r="I25">
        <v>521</v>
      </c>
      <c r="J25">
        <v>523</v>
      </c>
      <c r="K25">
        <v>529</v>
      </c>
      <c r="L25">
        <v>527</v>
      </c>
      <c r="M25">
        <v>524</v>
      </c>
      <c r="N25">
        <v>517</v>
      </c>
      <c r="O25">
        <v>510</v>
      </c>
      <c r="P25">
        <v>495</v>
      </c>
      <c r="Q25">
        <v>491</v>
      </c>
      <c r="R25">
        <v>480</v>
      </c>
      <c r="S25">
        <v>472</v>
      </c>
      <c r="T25">
        <v>476</v>
      </c>
      <c r="U25">
        <v>482</v>
      </c>
      <c r="V25">
        <v>542</v>
      </c>
      <c r="W25">
        <v>564</v>
      </c>
      <c r="X25">
        <v>563</v>
      </c>
      <c r="Y25">
        <v>582</v>
      </c>
      <c r="Z25">
        <v>587</v>
      </c>
      <c r="AA25">
        <v>635</v>
      </c>
      <c r="AB25">
        <v>652</v>
      </c>
      <c r="AC25">
        <v>690</v>
      </c>
      <c r="AD25">
        <v>741</v>
      </c>
      <c r="AE25">
        <v>782</v>
      </c>
    </row>
    <row r="26" spans="1:31" x14ac:dyDescent="0.3">
      <c r="A26" t="s">
        <v>274</v>
      </c>
      <c r="B26" t="s">
        <v>170</v>
      </c>
      <c r="C26" t="s">
        <v>0</v>
      </c>
      <c r="D26" t="s">
        <v>171</v>
      </c>
      <c r="E26" t="s">
        <v>123</v>
      </c>
      <c r="F26">
        <v>1441</v>
      </c>
      <c r="G26">
        <v>1417</v>
      </c>
      <c r="H26">
        <v>1494</v>
      </c>
      <c r="I26">
        <v>1507</v>
      </c>
      <c r="J26">
        <v>1494</v>
      </c>
      <c r="K26">
        <v>1512</v>
      </c>
      <c r="L26">
        <v>1514</v>
      </c>
      <c r="M26">
        <v>1509</v>
      </c>
      <c r="N26">
        <v>1483</v>
      </c>
      <c r="O26">
        <v>1428</v>
      </c>
      <c r="P26">
        <v>1403</v>
      </c>
      <c r="Q26">
        <v>1331</v>
      </c>
      <c r="R26">
        <v>1406</v>
      </c>
      <c r="S26">
        <v>1517</v>
      </c>
      <c r="T26">
        <v>1546</v>
      </c>
      <c r="U26">
        <v>1506</v>
      </c>
      <c r="V26">
        <v>1579</v>
      </c>
      <c r="W26">
        <v>1690</v>
      </c>
      <c r="X26">
        <v>1727</v>
      </c>
      <c r="Y26">
        <v>1802</v>
      </c>
      <c r="Z26">
        <v>1826</v>
      </c>
      <c r="AA26">
        <v>1961</v>
      </c>
      <c r="AB26">
        <v>2154</v>
      </c>
      <c r="AC26">
        <v>2371</v>
      </c>
      <c r="AD26">
        <v>2510</v>
      </c>
      <c r="AE26">
        <v>2561</v>
      </c>
    </row>
    <row r="27" spans="1:31" x14ac:dyDescent="0.3">
      <c r="A27" t="s">
        <v>274</v>
      </c>
      <c r="B27" t="s">
        <v>172</v>
      </c>
      <c r="C27" t="s">
        <v>0</v>
      </c>
      <c r="D27" t="s">
        <v>173</v>
      </c>
      <c r="E27" t="s">
        <v>123</v>
      </c>
      <c r="F27">
        <v>1710</v>
      </c>
      <c r="G27">
        <v>1669</v>
      </c>
      <c r="H27">
        <v>1695</v>
      </c>
      <c r="I27">
        <v>1696</v>
      </c>
      <c r="J27">
        <v>1708</v>
      </c>
      <c r="K27">
        <v>1721</v>
      </c>
      <c r="L27">
        <v>1719</v>
      </c>
      <c r="M27">
        <v>1701</v>
      </c>
      <c r="N27">
        <v>1709</v>
      </c>
      <c r="O27">
        <v>1672</v>
      </c>
      <c r="P27">
        <v>1676</v>
      </c>
      <c r="Q27">
        <v>1652</v>
      </c>
      <c r="R27">
        <v>1663</v>
      </c>
      <c r="S27">
        <v>1690</v>
      </c>
      <c r="T27">
        <v>1696</v>
      </c>
      <c r="U27">
        <v>1636</v>
      </c>
      <c r="V27">
        <v>1655</v>
      </c>
      <c r="W27">
        <v>1752</v>
      </c>
      <c r="X27">
        <v>1765</v>
      </c>
      <c r="Y27">
        <v>1788</v>
      </c>
      <c r="Z27">
        <v>1829</v>
      </c>
      <c r="AA27">
        <v>1894</v>
      </c>
      <c r="AB27">
        <v>1938</v>
      </c>
      <c r="AC27">
        <v>2037</v>
      </c>
      <c r="AD27">
        <v>2118</v>
      </c>
      <c r="AE27">
        <v>2176</v>
      </c>
    </row>
    <row r="28" spans="1:31" x14ac:dyDescent="0.3">
      <c r="A28" t="s">
        <v>274</v>
      </c>
      <c r="B28" t="s">
        <v>174</v>
      </c>
      <c r="C28" t="s">
        <v>0</v>
      </c>
      <c r="D28" t="s">
        <v>175</v>
      </c>
      <c r="E28" t="s">
        <v>123</v>
      </c>
      <c r="F28">
        <v>764</v>
      </c>
      <c r="G28">
        <v>813</v>
      </c>
      <c r="H28">
        <v>869</v>
      </c>
      <c r="I28">
        <v>947</v>
      </c>
      <c r="J28">
        <v>966</v>
      </c>
      <c r="K28">
        <v>1001</v>
      </c>
      <c r="L28">
        <v>1028</v>
      </c>
      <c r="M28">
        <v>1068</v>
      </c>
      <c r="N28">
        <v>1133</v>
      </c>
      <c r="O28">
        <v>1146</v>
      </c>
      <c r="P28">
        <v>1153</v>
      </c>
      <c r="Q28">
        <v>1119</v>
      </c>
      <c r="R28">
        <v>1118</v>
      </c>
      <c r="S28">
        <v>1136</v>
      </c>
      <c r="T28">
        <v>1193</v>
      </c>
      <c r="U28">
        <v>1206</v>
      </c>
      <c r="V28">
        <v>1301</v>
      </c>
      <c r="W28">
        <v>1312</v>
      </c>
      <c r="X28">
        <v>1280</v>
      </c>
      <c r="Y28">
        <v>1340</v>
      </c>
      <c r="Z28">
        <v>1353</v>
      </c>
      <c r="AA28">
        <v>1417</v>
      </c>
      <c r="AB28">
        <v>1443</v>
      </c>
      <c r="AC28">
        <v>1477</v>
      </c>
      <c r="AD28">
        <v>1598</v>
      </c>
      <c r="AE28">
        <v>1639</v>
      </c>
    </row>
    <row r="29" spans="1:31" x14ac:dyDescent="0.3">
      <c r="A29" t="s">
        <v>274</v>
      </c>
      <c r="B29" t="s">
        <v>176</v>
      </c>
      <c r="C29" t="s">
        <v>0</v>
      </c>
      <c r="D29" t="s">
        <v>177</v>
      </c>
      <c r="E29" t="s">
        <v>123</v>
      </c>
      <c r="F29">
        <v>288</v>
      </c>
      <c r="G29">
        <v>312</v>
      </c>
      <c r="H29">
        <v>340</v>
      </c>
      <c r="I29">
        <v>388</v>
      </c>
      <c r="J29">
        <v>377</v>
      </c>
      <c r="K29">
        <v>380</v>
      </c>
      <c r="L29">
        <v>383</v>
      </c>
      <c r="M29">
        <v>400</v>
      </c>
      <c r="N29">
        <v>433</v>
      </c>
      <c r="O29">
        <v>443</v>
      </c>
      <c r="P29">
        <v>437</v>
      </c>
      <c r="Q29">
        <v>401</v>
      </c>
      <c r="R29">
        <v>369</v>
      </c>
      <c r="S29">
        <v>372</v>
      </c>
      <c r="T29">
        <v>360</v>
      </c>
      <c r="U29">
        <v>350</v>
      </c>
      <c r="V29">
        <v>375</v>
      </c>
      <c r="W29">
        <v>366</v>
      </c>
      <c r="X29">
        <v>347</v>
      </c>
      <c r="Y29">
        <v>360</v>
      </c>
      <c r="Z29">
        <v>323</v>
      </c>
      <c r="AA29">
        <v>318</v>
      </c>
      <c r="AB29">
        <v>336</v>
      </c>
      <c r="AC29">
        <v>331</v>
      </c>
      <c r="AD29">
        <v>368</v>
      </c>
      <c r="AE29">
        <v>364</v>
      </c>
    </row>
    <row r="30" spans="1:31" x14ac:dyDescent="0.3">
      <c r="A30" t="s">
        <v>274</v>
      </c>
      <c r="B30" t="s">
        <v>178</v>
      </c>
      <c r="C30" t="s">
        <v>0</v>
      </c>
      <c r="D30" t="s">
        <v>179</v>
      </c>
      <c r="E30" t="s">
        <v>123</v>
      </c>
      <c r="F30">
        <v>9</v>
      </c>
      <c r="G30">
        <v>7</v>
      </c>
      <c r="H30">
        <v>6</v>
      </c>
      <c r="I30">
        <v>5</v>
      </c>
      <c r="J30">
        <v>2</v>
      </c>
      <c r="K30">
        <v>1</v>
      </c>
      <c r="L30">
        <v>8</v>
      </c>
      <c r="M30">
        <v>12</v>
      </c>
      <c r="N30">
        <v>18</v>
      </c>
      <c r="O30">
        <v>23</v>
      </c>
      <c r="P30">
        <v>31</v>
      </c>
      <c r="Q30">
        <v>46</v>
      </c>
      <c r="R30">
        <v>60</v>
      </c>
      <c r="S30">
        <v>70</v>
      </c>
      <c r="T30">
        <v>70</v>
      </c>
      <c r="U30">
        <v>66</v>
      </c>
      <c r="V30">
        <v>86</v>
      </c>
      <c r="W30">
        <v>106</v>
      </c>
      <c r="X30">
        <v>119</v>
      </c>
      <c r="Y30">
        <v>116</v>
      </c>
      <c r="Z30">
        <v>121</v>
      </c>
      <c r="AA30">
        <v>127</v>
      </c>
      <c r="AB30">
        <v>122</v>
      </c>
      <c r="AC30">
        <v>131</v>
      </c>
      <c r="AD30">
        <v>139</v>
      </c>
      <c r="AE30">
        <v>138</v>
      </c>
    </row>
    <row r="31" spans="1:31" x14ac:dyDescent="0.3">
      <c r="A31" t="s">
        <v>274</v>
      </c>
      <c r="B31" t="s">
        <v>180</v>
      </c>
      <c r="C31" t="s">
        <v>0</v>
      </c>
      <c r="D31" t="s">
        <v>181</v>
      </c>
      <c r="E31" t="s">
        <v>123</v>
      </c>
      <c r="F31">
        <v>92</v>
      </c>
      <c r="G31">
        <v>93</v>
      </c>
      <c r="H31">
        <v>94</v>
      </c>
      <c r="I31">
        <v>99</v>
      </c>
      <c r="J31">
        <v>101</v>
      </c>
      <c r="K31">
        <v>97</v>
      </c>
      <c r="L31">
        <v>99</v>
      </c>
      <c r="M31">
        <v>92</v>
      </c>
      <c r="N31">
        <v>86</v>
      </c>
      <c r="O31">
        <v>82</v>
      </c>
      <c r="P31">
        <v>81</v>
      </c>
      <c r="Q31">
        <v>82</v>
      </c>
      <c r="R31">
        <v>85</v>
      </c>
      <c r="S31">
        <v>89</v>
      </c>
      <c r="T31">
        <v>92</v>
      </c>
      <c r="U31">
        <v>82</v>
      </c>
      <c r="V31">
        <v>74</v>
      </c>
      <c r="W31">
        <v>65</v>
      </c>
      <c r="X31">
        <v>57</v>
      </c>
      <c r="Y31">
        <v>51</v>
      </c>
      <c r="Z31">
        <v>47</v>
      </c>
      <c r="AA31">
        <v>42</v>
      </c>
      <c r="AB31">
        <v>42</v>
      </c>
      <c r="AC31">
        <v>40</v>
      </c>
      <c r="AD31">
        <v>40</v>
      </c>
      <c r="AE31">
        <v>39</v>
      </c>
    </row>
    <row r="32" spans="1:31" x14ac:dyDescent="0.3">
      <c r="A32" t="s">
        <v>274</v>
      </c>
      <c r="B32" t="s">
        <v>182</v>
      </c>
      <c r="C32" t="s">
        <v>0</v>
      </c>
      <c r="D32" t="s">
        <v>183</v>
      </c>
      <c r="E32" t="s">
        <v>123</v>
      </c>
      <c r="F32">
        <v>269</v>
      </c>
      <c r="G32">
        <v>296</v>
      </c>
      <c r="H32">
        <v>317</v>
      </c>
      <c r="I32">
        <v>337</v>
      </c>
      <c r="J32">
        <v>358</v>
      </c>
      <c r="K32">
        <v>384</v>
      </c>
      <c r="L32">
        <v>393</v>
      </c>
      <c r="M32">
        <v>411</v>
      </c>
      <c r="N32">
        <v>443</v>
      </c>
      <c r="O32">
        <v>458</v>
      </c>
      <c r="P32">
        <v>477</v>
      </c>
      <c r="Q32">
        <v>476</v>
      </c>
      <c r="R32">
        <v>499</v>
      </c>
      <c r="S32">
        <v>508</v>
      </c>
      <c r="T32">
        <v>581</v>
      </c>
      <c r="U32">
        <v>624</v>
      </c>
      <c r="V32">
        <v>689</v>
      </c>
      <c r="W32">
        <v>706</v>
      </c>
      <c r="X32">
        <v>692</v>
      </c>
      <c r="Y32">
        <v>750</v>
      </c>
      <c r="Z32">
        <v>796</v>
      </c>
      <c r="AA32">
        <v>863</v>
      </c>
      <c r="AB32">
        <v>874</v>
      </c>
      <c r="AC32">
        <v>903</v>
      </c>
      <c r="AD32">
        <v>979</v>
      </c>
      <c r="AE32">
        <v>1023</v>
      </c>
    </row>
    <row r="33" spans="1:31" x14ac:dyDescent="0.3">
      <c r="A33" t="s">
        <v>274</v>
      </c>
      <c r="B33" t="s">
        <v>184</v>
      </c>
      <c r="C33" t="s">
        <v>0</v>
      </c>
      <c r="D33" t="s">
        <v>185</v>
      </c>
      <c r="E33" t="s">
        <v>123</v>
      </c>
      <c r="F33">
        <v>106</v>
      </c>
      <c r="G33">
        <v>105</v>
      </c>
      <c r="H33">
        <v>112</v>
      </c>
      <c r="I33">
        <v>118</v>
      </c>
      <c r="J33">
        <v>128</v>
      </c>
      <c r="K33">
        <v>139</v>
      </c>
      <c r="L33">
        <v>145</v>
      </c>
      <c r="M33">
        <v>153</v>
      </c>
      <c r="N33">
        <v>153</v>
      </c>
      <c r="O33">
        <v>140</v>
      </c>
      <c r="P33">
        <v>127</v>
      </c>
      <c r="Q33">
        <v>114</v>
      </c>
      <c r="R33">
        <v>105</v>
      </c>
      <c r="S33">
        <v>97</v>
      </c>
      <c r="T33">
        <v>90</v>
      </c>
      <c r="U33">
        <v>84</v>
      </c>
      <c r="V33">
        <v>77</v>
      </c>
      <c r="W33">
        <v>69</v>
      </c>
      <c r="X33">
        <v>65</v>
      </c>
      <c r="Y33">
        <v>63</v>
      </c>
      <c r="Z33">
        <v>66</v>
      </c>
      <c r="AA33">
        <v>67</v>
      </c>
      <c r="AB33">
        <v>69</v>
      </c>
      <c r="AC33">
        <v>72</v>
      </c>
      <c r="AD33">
        <v>72</v>
      </c>
      <c r="AE33">
        <v>75</v>
      </c>
    </row>
    <row r="34" spans="1:31" x14ac:dyDescent="0.3">
      <c r="A34" t="s">
        <v>274</v>
      </c>
      <c r="B34" t="s">
        <v>186</v>
      </c>
      <c r="C34" t="s">
        <v>0</v>
      </c>
      <c r="D34" t="s">
        <v>187</v>
      </c>
      <c r="E34" t="s">
        <v>123</v>
      </c>
      <c r="F34">
        <v>450</v>
      </c>
      <c r="G34">
        <v>449</v>
      </c>
      <c r="H34">
        <v>469</v>
      </c>
      <c r="I34">
        <v>494</v>
      </c>
      <c r="J34">
        <v>498</v>
      </c>
      <c r="K34">
        <v>509</v>
      </c>
      <c r="L34">
        <v>511</v>
      </c>
      <c r="M34">
        <v>511</v>
      </c>
      <c r="N34">
        <v>520</v>
      </c>
      <c r="O34">
        <v>520</v>
      </c>
      <c r="P34">
        <v>537</v>
      </c>
      <c r="Q34">
        <v>567</v>
      </c>
      <c r="R34">
        <v>594</v>
      </c>
      <c r="S34">
        <v>636</v>
      </c>
      <c r="T34">
        <v>645</v>
      </c>
      <c r="U34">
        <v>629</v>
      </c>
      <c r="V34">
        <v>651</v>
      </c>
      <c r="W34">
        <v>677</v>
      </c>
      <c r="X34">
        <v>679</v>
      </c>
      <c r="Y34">
        <v>685</v>
      </c>
      <c r="Z34">
        <v>714</v>
      </c>
      <c r="AA34">
        <v>758</v>
      </c>
      <c r="AB34">
        <v>784</v>
      </c>
      <c r="AC34">
        <v>856</v>
      </c>
      <c r="AD34">
        <v>910</v>
      </c>
      <c r="AE34">
        <v>949</v>
      </c>
    </row>
    <row r="35" spans="1:31" x14ac:dyDescent="0.3">
      <c r="A35" t="s">
        <v>274</v>
      </c>
      <c r="B35" t="s">
        <v>188</v>
      </c>
      <c r="C35" t="s">
        <v>0</v>
      </c>
      <c r="D35" t="s">
        <v>189</v>
      </c>
      <c r="E35" t="s">
        <v>123</v>
      </c>
      <c r="F35">
        <v>1500</v>
      </c>
      <c r="G35">
        <v>1534</v>
      </c>
      <c r="H35">
        <v>1627</v>
      </c>
      <c r="I35">
        <v>1673</v>
      </c>
      <c r="J35">
        <v>1693</v>
      </c>
      <c r="K35">
        <v>1835</v>
      </c>
      <c r="L35">
        <v>1990</v>
      </c>
      <c r="M35">
        <v>2082</v>
      </c>
      <c r="N35">
        <v>2004</v>
      </c>
      <c r="O35">
        <v>1948</v>
      </c>
      <c r="P35">
        <v>1899</v>
      </c>
      <c r="Q35">
        <v>1827</v>
      </c>
      <c r="R35">
        <v>1778</v>
      </c>
      <c r="S35">
        <v>1793</v>
      </c>
      <c r="T35">
        <v>1761</v>
      </c>
      <c r="U35">
        <v>1747</v>
      </c>
      <c r="V35">
        <v>1804</v>
      </c>
      <c r="W35">
        <v>1899</v>
      </c>
      <c r="X35">
        <v>1927</v>
      </c>
      <c r="Y35">
        <v>1932</v>
      </c>
      <c r="Z35">
        <v>1964</v>
      </c>
      <c r="AA35">
        <v>1999</v>
      </c>
      <c r="AB35">
        <v>1996</v>
      </c>
      <c r="AC35">
        <v>2040</v>
      </c>
      <c r="AD35">
        <v>2039</v>
      </c>
      <c r="AE35">
        <v>2208</v>
      </c>
    </row>
    <row r="36" spans="1:31" x14ac:dyDescent="0.3">
      <c r="A36" t="s">
        <v>274</v>
      </c>
      <c r="B36" t="s">
        <v>190</v>
      </c>
      <c r="C36" t="s">
        <v>0</v>
      </c>
      <c r="D36" t="s">
        <v>191</v>
      </c>
      <c r="E36" t="s">
        <v>123</v>
      </c>
      <c r="F36">
        <v>406</v>
      </c>
      <c r="G36">
        <v>404</v>
      </c>
      <c r="H36">
        <v>432</v>
      </c>
      <c r="I36">
        <v>437</v>
      </c>
      <c r="J36">
        <v>393</v>
      </c>
      <c r="K36">
        <v>399</v>
      </c>
      <c r="L36">
        <v>399</v>
      </c>
      <c r="M36">
        <v>388</v>
      </c>
      <c r="N36">
        <v>372</v>
      </c>
      <c r="O36">
        <v>351</v>
      </c>
      <c r="P36">
        <v>345</v>
      </c>
      <c r="Q36">
        <v>326</v>
      </c>
      <c r="R36">
        <v>310</v>
      </c>
      <c r="S36">
        <v>300</v>
      </c>
      <c r="T36">
        <v>291</v>
      </c>
      <c r="U36">
        <v>295</v>
      </c>
      <c r="V36">
        <v>298</v>
      </c>
      <c r="W36">
        <v>315</v>
      </c>
      <c r="X36">
        <v>312</v>
      </c>
      <c r="Y36">
        <v>310</v>
      </c>
      <c r="Z36">
        <v>308</v>
      </c>
      <c r="AA36">
        <v>310</v>
      </c>
      <c r="AB36">
        <v>310</v>
      </c>
      <c r="AC36">
        <v>301</v>
      </c>
      <c r="AD36">
        <v>278</v>
      </c>
      <c r="AE36">
        <v>325</v>
      </c>
    </row>
    <row r="37" spans="1:31" x14ac:dyDescent="0.3">
      <c r="A37" t="s">
        <v>274</v>
      </c>
      <c r="B37" t="s">
        <v>192</v>
      </c>
      <c r="C37" t="s">
        <v>0</v>
      </c>
      <c r="D37" t="s">
        <v>193</v>
      </c>
      <c r="E37" t="s">
        <v>123</v>
      </c>
      <c r="F37">
        <v>900</v>
      </c>
      <c r="G37">
        <v>940</v>
      </c>
      <c r="H37">
        <v>992</v>
      </c>
      <c r="I37">
        <v>1010</v>
      </c>
      <c r="J37">
        <v>1041</v>
      </c>
      <c r="K37">
        <v>1133</v>
      </c>
      <c r="L37">
        <v>1211</v>
      </c>
      <c r="M37">
        <v>1294</v>
      </c>
      <c r="N37">
        <v>1227</v>
      </c>
      <c r="O37">
        <v>1204</v>
      </c>
      <c r="P37">
        <v>1157</v>
      </c>
      <c r="Q37">
        <v>1108</v>
      </c>
      <c r="R37">
        <v>1078</v>
      </c>
      <c r="S37">
        <v>1114</v>
      </c>
      <c r="T37">
        <v>1127</v>
      </c>
      <c r="U37">
        <v>1124</v>
      </c>
      <c r="V37">
        <v>1177</v>
      </c>
      <c r="W37">
        <v>1212</v>
      </c>
      <c r="X37">
        <v>1223</v>
      </c>
      <c r="Y37">
        <v>1227</v>
      </c>
      <c r="Z37">
        <v>1239</v>
      </c>
      <c r="AA37">
        <v>1278</v>
      </c>
      <c r="AB37">
        <v>1304</v>
      </c>
      <c r="AC37">
        <v>1335</v>
      </c>
      <c r="AD37">
        <v>1355</v>
      </c>
      <c r="AE37">
        <v>1460</v>
      </c>
    </row>
    <row r="38" spans="1:31" x14ac:dyDescent="0.3">
      <c r="A38" t="s">
        <v>274</v>
      </c>
      <c r="B38" t="s">
        <v>194</v>
      </c>
      <c r="C38" t="s">
        <v>0</v>
      </c>
      <c r="D38" t="s">
        <v>195</v>
      </c>
      <c r="E38" t="s">
        <v>123</v>
      </c>
      <c r="F38">
        <v>194</v>
      </c>
      <c r="G38">
        <v>190</v>
      </c>
      <c r="H38">
        <v>203</v>
      </c>
      <c r="I38">
        <v>226</v>
      </c>
      <c r="J38">
        <v>259</v>
      </c>
      <c r="K38">
        <v>303</v>
      </c>
      <c r="L38">
        <v>380</v>
      </c>
      <c r="M38">
        <v>400</v>
      </c>
      <c r="N38">
        <v>405</v>
      </c>
      <c r="O38">
        <v>393</v>
      </c>
      <c r="P38">
        <v>397</v>
      </c>
      <c r="Q38">
        <v>393</v>
      </c>
      <c r="R38">
        <v>390</v>
      </c>
      <c r="S38">
        <v>379</v>
      </c>
      <c r="T38">
        <v>343</v>
      </c>
      <c r="U38">
        <v>328</v>
      </c>
      <c r="V38">
        <v>329</v>
      </c>
      <c r="W38">
        <v>372</v>
      </c>
      <c r="X38">
        <v>392</v>
      </c>
      <c r="Y38">
        <v>395</v>
      </c>
      <c r="Z38">
        <v>417</v>
      </c>
      <c r="AA38">
        <v>411</v>
      </c>
      <c r="AB38">
        <v>382</v>
      </c>
      <c r="AC38">
        <v>404</v>
      </c>
      <c r="AD38">
        <v>406</v>
      </c>
      <c r="AE38">
        <v>423</v>
      </c>
    </row>
    <row r="39" spans="1:31" x14ac:dyDescent="0.3">
      <c r="A39" t="s">
        <v>274</v>
      </c>
      <c r="B39" t="s">
        <v>196</v>
      </c>
      <c r="C39" t="s">
        <v>0</v>
      </c>
      <c r="D39" t="s">
        <v>197</v>
      </c>
      <c r="E39" t="s">
        <v>123</v>
      </c>
      <c r="F39">
        <v>640</v>
      </c>
      <c r="G39">
        <v>576</v>
      </c>
      <c r="H39">
        <v>490</v>
      </c>
      <c r="I39">
        <v>411</v>
      </c>
      <c r="J39">
        <v>346</v>
      </c>
      <c r="K39">
        <v>288</v>
      </c>
      <c r="L39">
        <v>229</v>
      </c>
      <c r="M39">
        <v>277</v>
      </c>
      <c r="N39">
        <v>222</v>
      </c>
      <c r="O39">
        <v>172</v>
      </c>
      <c r="P39">
        <v>142</v>
      </c>
      <c r="Q39">
        <v>162</v>
      </c>
      <c r="R39">
        <v>163</v>
      </c>
      <c r="S39">
        <v>173</v>
      </c>
      <c r="T39">
        <v>165</v>
      </c>
      <c r="U39">
        <v>88</v>
      </c>
      <c r="V39">
        <v>43</v>
      </c>
      <c r="W39">
        <v>57</v>
      </c>
      <c r="X39">
        <v>65</v>
      </c>
      <c r="Y39">
        <v>63</v>
      </c>
      <c r="Z39">
        <v>55</v>
      </c>
      <c r="AA39">
        <v>58</v>
      </c>
      <c r="AB39">
        <v>91</v>
      </c>
      <c r="AC39">
        <v>104</v>
      </c>
      <c r="AD39">
        <v>135</v>
      </c>
      <c r="AE39">
        <v>151</v>
      </c>
    </row>
    <row r="40" spans="1:31" x14ac:dyDescent="0.3">
      <c r="A40" t="s">
        <v>274</v>
      </c>
      <c r="B40" t="s">
        <v>198</v>
      </c>
      <c r="C40" t="s">
        <v>0</v>
      </c>
      <c r="D40" t="s">
        <v>199</v>
      </c>
      <c r="E40" t="s">
        <v>123</v>
      </c>
      <c r="F40">
        <v>273</v>
      </c>
      <c r="G40">
        <v>259</v>
      </c>
      <c r="H40">
        <v>252</v>
      </c>
      <c r="I40">
        <v>228</v>
      </c>
      <c r="J40">
        <v>209</v>
      </c>
      <c r="K40">
        <v>224</v>
      </c>
      <c r="L40">
        <v>220</v>
      </c>
      <c r="M40">
        <v>238</v>
      </c>
      <c r="N40">
        <v>286</v>
      </c>
      <c r="O40">
        <v>304</v>
      </c>
      <c r="P40">
        <v>351</v>
      </c>
      <c r="Q40">
        <v>397</v>
      </c>
      <c r="R40">
        <v>413</v>
      </c>
      <c r="S40">
        <v>500</v>
      </c>
      <c r="T40">
        <v>562</v>
      </c>
      <c r="U40">
        <v>542</v>
      </c>
      <c r="V40">
        <v>534</v>
      </c>
      <c r="W40">
        <v>529</v>
      </c>
      <c r="X40">
        <v>534</v>
      </c>
      <c r="Y40">
        <v>542</v>
      </c>
      <c r="Z40">
        <v>567</v>
      </c>
      <c r="AA40">
        <v>595</v>
      </c>
      <c r="AB40">
        <v>643</v>
      </c>
      <c r="AC40">
        <v>798</v>
      </c>
      <c r="AD40">
        <v>895</v>
      </c>
      <c r="AE40">
        <v>966</v>
      </c>
    </row>
    <row r="41" spans="1:31" x14ac:dyDescent="0.3">
      <c r="A41" t="s">
        <v>274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274</v>
      </c>
      <c r="B42" t="s">
        <v>202</v>
      </c>
      <c r="C42" t="s">
        <v>0</v>
      </c>
      <c r="D42" t="s">
        <v>203</v>
      </c>
      <c r="E42" t="s">
        <v>123</v>
      </c>
      <c r="F42">
        <v>558</v>
      </c>
      <c r="G42">
        <v>592</v>
      </c>
      <c r="H42">
        <v>640</v>
      </c>
      <c r="I42">
        <v>679</v>
      </c>
      <c r="J42">
        <v>711</v>
      </c>
      <c r="K42">
        <v>750</v>
      </c>
      <c r="L42">
        <v>774</v>
      </c>
      <c r="M42">
        <v>816</v>
      </c>
      <c r="N42">
        <v>835</v>
      </c>
      <c r="O42">
        <v>862</v>
      </c>
      <c r="P42">
        <v>879</v>
      </c>
      <c r="Q42">
        <v>862</v>
      </c>
      <c r="R42">
        <v>941</v>
      </c>
      <c r="S42">
        <v>970</v>
      </c>
      <c r="T42">
        <v>924</v>
      </c>
      <c r="U42">
        <v>925</v>
      </c>
      <c r="V42">
        <v>974</v>
      </c>
      <c r="W42">
        <v>1026</v>
      </c>
      <c r="X42">
        <v>1044</v>
      </c>
      <c r="Y42">
        <v>1063</v>
      </c>
      <c r="Z42">
        <v>1074</v>
      </c>
      <c r="AA42">
        <v>1070</v>
      </c>
      <c r="AB42">
        <v>1084</v>
      </c>
      <c r="AC42">
        <v>1125</v>
      </c>
      <c r="AD42">
        <v>1180</v>
      </c>
      <c r="AE42">
        <v>1263</v>
      </c>
    </row>
    <row r="43" spans="1:31" x14ac:dyDescent="0.3">
      <c r="A43" t="s">
        <v>274</v>
      </c>
      <c r="B43" t="s">
        <v>204</v>
      </c>
      <c r="C43" t="s">
        <v>0</v>
      </c>
      <c r="D43" t="s">
        <v>205</v>
      </c>
      <c r="E43" t="s">
        <v>123</v>
      </c>
      <c r="F43">
        <v>1111</v>
      </c>
      <c r="G43">
        <v>1203</v>
      </c>
      <c r="H43">
        <v>1271</v>
      </c>
      <c r="I43">
        <v>1338</v>
      </c>
      <c r="J43">
        <v>1395</v>
      </c>
      <c r="K43">
        <v>1420</v>
      </c>
      <c r="L43">
        <v>1364</v>
      </c>
      <c r="M43">
        <v>1444</v>
      </c>
      <c r="N43">
        <v>1537</v>
      </c>
      <c r="O43">
        <v>1610</v>
      </c>
      <c r="P43">
        <v>1687</v>
      </c>
      <c r="Q43">
        <v>1717</v>
      </c>
      <c r="R43">
        <v>1865</v>
      </c>
      <c r="S43">
        <v>2044</v>
      </c>
      <c r="T43">
        <v>2002</v>
      </c>
      <c r="U43">
        <v>1975</v>
      </c>
      <c r="V43">
        <v>2074</v>
      </c>
      <c r="W43">
        <v>2178</v>
      </c>
      <c r="X43">
        <v>2224</v>
      </c>
      <c r="Y43">
        <v>2305</v>
      </c>
      <c r="Z43">
        <v>2261</v>
      </c>
      <c r="AA43">
        <v>2291</v>
      </c>
      <c r="AB43">
        <v>2331</v>
      </c>
      <c r="AC43">
        <v>2468</v>
      </c>
      <c r="AD43">
        <v>2627</v>
      </c>
      <c r="AE43">
        <v>2779</v>
      </c>
    </row>
    <row r="44" spans="1:31" x14ac:dyDescent="0.3">
      <c r="A44" t="s">
        <v>274</v>
      </c>
      <c r="B44" t="s">
        <v>206</v>
      </c>
      <c r="C44" t="s">
        <v>0</v>
      </c>
      <c r="D44" t="s">
        <v>207</v>
      </c>
      <c r="E44" t="s">
        <v>123</v>
      </c>
      <c r="F44">
        <v>39070</v>
      </c>
      <c r="G44">
        <v>39993</v>
      </c>
      <c r="H44">
        <v>41401</v>
      </c>
      <c r="I44">
        <v>42006</v>
      </c>
      <c r="J44">
        <v>41920</v>
      </c>
      <c r="K44">
        <v>42620</v>
      </c>
      <c r="L44">
        <v>43550</v>
      </c>
      <c r="M44">
        <v>43853</v>
      </c>
      <c r="N44">
        <v>43812</v>
      </c>
      <c r="O44">
        <v>43764</v>
      </c>
      <c r="P44">
        <v>44138</v>
      </c>
      <c r="Q44">
        <v>43771</v>
      </c>
      <c r="R44">
        <v>45200</v>
      </c>
      <c r="S44">
        <v>47091</v>
      </c>
      <c r="T44">
        <v>47331</v>
      </c>
      <c r="U44">
        <v>46340</v>
      </c>
      <c r="V44">
        <v>47055</v>
      </c>
      <c r="W44">
        <v>48093</v>
      </c>
      <c r="X44">
        <v>48335</v>
      </c>
      <c r="Y44">
        <v>48547</v>
      </c>
      <c r="Z44">
        <v>49612</v>
      </c>
      <c r="AA44">
        <v>50759</v>
      </c>
      <c r="AB44">
        <v>52919</v>
      </c>
      <c r="AC44">
        <v>54743</v>
      </c>
      <c r="AD44">
        <v>56261</v>
      </c>
      <c r="AE44">
        <v>57361</v>
      </c>
    </row>
    <row r="45" spans="1:31" x14ac:dyDescent="0.3">
      <c r="A45" t="s">
        <v>274</v>
      </c>
      <c r="B45" t="s">
        <v>208</v>
      </c>
      <c r="C45" t="s">
        <v>0</v>
      </c>
      <c r="D45" t="s">
        <v>209</v>
      </c>
      <c r="E45" t="s">
        <v>123</v>
      </c>
      <c r="F45">
        <v>37881</v>
      </c>
      <c r="G45">
        <v>38909</v>
      </c>
      <c r="H45">
        <v>40333</v>
      </c>
      <c r="I45">
        <v>40964</v>
      </c>
      <c r="J45">
        <v>40880</v>
      </c>
      <c r="K45">
        <v>41567</v>
      </c>
      <c r="L45">
        <v>42425</v>
      </c>
      <c r="M45">
        <v>42651</v>
      </c>
      <c r="N45">
        <v>42539</v>
      </c>
      <c r="O45">
        <v>42435</v>
      </c>
      <c r="P45">
        <v>42750</v>
      </c>
      <c r="Q45">
        <v>42323</v>
      </c>
      <c r="R45">
        <v>43633</v>
      </c>
      <c r="S45">
        <v>45427</v>
      </c>
      <c r="T45">
        <v>45609</v>
      </c>
      <c r="U45">
        <v>44604</v>
      </c>
      <c r="V45">
        <v>45233</v>
      </c>
      <c r="W45">
        <v>46218</v>
      </c>
      <c r="X45">
        <v>46408</v>
      </c>
      <c r="Y45">
        <v>46605</v>
      </c>
      <c r="Z45">
        <v>47678</v>
      </c>
      <c r="AA45">
        <v>48890</v>
      </c>
      <c r="AB45">
        <v>51060</v>
      </c>
      <c r="AC45">
        <v>52809</v>
      </c>
      <c r="AD45">
        <v>54262</v>
      </c>
      <c r="AE45">
        <v>55436</v>
      </c>
    </row>
    <row r="46" spans="1:31" x14ac:dyDescent="0.3">
      <c r="A46" t="s">
        <v>274</v>
      </c>
      <c r="B46" t="s">
        <v>210</v>
      </c>
      <c r="C46" t="s">
        <v>0</v>
      </c>
      <c r="D46" t="s">
        <v>211</v>
      </c>
      <c r="E46" t="s">
        <v>123</v>
      </c>
      <c r="F46">
        <v>553</v>
      </c>
      <c r="G46">
        <v>611</v>
      </c>
      <c r="H46">
        <v>631</v>
      </c>
      <c r="I46">
        <v>659</v>
      </c>
      <c r="J46">
        <v>684</v>
      </c>
      <c r="K46">
        <v>670</v>
      </c>
      <c r="L46">
        <v>590</v>
      </c>
      <c r="M46">
        <v>628</v>
      </c>
      <c r="N46">
        <v>702</v>
      </c>
      <c r="O46">
        <v>748</v>
      </c>
      <c r="P46">
        <v>808</v>
      </c>
      <c r="Q46">
        <v>855</v>
      </c>
      <c r="R46">
        <v>924</v>
      </c>
      <c r="S46">
        <v>1074</v>
      </c>
      <c r="T46">
        <v>1078</v>
      </c>
      <c r="U46">
        <v>1050</v>
      </c>
      <c r="V46">
        <v>1100</v>
      </c>
      <c r="W46">
        <v>1152</v>
      </c>
      <c r="X46">
        <v>1180</v>
      </c>
      <c r="Y46">
        <v>1242</v>
      </c>
      <c r="Z46">
        <v>1187</v>
      </c>
      <c r="AA46">
        <v>1221</v>
      </c>
      <c r="AB46">
        <v>1247</v>
      </c>
      <c r="AC46">
        <v>1343</v>
      </c>
      <c r="AD46">
        <v>1447</v>
      </c>
      <c r="AE46">
        <v>1516</v>
      </c>
    </row>
    <row r="47" spans="1:31" x14ac:dyDescent="0.3">
      <c r="A47" t="s">
        <v>274</v>
      </c>
      <c r="B47" t="s">
        <v>212</v>
      </c>
      <c r="C47" t="s">
        <v>0</v>
      </c>
      <c r="D47" t="s">
        <v>213</v>
      </c>
      <c r="E47" t="s">
        <v>123</v>
      </c>
      <c r="F47">
        <v>5780</v>
      </c>
      <c r="G47">
        <v>6199</v>
      </c>
      <c r="H47">
        <v>6633</v>
      </c>
      <c r="I47">
        <v>7094</v>
      </c>
      <c r="J47">
        <v>7365</v>
      </c>
      <c r="K47">
        <v>7657</v>
      </c>
      <c r="L47">
        <v>7167</v>
      </c>
      <c r="M47">
        <v>6714</v>
      </c>
      <c r="N47">
        <v>6524</v>
      </c>
      <c r="O47">
        <v>6803</v>
      </c>
      <c r="P47">
        <v>7027</v>
      </c>
      <c r="Q47">
        <v>6985</v>
      </c>
      <c r="R47">
        <v>7338</v>
      </c>
      <c r="S47">
        <v>7555</v>
      </c>
      <c r="T47">
        <v>7599</v>
      </c>
      <c r="U47">
        <v>7549</v>
      </c>
      <c r="V47">
        <v>7752</v>
      </c>
      <c r="W47">
        <v>8083</v>
      </c>
      <c r="X47">
        <v>8306</v>
      </c>
      <c r="Y47">
        <v>8532</v>
      </c>
      <c r="Z47">
        <v>8781</v>
      </c>
      <c r="AA47">
        <v>8771</v>
      </c>
      <c r="AB47">
        <v>8978</v>
      </c>
      <c r="AC47">
        <v>9065</v>
      </c>
      <c r="AD47">
        <v>9458</v>
      </c>
      <c r="AE47">
        <v>9836</v>
      </c>
    </row>
    <row r="48" spans="1:31" x14ac:dyDescent="0.3">
      <c r="A48" t="s">
        <v>274</v>
      </c>
      <c r="B48" t="s">
        <v>214</v>
      </c>
      <c r="C48" t="s">
        <v>0</v>
      </c>
      <c r="D48" t="s">
        <v>215</v>
      </c>
      <c r="E48" t="s">
        <v>123</v>
      </c>
      <c r="F48">
        <v>7123</v>
      </c>
      <c r="G48">
        <v>7601</v>
      </c>
      <c r="H48">
        <v>8123</v>
      </c>
      <c r="I48">
        <v>8626</v>
      </c>
      <c r="J48">
        <v>8932</v>
      </c>
      <c r="K48">
        <v>9317</v>
      </c>
      <c r="L48">
        <v>8921</v>
      </c>
      <c r="M48">
        <v>8589</v>
      </c>
      <c r="N48">
        <v>8482</v>
      </c>
      <c r="O48">
        <v>8807</v>
      </c>
      <c r="P48">
        <v>9098</v>
      </c>
      <c r="Q48">
        <v>9125</v>
      </c>
      <c r="R48">
        <v>9587</v>
      </c>
      <c r="S48">
        <v>9900</v>
      </c>
      <c r="T48">
        <v>10003</v>
      </c>
      <c r="U48">
        <v>9973</v>
      </c>
      <c r="V48">
        <v>10295</v>
      </c>
      <c r="W48">
        <v>10722</v>
      </c>
      <c r="X48">
        <v>11036</v>
      </c>
      <c r="Y48">
        <v>11298</v>
      </c>
      <c r="Z48">
        <v>11624</v>
      </c>
      <c r="AA48">
        <v>11659</v>
      </c>
      <c r="AB48">
        <v>11925</v>
      </c>
      <c r="AC48">
        <v>12048</v>
      </c>
      <c r="AD48">
        <v>12531</v>
      </c>
      <c r="AE48">
        <v>12976</v>
      </c>
    </row>
    <row r="49" spans="1:31" x14ac:dyDescent="0.3">
      <c r="A49" t="s">
        <v>274</v>
      </c>
      <c r="B49" t="s">
        <v>216</v>
      </c>
      <c r="C49" t="s">
        <v>0</v>
      </c>
      <c r="D49" t="s">
        <v>217</v>
      </c>
      <c r="E49" t="s">
        <v>123</v>
      </c>
      <c r="F49">
        <v>845</v>
      </c>
      <c r="G49">
        <v>887</v>
      </c>
      <c r="H49">
        <v>943</v>
      </c>
      <c r="I49">
        <v>974</v>
      </c>
      <c r="J49">
        <v>999</v>
      </c>
      <c r="K49">
        <v>1049</v>
      </c>
      <c r="L49">
        <v>1101</v>
      </c>
      <c r="M49">
        <v>1167</v>
      </c>
      <c r="N49">
        <v>1212</v>
      </c>
      <c r="O49">
        <v>1240</v>
      </c>
      <c r="P49">
        <v>1253</v>
      </c>
      <c r="Q49">
        <v>1246</v>
      </c>
      <c r="R49">
        <v>1254</v>
      </c>
      <c r="S49">
        <v>1263</v>
      </c>
      <c r="T49">
        <v>1275</v>
      </c>
      <c r="U49">
        <v>1250</v>
      </c>
      <c r="V49">
        <v>1289</v>
      </c>
      <c r="W49">
        <v>1296</v>
      </c>
      <c r="X49">
        <v>1304</v>
      </c>
      <c r="Y49">
        <v>1297</v>
      </c>
      <c r="Z49">
        <v>1299</v>
      </c>
      <c r="AA49">
        <v>1302</v>
      </c>
      <c r="AB49">
        <v>1324</v>
      </c>
      <c r="AC49">
        <v>1298</v>
      </c>
      <c r="AD49">
        <v>1326</v>
      </c>
      <c r="AE49">
        <v>1349</v>
      </c>
    </row>
    <row r="50" spans="1:31" x14ac:dyDescent="0.3">
      <c r="A50" t="s">
        <v>274</v>
      </c>
      <c r="B50" t="s">
        <v>218</v>
      </c>
      <c r="C50" t="s">
        <v>0</v>
      </c>
      <c r="D50" t="s">
        <v>219</v>
      </c>
      <c r="E50" t="s">
        <v>123</v>
      </c>
      <c r="F50">
        <v>498</v>
      </c>
      <c r="G50">
        <v>515</v>
      </c>
      <c r="H50">
        <v>547</v>
      </c>
      <c r="I50">
        <v>558</v>
      </c>
      <c r="J50">
        <v>568</v>
      </c>
      <c r="K50">
        <v>611</v>
      </c>
      <c r="L50">
        <v>653</v>
      </c>
      <c r="M50">
        <v>708</v>
      </c>
      <c r="N50">
        <v>746</v>
      </c>
      <c r="O50">
        <v>764</v>
      </c>
      <c r="P50">
        <v>818</v>
      </c>
      <c r="Q50">
        <v>894</v>
      </c>
      <c r="R50">
        <v>995</v>
      </c>
      <c r="S50">
        <v>1082</v>
      </c>
      <c r="T50">
        <v>1129</v>
      </c>
      <c r="U50">
        <v>1174</v>
      </c>
      <c r="V50">
        <v>1254</v>
      </c>
      <c r="W50">
        <v>1343</v>
      </c>
      <c r="X50">
        <v>1426</v>
      </c>
      <c r="Y50">
        <v>1469</v>
      </c>
      <c r="Z50">
        <v>1544</v>
      </c>
      <c r="AA50">
        <v>1586</v>
      </c>
      <c r="AB50">
        <v>1623</v>
      </c>
      <c r="AC50">
        <v>1685</v>
      </c>
      <c r="AD50">
        <v>1747</v>
      </c>
      <c r="AE50">
        <v>1791</v>
      </c>
    </row>
    <row r="51" spans="1:31" x14ac:dyDescent="0.3">
      <c r="A51" t="s">
        <v>274</v>
      </c>
      <c r="B51" t="s">
        <v>220</v>
      </c>
      <c r="C51" t="s">
        <v>0</v>
      </c>
      <c r="D51" t="s">
        <v>221</v>
      </c>
      <c r="E51" t="s">
        <v>123</v>
      </c>
      <c r="F51">
        <v>375</v>
      </c>
      <c r="G51">
        <v>387</v>
      </c>
      <c r="H51">
        <v>416</v>
      </c>
      <c r="I51">
        <v>431</v>
      </c>
      <c r="J51">
        <v>443</v>
      </c>
      <c r="K51">
        <v>482</v>
      </c>
      <c r="L51">
        <v>516</v>
      </c>
      <c r="M51">
        <v>564</v>
      </c>
      <c r="N51">
        <v>597</v>
      </c>
      <c r="O51">
        <v>611</v>
      </c>
      <c r="P51">
        <v>658</v>
      </c>
      <c r="Q51">
        <v>722</v>
      </c>
      <c r="R51">
        <v>805</v>
      </c>
      <c r="S51">
        <v>873</v>
      </c>
      <c r="T51">
        <v>907</v>
      </c>
      <c r="U51">
        <v>941</v>
      </c>
      <c r="V51">
        <v>1005</v>
      </c>
      <c r="W51">
        <v>1076</v>
      </c>
      <c r="X51">
        <v>1142</v>
      </c>
      <c r="Y51">
        <v>1167</v>
      </c>
      <c r="Z51">
        <v>1224</v>
      </c>
      <c r="AA51">
        <v>1244</v>
      </c>
      <c r="AB51">
        <v>1280</v>
      </c>
      <c r="AC51">
        <v>1330</v>
      </c>
      <c r="AD51">
        <v>1363</v>
      </c>
      <c r="AE51">
        <v>1399</v>
      </c>
    </row>
    <row r="52" spans="1:31" x14ac:dyDescent="0.3">
      <c r="A52" t="s">
        <v>274</v>
      </c>
      <c r="B52" t="s">
        <v>222</v>
      </c>
      <c r="C52" t="s">
        <v>0</v>
      </c>
      <c r="D52" t="s">
        <v>223</v>
      </c>
      <c r="E52" t="s">
        <v>123</v>
      </c>
      <c r="F52">
        <v>123</v>
      </c>
      <c r="G52">
        <v>128</v>
      </c>
      <c r="H52">
        <v>131</v>
      </c>
      <c r="I52">
        <v>127</v>
      </c>
      <c r="J52">
        <v>125</v>
      </c>
      <c r="K52">
        <v>129</v>
      </c>
      <c r="L52">
        <v>137</v>
      </c>
      <c r="M52">
        <v>144</v>
      </c>
      <c r="N52">
        <v>149</v>
      </c>
      <c r="O52">
        <v>153</v>
      </c>
      <c r="P52">
        <v>160</v>
      </c>
      <c r="Q52">
        <v>172</v>
      </c>
      <c r="R52">
        <v>190</v>
      </c>
      <c r="S52">
        <v>209</v>
      </c>
      <c r="T52">
        <v>222</v>
      </c>
      <c r="U52">
        <v>233</v>
      </c>
      <c r="V52">
        <v>249</v>
      </c>
      <c r="W52">
        <v>267</v>
      </c>
      <c r="X52">
        <v>284</v>
      </c>
      <c r="Y52">
        <v>302</v>
      </c>
      <c r="Z52">
        <v>320</v>
      </c>
      <c r="AA52">
        <v>342</v>
      </c>
      <c r="AB52">
        <v>343</v>
      </c>
      <c r="AC52">
        <v>355</v>
      </c>
      <c r="AD52">
        <v>384</v>
      </c>
      <c r="AE52">
        <v>392</v>
      </c>
    </row>
    <row r="53" spans="1:31" x14ac:dyDescent="0.3">
      <c r="A53" t="s">
        <v>274</v>
      </c>
      <c r="B53" t="s">
        <v>224</v>
      </c>
      <c r="C53" t="s">
        <v>0</v>
      </c>
      <c r="D53" t="s">
        <v>225</v>
      </c>
      <c r="E53" t="s">
        <v>123</v>
      </c>
      <c r="F53">
        <v>246</v>
      </c>
      <c r="G53">
        <v>258</v>
      </c>
      <c r="H53">
        <v>291</v>
      </c>
      <c r="I53">
        <v>302</v>
      </c>
      <c r="J53">
        <v>244</v>
      </c>
      <c r="K53">
        <v>262</v>
      </c>
      <c r="L53">
        <v>278</v>
      </c>
      <c r="M53">
        <v>282</v>
      </c>
      <c r="N53">
        <v>286</v>
      </c>
      <c r="O53">
        <v>297</v>
      </c>
      <c r="P53">
        <v>303</v>
      </c>
      <c r="Q53">
        <v>313</v>
      </c>
      <c r="R53">
        <v>330</v>
      </c>
      <c r="S53">
        <v>342</v>
      </c>
      <c r="T53">
        <v>350</v>
      </c>
      <c r="U53">
        <v>347</v>
      </c>
      <c r="V53">
        <v>362</v>
      </c>
      <c r="W53">
        <v>385</v>
      </c>
      <c r="X53">
        <v>406</v>
      </c>
      <c r="Y53">
        <v>429</v>
      </c>
      <c r="Z53">
        <v>445</v>
      </c>
      <c r="AA53">
        <v>491</v>
      </c>
      <c r="AB53">
        <v>523</v>
      </c>
      <c r="AC53">
        <v>568</v>
      </c>
      <c r="AD53">
        <v>606</v>
      </c>
      <c r="AE53">
        <v>638</v>
      </c>
    </row>
    <row r="54" spans="1:31" x14ac:dyDescent="0.3">
      <c r="A54" t="s">
        <v>274</v>
      </c>
      <c r="B54" t="s">
        <v>226</v>
      </c>
      <c r="C54" t="s">
        <v>0</v>
      </c>
      <c r="D54" t="s">
        <v>227</v>
      </c>
      <c r="E54" t="s">
        <v>123</v>
      </c>
      <c r="F54">
        <v>523</v>
      </c>
      <c r="G54">
        <v>543</v>
      </c>
      <c r="H54">
        <v>597</v>
      </c>
      <c r="I54">
        <v>618</v>
      </c>
      <c r="J54">
        <v>565</v>
      </c>
      <c r="K54">
        <v>593</v>
      </c>
      <c r="L54">
        <v>618</v>
      </c>
      <c r="M54">
        <v>627</v>
      </c>
      <c r="N54">
        <v>647</v>
      </c>
      <c r="O54">
        <v>664</v>
      </c>
      <c r="P54">
        <v>678</v>
      </c>
      <c r="Q54">
        <v>697</v>
      </c>
      <c r="R54">
        <v>744</v>
      </c>
      <c r="S54">
        <v>796</v>
      </c>
      <c r="T54">
        <v>830</v>
      </c>
      <c r="U54">
        <v>833</v>
      </c>
      <c r="V54">
        <v>879</v>
      </c>
      <c r="W54">
        <v>901</v>
      </c>
      <c r="X54">
        <v>922</v>
      </c>
      <c r="Y54">
        <v>942</v>
      </c>
      <c r="Z54">
        <v>978</v>
      </c>
      <c r="AA54">
        <v>1031</v>
      </c>
      <c r="AB54">
        <v>1077</v>
      </c>
      <c r="AC54">
        <v>1117</v>
      </c>
      <c r="AD54">
        <v>1168</v>
      </c>
      <c r="AE54">
        <v>1224</v>
      </c>
    </row>
    <row r="55" spans="1:31" x14ac:dyDescent="0.3">
      <c r="A55" t="s">
        <v>274</v>
      </c>
      <c r="B55" t="s">
        <v>228</v>
      </c>
      <c r="C55" t="s">
        <v>0</v>
      </c>
      <c r="D55" t="s">
        <v>229</v>
      </c>
      <c r="E55" t="s">
        <v>123</v>
      </c>
      <c r="F55">
        <v>277</v>
      </c>
      <c r="G55">
        <v>285</v>
      </c>
      <c r="H55">
        <v>306</v>
      </c>
      <c r="I55">
        <v>316</v>
      </c>
      <c r="J55">
        <v>321</v>
      </c>
      <c r="K55">
        <v>331</v>
      </c>
      <c r="L55">
        <v>340</v>
      </c>
      <c r="M55">
        <v>345</v>
      </c>
      <c r="N55">
        <v>361</v>
      </c>
      <c r="O55">
        <v>367</v>
      </c>
      <c r="P55">
        <v>375</v>
      </c>
      <c r="Q55">
        <v>384</v>
      </c>
      <c r="R55">
        <v>414</v>
      </c>
      <c r="S55">
        <v>454</v>
      </c>
      <c r="T55">
        <v>480</v>
      </c>
      <c r="U55">
        <v>486</v>
      </c>
      <c r="V55">
        <v>517</v>
      </c>
      <c r="W55">
        <v>516</v>
      </c>
      <c r="X55">
        <v>516</v>
      </c>
      <c r="Y55">
        <v>513</v>
      </c>
      <c r="Z55">
        <v>533</v>
      </c>
      <c r="AA55">
        <v>540</v>
      </c>
      <c r="AB55">
        <v>554</v>
      </c>
      <c r="AC55">
        <v>549</v>
      </c>
      <c r="AD55">
        <v>562</v>
      </c>
      <c r="AE55">
        <v>586</v>
      </c>
    </row>
    <row r="56" spans="1:31" x14ac:dyDescent="0.3">
      <c r="A56" t="s">
        <v>274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274</v>
      </c>
      <c r="B57" t="s">
        <v>232</v>
      </c>
      <c r="C57" t="s">
        <v>0</v>
      </c>
      <c r="D57" t="s">
        <v>233</v>
      </c>
      <c r="E57" t="s">
        <v>123</v>
      </c>
      <c r="F57">
        <v>46466</v>
      </c>
      <c r="G57">
        <v>47853</v>
      </c>
      <c r="H57">
        <v>49776</v>
      </c>
      <c r="I57">
        <v>50860</v>
      </c>
      <c r="J57">
        <v>51061</v>
      </c>
      <c r="K57">
        <v>52161</v>
      </c>
      <c r="L57">
        <v>52691</v>
      </c>
      <c r="M57">
        <v>52680</v>
      </c>
      <c r="N57">
        <v>52580</v>
      </c>
      <c r="O57">
        <v>52875</v>
      </c>
      <c r="P57">
        <v>53587</v>
      </c>
      <c r="Q57">
        <v>53293</v>
      </c>
      <c r="R57">
        <v>55200</v>
      </c>
      <c r="S57">
        <v>57491</v>
      </c>
      <c r="T57">
        <v>57896</v>
      </c>
      <c r="U57">
        <v>56855</v>
      </c>
      <c r="V57">
        <v>57884</v>
      </c>
      <c r="W57">
        <v>59344</v>
      </c>
      <c r="X57">
        <v>59905</v>
      </c>
      <c r="Y57">
        <v>60387</v>
      </c>
      <c r="Z57">
        <v>61803</v>
      </c>
      <c r="AA57">
        <v>63013</v>
      </c>
      <c r="AB57">
        <v>65487</v>
      </c>
      <c r="AC57">
        <v>67589</v>
      </c>
      <c r="AD57">
        <v>69687</v>
      </c>
      <c r="AE57">
        <v>71303</v>
      </c>
    </row>
    <row r="58" spans="1:31" x14ac:dyDescent="0.3">
      <c r="A58" t="s">
        <v>274</v>
      </c>
      <c r="B58" t="s">
        <v>234</v>
      </c>
      <c r="C58" t="s">
        <v>0</v>
      </c>
      <c r="D58" t="s">
        <v>235</v>
      </c>
      <c r="E58" t="s">
        <v>123</v>
      </c>
      <c r="F58">
        <v>46466</v>
      </c>
      <c r="G58">
        <v>47853</v>
      </c>
      <c r="H58">
        <v>49776</v>
      </c>
      <c r="I58">
        <v>50860</v>
      </c>
      <c r="J58">
        <v>51061</v>
      </c>
      <c r="K58">
        <v>52161</v>
      </c>
      <c r="L58">
        <v>52691</v>
      </c>
      <c r="M58">
        <v>52680</v>
      </c>
      <c r="N58">
        <v>52580</v>
      </c>
      <c r="O58">
        <v>52875</v>
      </c>
      <c r="P58">
        <v>53587</v>
      </c>
      <c r="Q58">
        <v>53293</v>
      </c>
      <c r="R58">
        <v>55200</v>
      </c>
      <c r="S58">
        <v>57491</v>
      </c>
      <c r="T58">
        <v>57896</v>
      </c>
      <c r="U58">
        <v>56855</v>
      </c>
      <c r="V58">
        <v>57884</v>
      </c>
      <c r="W58">
        <v>59344</v>
      </c>
      <c r="X58">
        <v>59905</v>
      </c>
      <c r="Y58">
        <v>60387</v>
      </c>
      <c r="Z58">
        <v>61803</v>
      </c>
      <c r="AA58">
        <v>63013</v>
      </c>
      <c r="AB58">
        <v>65487</v>
      </c>
      <c r="AC58">
        <v>67589</v>
      </c>
      <c r="AD58">
        <v>69687</v>
      </c>
      <c r="AE58">
        <v>71303</v>
      </c>
    </row>
    <row r="59" spans="1:31" x14ac:dyDescent="0.3">
      <c r="A59" t="s">
        <v>274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275</v>
      </c>
      <c r="B2" t="s">
        <v>121</v>
      </c>
      <c r="C2" t="s">
        <v>0</v>
      </c>
      <c r="D2" t="s">
        <v>122</v>
      </c>
      <c r="E2" t="s">
        <v>123</v>
      </c>
      <c r="F2">
        <v>9650</v>
      </c>
      <c r="G2">
        <v>9476</v>
      </c>
      <c r="H2">
        <v>9845</v>
      </c>
      <c r="I2">
        <v>10018</v>
      </c>
      <c r="J2">
        <v>10231</v>
      </c>
      <c r="K2">
        <v>10725</v>
      </c>
      <c r="L2">
        <v>11055</v>
      </c>
      <c r="M2">
        <v>11318</v>
      </c>
      <c r="N2">
        <v>11543</v>
      </c>
      <c r="O2">
        <v>11794</v>
      </c>
      <c r="P2">
        <v>12218</v>
      </c>
      <c r="Q2">
        <v>12845</v>
      </c>
      <c r="R2">
        <v>14119</v>
      </c>
      <c r="S2">
        <v>14501</v>
      </c>
      <c r="T2">
        <v>14895</v>
      </c>
      <c r="U2">
        <v>14528</v>
      </c>
      <c r="V2">
        <v>14825</v>
      </c>
      <c r="W2">
        <v>15443</v>
      </c>
      <c r="X2">
        <v>15749</v>
      </c>
      <c r="Y2">
        <v>15628</v>
      </c>
      <c r="Z2">
        <v>15357</v>
      </c>
      <c r="AA2">
        <v>15448</v>
      </c>
      <c r="AB2">
        <v>15629</v>
      </c>
      <c r="AC2">
        <v>16476</v>
      </c>
      <c r="AD2">
        <v>16957</v>
      </c>
      <c r="AE2">
        <v>17128</v>
      </c>
    </row>
    <row r="3" spans="1:31" x14ac:dyDescent="0.3">
      <c r="A3" t="s">
        <v>275</v>
      </c>
      <c r="B3" t="s">
        <v>124</v>
      </c>
      <c r="C3" t="s">
        <v>0</v>
      </c>
      <c r="D3" t="s">
        <v>125</v>
      </c>
      <c r="E3" t="s">
        <v>123</v>
      </c>
      <c r="F3">
        <v>278</v>
      </c>
      <c r="G3">
        <v>265</v>
      </c>
      <c r="H3">
        <v>261</v>
      </c>
      <c r="I3">
        <v>255</v>
      </c>
      <c r="J3">
        <v>266</v>
      </c>
      <c r="K3">
        <v>301</v>
      </c>
      <c r="L3">
        <v>321</v>
      </c>
      <c r="M3">
        <v>320</v>
      </c>
      <c r="N3">
        <v>334</v>
      </c>
      <c r="O3">
        <v>337</v>
      </c>
      <c r="P3">
        <v>355</v>
      </c>
      <c r="Q3">
        <v>379</v>
      </c>
      <c r="R3">
        <v>608</v>
      </c>
      <c r="S3">
        <v>872</v>
      </c>
      <c r="T3">
        <v>959</v>
      </c>
      <c r="U3">
        <v>1024</v>
      </c>
      <c r="V3">
        <v>1206</v>
      </c>
      <c r="W3">
        <v>1355</v>
      </c>
      <c r="X3">
        <v>1390</v>
      </c>
      <c r="Y3">
        <v>1421</v>
      </c>
      <c r="Z3">
        <v>1515</v>
      </c>
      <c r="AA3">
        <v>1538</v>
      </c>
      <c r="AB3">
        <v>1635</v>
      </c>
      <c r="AC3">
        <v>1761</v>
      </c>
      <c r="AD3">
        <v>1898</v>
      </c>
      <c r="AE3">
        <v>1956</v>
      </c>
    </row>
    <row r="4" spans="1:31" x14ac:dyDescent="0.3">
      <c r="A4" t="s">
        <v>275</v>
      </c>
      <c r="B4" t="s">
        <v>126</v>
      </c>
      <c r="C4" t="s">
        <v>0</v>
      </c>
      <c r="D4" t="s">
        <v>127</v>
      </c>
      <c r="E4" t="s">
        <v>123</v>
      </c>
      <c r="F4">
        <v>12709</v>
      </c>
      <c r="G4">
        <v>12625</v>
      </c>
      <c r="H4">
        <v>12541</v>
      </c>
      <c r="I4">
        <v>12967</v>
      </c>
      <c r="J4">
        <v>13591</v>
      </c>
      <c r="K4">
        <v>13931</v>
      </c>
      <c r="L4">
        <v>14703</v>
      </c>
      <c r="M4">
        <v>14566</v>
      </c>
      <c r="N4">
        <v>14319</v>
      </c>
      <c r="O4">
        <v>14385</v>
      </c>
      <c r="P4">
        <v>14823</v>
      </c>
      <c r="Q4">
        <v>15259</v>
      </c>
      <c r="R4">
        <v>16145</v>
      </c>
      <c r="S4">
        <v>16824</v>
      </c>
      <c r="T4">
        <v>16218</v>
      </c>
      <c r="U4">
        <v>14812</v>
      </c>
      <c r="V4">
        <v>14762</v>
      </c>
      <c r="W4">
        <v>15193</v>
      </c>
      <c r="X4">
        <v>14969</v>
      </c>
      <c r="Y4">
        <v>14732</v>
      </c>
      <c r="Z4">
        <v>14484</v>
      </c>
      <c r="AA4">
        <v>14709</v>
      </c>
      <c r="AB4">
        <v>14974</v>
      </c>
      <c r="AC4">
        <v>15474</v>
      </c>
      <c r="AD4">
        <v>15987</v>
      </c>
      <c r="AE4">
        <v>16099</v>
      </c>
    </row>
    <row r="5" spans="1:31" x14ac:dyDescent="0.3">
      <c r="A5" t="s">
        <v>275</v>
      </c>
      <c r="B5" t="s">
        <v>128</v>
      </c>
      <c r="C5" t="s">
        <v>0</v>
      </c>
      <c r="D5" t="s">
        <v>129</v>
      </c>
      <c r="E5" t="s">
        <v>123</v>
      </c>
      <c r="F5">
        <v>1918</v>
      </c>
      <c r="G5">
        <v>1909</v>
      </c>
      <c r="H5">
        <v>1890</v>
      </c>
      <c r="I5">
        <v>1926</v>
      </c>
      <c r="J5">
        <v>1992</v>
      </c>
      <c r="K5">
        <v>2045</v>
      </c>
      <c r="L5">
        <v>2183</v>
      </c>
      <c r="M5">
        <v>2185</v>
      </c>
      <c r="N5">
        <v>2148</v>
      </c>
      <c r="O5">
        <v>2145</v>
      </c>
      <c r="P5">
        <v>2248</v>
      </c>
      <c r="Q5">
        <v>2316</v>
      </c>
      <c r="R5">
        <v>2482</v>
      </c>
      <c r="S5">
        <v>2588</v>
      </c>
      <c r="T5">
        <v>2469</v>
      </c>
      <c r="U5">
        <v>2237</v>
      </c>
      <c r="V5">
        <v>2246</v>
      </c>
      <c r="W5">
        <v>2397</v>
      </c>
      <c r="X5">
        <v>2418</v>
      </c>
      <c r="Y5">
        <v>2466</v>
      </c>
      <c r="Z5">
        <v>2458</v>
      </c>
      <c r="AA5">
        <v>2604</v>
      </c>
      <c r="AB5">
        <v>2615</v>
      </c>
      <c r="AC5">
        <v>2667</v>
      </c>
      <c r="AD5">
        <v>2756</v>
      </c>
      <c r="AE5">
        <v>2810</v>
      </c>
    </row>
    <row r="6" spans="1:31" x14ac:dyDescent="0.3">
      <c r="A6" t="s">
        <v>275</v>
      </c>
      <c r="B6" t="s">
        <v>130</v>
      </c>
      <c r="C6" t="s">
        <v>0</v>
      </c>
      <c r="D6" t="s">
        <v>131</v>
      </c>
      <c r="E6" t="s">
        <v>123</v>
      </c>
      <c r="F6">
        <v>297</v>
      </c>
      <c r="G6">
        <v>275</v>
      </c>
      <c r="H6">
        <v>259</v>
      </c>
      <c r="I6">
        <v>258</v>
      </c>
      <c r="J6">
        <v>255</v>
      </c>
      <c r="K6">
        <v>245</v>
      </c>
      <c r="L6">
        <v>244</v>
      </c>
      <c r="M6">
        <v>223</v>
      </c>
      <c r="N6">
        <v>205</v>
      </c>
      <c r="O6">
        <v>188</v>
      </c>
      <c r="P6">
        <v>178</v>
      </c>
      <c r="Q6">
        <v>174</v>
      </c>
      <c r="R6">
        <v>166</v>
      </c>
      <c r="S6">
        <v>160</v>
      </c>
      <c r="T6">
        <v>133</v>
      </c>
      <c r="U6">
        <v>108</v>
      </c>
      <c r="V6">
        <v>100</v>
      </c>
      <c r="W6">
        <v>111</v>
      </c>
      <c r="X6">
        <v>101</v>
      </c>
      <c r="Y6">
        <v>97</v>
      </c>
      <c r="Z6">
        <v>96</v>
      </c>
      <c r="AA6">
        <v>89</v>
      </c>
      <c r="AB6">
        <v>90</v>
      </c>
      <c r="AC6">
        <v>94</v>
      </c>
      <c r="AD6">
        <v>96</v>
      </c>
      <c r="AE6">
        <v>90</v>
      </c>
    </row>
    <row r="7" spans="1:31" x14ac:dyDescent="0.3">
      <c r="A7" t="s">
        <v>275</v>
      </c>
      <c r="B7" t="s">
        <v>132</v>
      </c>
      <c r="C7" t="s">
        <v>0</v>
      </c>
      <c r="D7" t="s">
        <v>133</v>
      </c>
      <c r="E7" t="s">
        <v>123</v>
      </c>
      <c r="F7">
        <v>3868</v>
      </c>
      <c r="G7">
        <v>3839</v>
      </c>
      <c r="H7">
        <v>3792</v>
      </c>
      <c r="I7">
        <v>3898</v>
      </c>
      <c r="J7">
        <v>4082</v>
      </c>
      <c r="K7">
        <v>4202</v>
      </c>
      <c r="L7">
        <v>4440</v>
      </c>
      <c r="M7">
        <v>4340</v>
      </c>
      <c r="N7">
        <v>4208</v>
      </c>
      <c r="O7">
        <v>4219</v>
      </c>
      <c r="P7">
        <v>4352</v>
      </c>
      <c r="Q7">
        <v>4408</v>
      </c>
      <c r="R7">
        <v>4657</v>
      </c>
      <c r="S7">
        <v>4787</v>
      </c>
      <c r="T7">
        <v>4495</v>
      </c>
      <c r="U7">
        <v>4017</v>
      </c>
      <c r="V7">
        <v>3930</v>
      </c>
      <c r="W7">
        <v>4001</v>
      </c>
      <c r="X7">
        <v>3908</v>
      </c>
      <c r="Y7">
        <v>3742</v>
      </c>
      <c r="Z7">
        <v>3585</v>
      </c>
      <c r="AA7">
        <v>3661</v>
      </c>
      <c r="AB7">
        <v>3675</v>
      </c>
      <c r="AC7">
        <v>3776</v>
      </c>
      <c r="AD7">
        <v>3857</v>
      </c>
      <c r="AE7">
        <v>3810</v>
      </c>
    </row>
    <row r="8" spans="1:31" x14ac:dyDescent="0.3">
      <c r="A8" t="s">
        <v>275</v>
      </c>
      <c r="B8" t="s">
        <v>134</v>
      </c>
      <c r="C8" t="s">
        <v>0</v>
      </c>
      <c r="D8" t="s">
        <v>135</v>
      </c>
      <c r="E8" t="s">
        <v>123</v>
      </c>
      <c r="F8">
        <v>473</v>
      </c>
      <c r="G8">
        <v>455</v>
      </c>
      <c r="H8">
        <v>457</v>
      </c>
      <c r="I8">
        <v>447</v>
      </c>
      <c r="J8">
        <v>468</v>
      </c>
      <c r="K8">
        <v>484</v>
      </c>
      <c r="L8">
        <v>486</v>
      </c>
      <c r="M8">
        <v>480</v>
      </c>
      <c r="N8">
        <v>490</v>
      </c>
      <c r="O8">
        <v>509</v>
      </c>
      <c r="P8">
        <v>565</v>
      </c>
      <c r="Q8">
        <v>619</v>
      </c>
      <c r="R8">
        <v>794</v>
      </c>
      <c r="S8">
        <v>862</v>
      </c>
      <c r="T8">
        <v>939</v>
      </c>
      <c r="U8">
        <v>933</v>
      </c>
      <c r="V8">
        <v>959</v>
      </c>
      <c r="W8">
        <v>1010</v>
      </c>
      <c r="X8">
        <v>1038</v>
      </c>
      <c r="Y8">
        <v>1055</v>
      </c>
      <c r="Z8">
        <v>1080</v>
      </c>
      <c r="AA8">
        <v>1037</v>
      </c>
      <c r="AB8">
        <v>1070</v>
      </c>
      <c r="AC8">
        <v>1110</v>
      </c>
      <c r="AD8">
        <v>1144</v>
      </c>
      <c r="AE8">
        <v>1111</v>
      </c>
    </row>
    <row r="9" spans="1:31" x14ac:dyDescent="0.3">
      <c r="A9" t="s">
        <v>275</v>
      </c>
      <c r="B9" t="s">
        <v>136</v>
      </c>
      <c r="C9" t="s">
        <v>0</v>
      </c>
      <c r="D9" t="s">
        <v>137</v>
      </c>
      <c r="E9" t="s">
        <v>123</v>
      </c>
      <c r="F9">
        <v>929</v>
      </c>
      <c r="G9">
        <v>912</v>
      </c>
      <c r="H9">
        <v>912</v>
      </c>
      <c r="I9">
        <v>950</v>
      </c>
      <c r="J9">
        <v>989</v>
      </c>
      <c r="K9">
        <v>1002</v>
      </c>
      <c r="L9">
        <v>1050</v>
      </c>
      <c r="M9">
        <v>1056</v>
      </c>
      <c r="N9">
        <v>1035</v>
      </c>
      <c r="O9">
        <v>1062</v>
      </c>
      <c r="P9">
        <v>1063</v>
      </c>
      <c r="Q9">
        <v>1102</v>
      </c>
      <c r="R9">
        <v>1132</v>
      </c>
      <c r="S9">
        <v>1188</v>
      </c>
      <c r="T9">
        <v>1242</v>
      </c>
      <c r="U9">
        <v>1150</v>
      </c>
      <c r="V9">
        <v>1143</v>
      </c>
      <c r="W9">
        <v>1189</v>
      </c>
      <c r="X9">
        <v>1184</v>
      </c>
      <c r="Y9">
        <v>1171</v>
      </c>
      <c r="Z9">
        <v>1178</v>
      </c>
      <c r="AA9">
        <v>1212</v>
      </c>
      <c r="AB9">
        <v>1351</v>
      </c>
      <c r="AC9">
        <v>1422</v>
      </c>
      <c r="AD9">
        <v>1493</v>
      </c>
      <c r="AE9">
        <v>1490</v>
      </c>
    </row>
    <row r="10" spans="1:31" x14ac:dyDescent="0.3">
      <c r="A10" t="s">
        <v>275</v>
      </c>
      <c r="B10" t="s">
        <v>138</v>
      </c>
      <c r="C10" t="s">
        <v>0</v>
      </c>
      <c r="D10" t="s">
        <v>139</v>
      </c>
      <c r="E10" t="s">
        <v>123</v>
      </c>
      <c r="F10">
        <v>1184</v>
      </c>
      <c r="G10">
        <v>1157</v>
      </c>
      <c r="H10">
        <v>1147</v>
      </c>
      <c r="I10">
        <v>1188</v>
      </c>
      <c r="J10">
        <v>1235</v>
      </c>
      <c r="K10">
        <v>1252</v>
      </c>
      <c r="L10">
        <v>1306</v>
      </c>
      <c r="M10">
        <v>1313</v>
      </c>
      <c r="N10">
        <v>1287</v>
      </c>
      <c r="O10">
        <v>1317</v>
      </c>
      <c r="P10">
        <v>1317</v>
      </c>
      <c r="Q10">
        <v>1361</v>
      </c>
      <c r="R10">
        <v>1397</v>
      </c>
      <c r="S10">
        <v>1457</v>
      </c>
      <c r="T10">
        <v>1501</v>
      </c>
      <c r="U10">
        <v>1384</v>
      </c>
      <c r="V10">
        <v>1372</v>
      </c>
      <c r="W10">
        <v>1442</v>
      </c>
      <c r="X10">
        <v>1495</v>
      </c>
      <c r="Y10">
        <v>1489</v>
      </c>
      <c r="Z10">
        <v>1496</v>
      </c>
      <c r="AA10">
        <v>1531</v>
      </c>
      <c r="AB10">
        <v>1678</v>
      </c>
      <c r="AC10">
        <v>1765</v>
      </c>
      <c r="AD10">
        <v>1855</v>
      </c>
      <c r="AE10">
        <v>1869</v>
      </c>
    </row>
    <row r="11" spans="1:31" x14ac:dyDescent="0.3">
      <c r="A11" t="s">
        <v>275</v>
      </c>
      <c r="B11" t="s">
        <v>140</v>
      </c>
      <c r="C11" t="s">
        <v>0</v>
      </c>
      <c r="D11" t="s">
        <v>141</v>
      </c>
      <c r="E11" t="s">
        <v>123</v>
      </c>
      <c r="F11">
        <v>255</v>
      </c>
      <c r="G11">
        <v>245</v>
      </c>
      <c r="H11">
        <v>235</v>
      </c>
      <c r="I11">
        <v>238</v>
      </c>
      <c r="J11">
        <v>246</v>
      </c>
      <c r="K11">
        <v>250</v>
      </c>
      <c r="L11">
        <v>256</v>
      </c>
      <c r="M11">
        <v>257</v>
      </c>
      <c r="N11">
        <v>252</v>
      </c>
      <c r="O11">
        <v>255</v>
      </c>
      <c r="P11">
        <v>254</v>
      </c>
      <c r="Q11">
        <v>259</v>
      </c>
      <c r="R11">
        <v>265</v>
      </c>
      <c r="S11">
        <v>269</v>
      </c>
      <c r="T11">
        <v>259</v>
      </c>
      <c r="U11">
        <v>234</v>
      </c>
      <c r="V11">
        <v>229</v>
      </c>
      <c r="W11">
        <v>253</v>
      </c>
      <c r="X11">
        <v>311</v>
      </c>
      <c r="Y11">
        <v>318</v>
      </c>
      <c r="Z11">
        <v>318</v>
      </c>
      <c r="AA11">
        <v>319</v>
      </c>
      <c r="AB11">
        <v>327</v>
      </c>
      <c r="AC11">
        <v>343</v>
      </c>
      <c r="AD11">
        <v>362</v>
      </c>
      <c r="AE11">
        <v>379</v>
      </c>
    </row>
    <row r="12" spans="1:31" x14ac:dyDescent="0.3">
      <c r="A12" t="s">
        <v>275</v>
      </c>
      <c r="B12" t="s">
        <v>142</v>
      </c>
      <c r="C12" t="s">
        <v>0</v>
      </c>
      <c r="D12" t="s">
        <v>143</v>
      </c>
      <c r="E12" t="s">
        <v>123</v>
      </c>
      <c r="F12">
        <v>826</v>
      </c>
      <c r="G12">
        <v>801</v>
      </c>
      <c r="H12">
        <v>794</v>
      </c>
      <c r="I12">
        <v>846</v>
      </c>
      <c r="J12">
        <v>912</v>
      </c>
      <c r="K12">
        <v>914</v>
      </c>
      <c r="L12">
        <v>960</v>
      </c>
      <c r="M12">
        <v>941</v>
      </c>
      <c r="N12">
        <v>931</v>
      </c>
      <c r="O12">
        <v>947</v>
      </c>
      <c r="P12">
        <v>995</v>
      </c>
      <c r="Q12">
        <v>1048</v>
      </c>
      <c r="R12">
        <v>1077</v>
      </c>
      <c r="S12">
        <v>1118</v>
      </c>
      <c r="T12">
        <v>1075</v>
      </c>
      <c r="U12">
        <v>988</v>
      </c>
      <c r="V12">
        <v>997</v>
      </c>
      <c r="W12">
        <v>1038</v>
      </c>
      <c r="X12">
        <v>1027</v>
      </c>
      <c r="Y12">
        <v>1001</v>
      </c>
      <c r="Z12">
        <v>988</v>
      </c>
      <c r="AA12">
        <v>1003</v>
      </c>
      <c r="AB12">
        <v>1009</v>
      </c>
      <c r="AC12">
        <v>1048</v>
      </c>
      <c r="AD12">
        <v>1090</v>
      </c>
      <c r="AE12">
        <v>1128</v>
      </c>
    </row>
    <row r="13" spans="1:31" x14ac:dyDescent="0.3">
      <c r="A13" t="s">
        <v>275</v>
      </c>
      <c r="B13" t="s">
        <v>144</v>
      </c>
      <c r="C13" t="s">
        <v>0</v>
      </c>
      <c r="D13" t="s">
        <v>145</v>
      </c>
      <c r="E13" t="s">
        <v>123</v>
      </c>
      <c r="F13">
        <v>1270</v>
      </c>
      <c r="G13">
        <v>1324</v>
      </c>
      <c r="H13">
        <v>1363</v>
      </c>
      <c r="I13">
        <v>1427</v>
      </c>
      <c r="J13">
        <v>1504</v>
      </c>
      <c r="K13">
        <v>1543</v>
      </c>
      <c r="L13">
        <v>1641</v>
      </c>
      <c r="M13">
        <v>1757</v>
      </c>
      <c r="N13">
        <v>1808</v>
      </c>
      <c r="O13">
        <v>1860</v>
      </c>
      <c r="P13">
        <v>1915</v>
      </c>
      <c r="Q13">
        <v>1969</v>
      </c>
      <c r="R13">
        <v>2079</v>
      </c>
      <c r="S13">
        <v>2256</v>
      </c>
      <c r="T13">
        <v>2223</v>
      </c>
      <c r="U13">
        <v>2053</v>
      </c>
      <c r="V13">
        <v>2139</v>
      </c>
      <c r="W13">
        <v>2291</v>
      </c>
      <c r="X13">
        <v>2266</v>
      </c>
      <c r="Y13">
        <v>2250</v>
      </c>
      <c r="Z13">
        <v>2212</v>
      </c>
      <c r="AA13">
        <v>2208</v>
      </c>
      <c r="AB13">
        <v>2233</v>
      </c>
      <c r="AC13">
        <v>2304</v>
      </c>
      <c r="AD13">
        <v>2390</v>
      </c>
      <c r="AE13">
        <v>2394</v>
      </c>
    </row>
    <row r="14" spans="1:31" x14ac:dyDescent="0.3">
      <c r="A14" t="s">
        <v>275</v>
      </c>
      <c r="B14" t="s">
        <v>146</v>
      </c>
      <c r="C14" t="s">
        <v>0</v>
      </c>
      <c r="D14" t="s">
        <v>147</v>
      </c>
      <c r="E14" t="s">
        <v>123</v>
      </c>
      <c r="F14">
        <v>397</v>
      </c>
      <c r="G14">
        <v>466</v>
      </c>
      <c r="H14">
        <v>467</v>
      </c>
      <c r="I14">
        <v>531</v>
      </c>
      <c r="J14">
        <v>622</v>
      </c>
      <c r="K14">
        <v>682</v>
      </c>
      <c r="L14">
        <v>779</v>
      </c>
      <c r="M14">
        <v>751</v>
      </c>
      <c r="N14">
        <v>732</v>
      </c>
      <c r="O14">
        <v>729</v>
      </c>
      <c r="P14">
        <v>750</v>
      </c>
      <c r="Q14">
        <v>819</v>
      </c>
      <c r="R14">
        <v>838</v>
      </c>
      <c r="S14">
        <v>867</v>
      </c>
      <c r="T14">
        <v>790</v>
      </c>
      <c r="U14">
        <v>746</v>
      </c>
      <c r="V14">
        <v>730</v>
      </c>
      <c r="W14">
        <v>543</v>
      </c>
      <c r="X14">
        <v>463</v>
      </c>
      <c r="Y14">
        <v>441</v>
      </c>
      <c r="Z14">
        <v>421</v>
      </c>
      <c r="AA14">
        <v>403</v>
      </c>
      <c r="AB14">
        <v>395</v>
      </c>
      <c r="AC14">
        <v>394</v>
      </c>
      <c r="AD14">
        <v>402</v>
      </c>
      <c r="AE14">
        <v>434</v>
      </c>
    </row>
    <row r="15" spans="1:31" x14ac:dyDescent="0.3">
      <c r="A15" t="s">
        <v>275</v>
      </c>
      <c r="B15" t="s">
        <v>148</v>
      </c>
      <c r="C15" t="s">
        <v>0</v>
      </c>
      <c r="D15" t="s">
        <v>149</v>
      </c>
      <c r="E15" t="s">
        <v>123</v>
      </c>
      <c r="F15">
        <v>596</v>
      </c>
      <c r="G15">
        <v>667</v>
      </c>
      <c r="H15">
        <v>671</v>
      </c>
      <c r="I15">
        <v>742</v>
      </c>
      <c r="J15">
        <v>847</v>
      </c>
      <c r="K15">
        <v>909</v>
      </c>
      <c r="L15">
        <v>1023</v>
      </c>
      <c r="M15">
        <v>995</v>
      </c>
      <c r="N15">
        <v>971</v>
      </c>
      <c r="O15">
        <v>971</v>
      </c>
      <c r="P15">
        <v>988</v>
      </c>
      <c r="Q15">
        <v>1070</v>
      </c>
      <c r="R15">
        <v>1129</v>
      </c>
      <c r="S15">
        <v>1185</v>
      </c>
      <c r="T15">
        <v>1101</v>
      </c>
      <c r="U15">
        <v>1039</v>
      </c>
      <c r="V15">
        <v>1021</v>
      </c>
      <c r="W15">
        <v>845</v>
      </c>
      <c r="X15">
        <v>758</v>
      </c>
      <c r="Y15">
        <v>737</v>
      </c>
      <c r="Z15">
        <v>740</v>
      </c>
      <c r="AA15">
        <v>722</v>
      </c>
      <c r="AB15">
        <v>708</v>
      </c>
      <c r="AC15">
        <v>737</v>
      </c>
      <c r="AD15">
        <v>796</v>
      </c>
      <c r="AE15">
        <v>851</v>
      </c>
    </row>
    <row r="16" spans="1:31" x14ac:dyDescent="0.3">
      <c r="A16" t="s">
        <v>275</v>
      </c>
      <c r="B16" t="s">
        <v>150</v>
      </c>
      <c r="C16" t="s">
        <v>0</v>
      </c>
      <c r="D16" t="s">
        <v>151</v>
      </c>
      <c r="E16" t="s">
        <v>123</v>
      </c>
      <c r="F16">
        <v>199</v>
      </c>
      <c r="G16">
        <v>201</v>
      </c>
      <c r="H16">
        <v>204</v>
      </c>
      <c r="I16">
        <v>211</v>
      </c>
      <c r="J16">
        <v>225</v>
      </c>
      <c r="K16">
        <v>227</v>
      </c>
      <c r="L16">
        <v>244</v>
      </c>
      <c r="M16">
        <v>244</v>
      </c>
      <c r="N16">
        <v>239</v>
      </c>
      <c r="O16">
        <v>242</v>
      </c>
      <c r="P16">
        <v>238</v>
      </c>
      <c r="Q16">
        <v>251</v>
      </c>
      <c r="R16">
        <v>291</v>
      </c>
      <c r="S16">
        <v>318</v>
      </c>
      <c r="T16">
        <v>311</v>
      </c>
      <c r="U16">
        <v>293</v>
      </c>
      <c r="V16">
        <v>291</v>
      </c>
      <c r="W16">
        <v>302</v>
      </c>
      <c r="X16">
        <v>295</v>
      </c>
      <c r="Y16">
        <v>296</v>
      </c>
      <c r="Z16">
        <v>319</v>
      </c>
      <c r="AA16">
        <v>319</v>
      </c>
      <c r="AB16">
        <v>313</v>
      </c>
      <c r="AC16">
        <v>343</v>
      </c>
      <c r="AD16">
        <v>394</v>
      </c>
      <c r="AE16">
        <v>417</v>
      </c>
    </row>
    <row r="17" spans="1:31" x14ac:dyDescent="0.3">
      <c r="A17" t="s">
        <v>275</v>
      </c>
      <c r="B17" t="s">
        <v>152</v>
      </c>
      <c r="C17" t="s">
        <v>0</v>
      </c>
      <c r="D17" t="s">
        <v>153</v>
      </c>
      <c r="E17" t="s">
        <v>123</v>
      </c>
      <c r="F17">
        <v>810</v>
      </c>
      <c r="G17">
        <v>787</v>
      </c>
      <c r="H17">
        <v>793</v>
      </c>
      <c r="I17">
        <v>823</v>
      </c>
      <c r="J17">
        <v>847</v>
      </c>
      <c r="K17">
        <v>855</v>
      </c>
      <c r="L17">
        <v>901</v>
      </c>
      <c r="M17">
        <v>892</v>
      </c>
      <c r="N17">
        <v>894</v>
      </c>
      <c r="O17">
        <v>876</v>
      </c>
      <c r="P17">
        <v>893</v>
      </c>
      <c r="Q17">
        <v>911</v>
      </c>
      <c r="R17">
        <v>949</v>
      </c>
      <c r="S17">
        <v>968</v>
      </c>
      <c r="T17">
        <v>929</v>
      </c>
      <c r="U17">
        <v>849</v>
      </c>
      <c r="V17">
        <v>851</v>
      </c>
      <c r="W17">
        <v>892</v>
      </c>
      <c r="X17">
        <v>875</v>
      </c>
      <c r="Y17">
        <v>875</v>
      </c>
      <c r="Z17">
        <v>868</v>
      </c>
      <c r="AA17">
        <v>881</v>
      </c>
      <c r="AB17">
        <v>934</v>
      </c>
      <c r="AC17">
        <v>996</v>
      </c>
      <c r="AD17">
        <v>1050</v>
      </c>
      <c r="AE17">
        <v>1069</v>
      </c>
    </row>
    <row r="18" spans="1:31" x14ac:dyDescent="0.3">
      <c r="A18" t="s">
        <v>275</v>
      </c>
      <c r="B18" t="s">
        <v>154</v>
      </c>
      <c r="C18" t="s">
        <v>0</v>
      </c>
      <c r="D18" t="s">
        <v>155</v>
      </c>
      <c r="E18" t="s">
        <v>123</v>
      </c>
      <c r="F18">
        <v>993</v>
      </c>
      <c r="G18">
        <v>954</v>
      </c>
      <c r="H18">
        <v>915</v>
      </c>
      <c r="I18">
        <v>922</v>
      </c>
      <c r="J18">
        <v>933</v>
      </c>
      <c r="K18">
        <v>930</v>
      </c>
      <c r="L18">
        <v>951</v>
      </c>
      <c r="M18">
        <v>911</v>
      </c>
      <c r="N18">
        <v>869</v>
      </c>
      <c r="O18">
        <v>855</v>
      </c>
      <c r="P18">
        <v>863</v>
      </c>
      <c r="Q18">
        <v>886</v>
      </c>
      <c r="R18">
        <v>907</v>
      </c>
      <c r="S18">
        <v>922</v>
      </c>
      <c r="T18">
        <v>863</v>
      </c>
      <c r="U18">
        <v>766</v>
      </c>
      <c r="V18">
        <v>723</v>
      </c>
      <c r="W18">
        <v>732</v>
      </c>
      <c r="X18">
        <v>671</v>
      </c>
      <c r="Y18">
        <v>627</v>
      </c>
      <c r="Z18">
        <v>586</v>
      </c>
      <c r="AA18">
        <v>567</v>
      </c>
      <c r="AB18">
        <v>567</v>
      </c>
      <c r="AC18">
        <v>577</v>
      </c>
      <c r="AD18">
        <v>559</v>
      </c>
      <c r="AE18">
        <v>558</v>
      </c>
    </row>
    <row r="19" spans="1:31" x14ac:dyDescent="0.3">
      <c r="A19" t="s">
        <v>275</v>
      </c>
      <c r="B19" t="s">
        <v>156</v>
      </c>
      <c r="C19" t="s">
        <v>0</v>
      </c>
      <c r="D19" t="s">
        <v>157</v>
      </c>
      <c r="E19" t="s">
        <v>123</v>
      </c>
      <c r="F19">
        <v>474</v>
      </c>
      <c r="G19">
        <v>457</v>
      </c>
      <c r="H19">
        <v>460</v>
      </c>
      <c r="I19">
        <v>490</v>
      </c>
      <c r="J19">
        <v>516</v>
      </c>
      <c r="K19">
        <v>552</v>
      </c>
      <c r="L19">
        <v>568</v>
      </c>
      <c r="M19">
        <v>529</v>
      </c>
      <c r="N19">
        <v>508</v>
      </c>
      <c r="O19">
        <v>498</v>
      </c>
      <c r="P19">
        <v>509</v>
      </c>
      <c r="Q19">
        <v>497</v>
      </c>
      <c r="R19">
        <v>508</v>
      </c>
      <c r="S19">
        <v>521</v>
      </c>
      <c r="T19">
        <v>490</v>
      </c>
      <c r="U19">
        <v>438</v>
      </c>
      <c r="V19">
        <v>424</v>
      </c>
      <c r="W19">
        <v>434</v>
      </c>
      <c r="X19">
        <v>412</v>
      </c>
      <c r="Y19">
        <v>393</v>
      </c>
      <c r="Z19">
        <v>375</v>
      </c>
      <c r="AA19">
        <v>406</v>
      </c>
      <c r="AB19">
        <v>395</v>
      </c>
      <c r="AC19">
        <v>400</v>
      </c>
      <c r="AD19">
        <v>394</v>
      </c>
      <c r="AE19">
        <v>409</v>
      </c>
    </row>
    <row r="20" spans="1:31" x14ac:dyDescent="0.3">
      <c r="A20" t="s">
        <v>275</v>
      </c>
      <c r="B20" t="s">
        <v>158</v>
      </c>
      <c r="C20" t="s">
        <v>0</v>
      </c>
      <c r="D20" t="s">
        <v>159</v>
      </c>
      <c r="E20" t="s">
        <v>123</v>
      </c>
      <c r="F20">
        <v>7460</v>
      </c>
      <c r="G20">
        <v>7466</v>
      </c>
      <c r="H20">
        <v>7693</v>
      </c>
      <c r="I20">
        <v>7814</v>
      </c>
      <c r="J20">
        <v>7992</v>
      </c>
      <c r="K20">
        <v>8401</v>
      </c>
      <c r="L20">
        <v>8857</v>
      </c>
      <c r="M20">
        <v>8931</v>
      </c>
      <c r="N20">
        <v>9095</v>
      </c>
      <c r="O20">
        <v>9664</v>
      </c>
      <c r="P20">
        <v>10252</v>
      </c>
      <c r="Q20">
        <v>10947</v>
      </c>
      <c r="R20">
        <v>11782</v>
      </c>
      <c r="S20">
        <v>12987</v>
      </c>
      <c r="T20">
        <v>12964</v>
      </c>
      <c r="U20">
        <v>13172</v>
      </c>
      <c r="V20">
        <v>14141</v>
      </c>
      <c r="W20">
        <v>15101</v>
      </c>
      <c r="X20">
        <v>15586</v>
      </c>
      <c r="Y20">
        <v>16169</v>
      </c>
      <c r="Z20">
        <v>16350</v>
      </c>
      <c r="AA20">
        <v>16924</v>
      </c>
      <c r="AB20">
        <v>18027</v>
      </c>
      <c r="AC20">
        <v>18948</v>
      </c>
      <c r="AD20">
        <v>19759</v>
      </c>
      <c r="AE20">
        <v>19669</v>
      </c>
    </row>
    <row r="21" spans="1:31" x14ac:dyDescent="0.3">
      <c r="A21" t="s">
        <v>275</v>
      </c>
      <c r="B21" t="s">
        <v>160</v>
      </c>
      <c r="C21" t="s">
        <v>0</v>
      </c>
      <c r="D21" t="s">
        <v>161</v>
      </c>
      <c r="E21" t="s">
        <v>123</v>
      </c>
      <c r="F21">
        <v>11587</v>
      </c>
      <c r="G21">
        <v>11626</v>
      </c>
      <c r="H21">
        <v>12015</v>
      </c>
      <c r="I21">
        <v>12265</v>
      </c>
      <c r="J21">
        <v>12615</v>
      </c>
      <c r="K21">
        <v>13319</v>
      </c>
      <c r="L21">
        <v>13989</v>
      </c>
      <c r="M21">
        <v>14185</v>
      </c>
      <c r="N21">
        <v>14544</v>
      </c>
      <c r="O21">
        <v>15364</v>
      </c>
      <c r="P21">
        <v>16308</v>
      </c>
      <c r="Q21">
        <v>17483</v>
      </c>
      <c r="R21">
        <v>18858</v>
      </c>
      <c r="S21">
        <v>20747</v>
      </c>
      <c r="T21">
        <v>20709</v>
      </c>
      <c r="U21">
        <v>21132</v>
      </c>
      <c r="V21">
        <v>22567</v>
      </c>
      <c r="W21">
        <v>23917</v>
      </c>
      <c r="X21">
        <v>24487</v>
      </c>
      <c r="Y21">
        <v>25148</v>
      </c>
      <c r="Z21">
        <v>25136</v>
      </c>
      <c r="AA21">
        <v>25682</v>
      </c>
      <c r="AB21">
        <v>27042</v>
      </c>
      <c r="AC21">
        <v>28398</v>
      </c>
      <c r="AD21">
        <v>29463</v>
      </c>
      <c r="AE21">
        <v>29563</v>
      </c>
    </row>
    <row r="22" spans="1:31" x14ac:dyDescent="0.3">
      <c r="A22" t="s">
        <v>275</v>
      </c>
      <c r="B22" t="s">
        <v>162</v>
      </c>
      <c r="C22" t="s">
        <v>0</v>
      </c>
      <c r="D22" t="s">
        <v>163</v>
      </c>
      <c r="E22" t="s">
        <v>123</v>
      </c>
      <c r="F22">
        <v>4127</v>
      </c>
      <c r="G22">
        <v>4160</v>
      </c>
      <c r="H22">
        <v>4322</v>
      </c>
      <c r="I22">
        <v>4451</v>
      </c>
      <c r="J22">
        <v>4623</v>
      </c>
      <c r="K22">
        <v>4918</v>
      </c>
      <c r="L22">
        <v>5132</v>
      </c>
      <c r="M22">
        <v>5254</v>
      </c>
      <c r="N22">
        <v>5449</v>
      </c>
      <c r="O22">
        <v>5700</v>
      </c>
      <c r="P22">
        <v>6056</v>
      </c>
      <c r="Q22">
        <v>6536</v>
      </c>
      <c r="R22">
        <v>7076</v>
      </c>
      <c r="S22">
        <v>7760</v>
      </c>
      <c r="T22">
        <v>7745</v>
      </c>
      <c r="U22">
        <v>7960</v>
      </c>
      <c r="V22">
        <v>8426</v>
      </c>
      <c r="W22">
        <v>8816</v>
      </c>
      <c r="X22">
        <v>8901</v>
      </c>
      <c r="Y22">
        <v>8979</v>
      </c>
      <c r="Z22">
        <v>8786</v>
      </c>
      <c r="AA22">
        <v>8758</v>
      </c>
      <c r="AB22">
        <v>9015</v>
      </c>
      <c r="AC22">
        <v>9450</v>
      </c>
      <c r="AD22">
        <v>9704</v>
      </c>
      <c r="AE22">
        <v>9894</v>
      </c>
    </row>
    <row r="23" spans="1:31" x14ac:dyDescent="0.3">
      <c r="A23" t="s">
        <v>275</v>
      </c>
      <c r="B23" t="s">
        <v>164</v>
      </c>
      <c r="C23" t="s">
        <v>0</v>
      </c>
      <c r="D23" t="s">
        <v>165</v>
      </c>
      <c r="E23" t="s">
        <v>123</v>
      </c>
      <c r="F23">
        <v>867</v>
      </c>
      <c r="G23">
        <v>836</v>
      </c>
      <c r="H23">
        <v>826</v>
      </c>
      <c r="I23">
        <v>850</v>
      </c>
      <c r="J23">
        <v>900</v>
      </c>
      <c r="K23">
        <v>934</v>
      </c>
      <c r="L23">
        <v>989</v>
      </c>
      <c r="M23">
        <v>982</v>
      </c>
      <c r="N23">
        <v>979</v>
      </c>
      <c r="O23">
        <v>1013</v>
      </c>
      <c r="P23">
        <v>1069</v>
      </c>
      <c r="Q23">
        <v>1131</v>
      </c>
      <c r="R23">
        <v>1244</v>
      </c>
      <c r="S23">
        <v>1364</v>
      </c>
      <c r="T23">
        <v>1383</v>
      </c>
      <c r="U23">
        <v>1366</v>
      </c>
      <c r="V23">
        <v>1428</v>
      </c>
      <c r="W23">
        <v>1578</v>
      </c>
      <c r="X23">
        <v>1622</v>
      </c>
      <c r="Y23">
        <v>1689</v>
      </c>
      <c r="Z23">
        <v>1737</v>
      </c>
      <c r="AA23">
        <v>1803</v>
      </c>
      <c r="AB23">
        <v>1895</v>
      </c>
      <c r="AC23">
        <v>2023</v>
      </c>
      <c r="AD23">
        <v>2184</v>
      </c>
      <c r="AE23">
        <v>2362</v>
      </c>
    </row>
    <row r="24" spans="1:31" x14ac:dyDescent="0.3">
      <c r="A24" t="s">
        <v>275</v>
      </c>
      <c r="B24" t="s">
        <v>166</v>
      </c>
      <c r="C24" t="s">
        <v>0</v>
      </c>
      <c r="D24" t="s">
        <v>167</v>
      </c>
      <c r="E24" t="s">
        <v>123</v>
      </c>
      <c r="F24">
        <v>7435</v>
      </c>
      <c r="G24">
        <v>7296</v>
      </c>
      <c r="H24">
        <v>7083</v>
      </c>
      <c r="I24">
        <v>7242</v>
      </c>
      <c r="J24">
        <v>7571</v>
      </c>
      <c r="K24">
        <v>7725</v>
      </c>
      <c r="L24">
        <v>8020</v>
      </c>
      <c r="M24">
        <v>7737</v>
      </c>
      <c r="N24">
        <v>7554</v>
      </c>
      <c r="O24">
        <v>7700</v>
      </c>
      <c r="P24">
        <v>7923</v>
      </c>
      <c r="Q24">
        <v>7887</v>
      </c>
      <c r="R24">
        <v>8298</v>
      </c>
      <c r="S24">
        <v>8611</v>
      </c>
      <c r="T24">
        <v>8311</v>
      </c>
      <c r="U24">
        <v>7595</v>
      </c>
      <c r="V24">
        <v>7558</v>
      </c>
      <c r="W24">
        <v>7958</v>
      </c>
      <c r="X24">
        <v>7988</v>
      </c>
      <c r="Y24">
        <v>7844</v>
      </c>
      <c r="Z24">
        <v>7521</v>
      </c>
      <c r="AA24">
        <v>7634</v>
      </c>
      <c r="AB24">
        <v>7836</v>
      </c>
      <c r="AC24">
        <v>8166</v>
      </c>
      <c r="AD24">
        <v>8463</v>
      </c>
      <c r="AE24">
        <v>8491</v>
      </c>
    </row>
    <row r="25" spans="1:31" x14ac:dyDescent="0.3">
      <c r="A25" t="s">
        <v>275</v>
      </c>
      <c r="B25" t="s">
        <v>168</v>
      </c>
      <c r="C25" t="s">
        <v>0</v>
      </c>
      <c r="D25" t="s">
        <v>169</v>
      </c>
      <c r="E25" t="s">
        <v>123</v>
      </c>
      <c r="F25">
        <v>1073</v>
      </c>
      <c r="G25">
        <v>1030</v>
      </c>
      <c r="H25">
        <v>998</v>
      </c>
      <c r="I25">
        <v>1008</v>
      </c>
      <c r="J25">
        <v>1051</v>
      </c>
      <c r="K25">
        <v>1048</v>
      </c>
      <c r="L25">
        <v>1078</v>
      </c>
      <c r="M25">
        <v>1032</v>
      </c>
      <c r="N25">
        <v>1002</v>
      </c>
      <c r="O25">
        <v>1016</v>
      </c>
      <c r="P25">
        <v>1072</v>
      </c>
      <c r="Q25">
        <v>1125</v>
      </c>
      <c r="R25">
        <v>1176</v>
      </c>
      <c r="S25">
        <v>1233</v>
      </c>
      <c r="T25">
        <v>1190</v>
      </c>
      <c r="U25">
        <v>1098</v>
      </c>
      <c r="V25">
        <v>1060</v>
      </c>
      <c r="W25">
        <v>1103</v>
      </c>
      <c r="X25">
        <v>1095</v>
      </c>
      <c r="Y25">
        <v>1058</v>
      </c>
      <c r="Z25">
        <v>1021</v>
      </c>
      <c r="AA25">
        <v>1021</v>
      </c>
      <c r="AB25">
        <v>1008</v>
      </c>
      <c r="AC25">
        <v>1040</v>
      </c>
      <c r="AD25">
        <v>1093</v>
      </c>
      <c r="AE25">
        <v>1085</v>
      </c>
    </row>
    <row r="26" spans="1:31" x14ac:dyDescent="0.3">
      <c r="A26" t="s">
        <v>275</v>
      </c>
      <c r="B26" t="s">
        <v>170</v>
      </c>
      <c r="C26" t="s">
        <v>0</v>
      </c>
      <c r="D26" t="s">
        <v>171</v>
      </c>
      <c r="E26" t="s">
        <v>123</v>
      </c>
      <c r="F26">
        <v>4012</v>
      </c>
      <c r="G26">
        <v>3972</v>
      </c>
      <c r="H26">
        <v>3840</v>
      </c>
      <c r="I26">
        <v>3890</v>
      </c>
      <c r="J26">
        <v>4038</v>
      </c>
      <c r="K26">
        <v>4085</v>
      </c>
      <c r="L26">
        <v>4228</v>
      </c>
      <c r="M26">
        <v>4032</v>
      </c>
      <c r="N26">
        <v>3827</v>
      </c>
      <c r="O26">
        <v>3790</v>
      </c>
      <c r="P26">
        <v>3859</v>
      </c>
      <c r="Q26">
        <v>3765</v>
      </c>
      <c r="R26">
        <v>3929</v>
      </c>
      <c r="S26">
        <v>4026</v>
      </c>
      <c r="T26">
        <v>3769</v>
      </c>
      <c r="U26">
        <v>3339</v>
      </c>
      <c r="V26">
        <v>3319</v>
      </c>
      <c r="W26">
        <v>3461</v>
      </c>
      <c r="X26">
        <v>3409</v>
      </c>
      <c r="Y26">
        <v>3351</v>
      </c>
      <c r="Z26">
        <v>3059</v>
      </c>
      <c r="AA26">
        <v>3093</v>
      </c>
      <c r="AB26">
        <v>3166</v>
      </c>
      <c r="AC26">
        <v>3311</v>
      </c>
      <c r="AD26">
        <v>3367</v>
      </c>
      <c r="AE26">
        <v>3289</v>
      </c>
    </row>
    <row r="27" spans="1:31" x14ac:dyDescent="0.3">
      <c r="A27" t="s">
        <v>275</v>
      </c>
      <c r="B27" t="s">
        <v>172</v>
      </c>
      <c r="C27" t="s">
        <v>0</v>
      </c>
      <c r="D27" t="s">
        <v>173</v>
      </c>
      <c r="E27" t="s">
        <v>123</v>
      </c>
      <c r="F27">
        <v>2350</v>
      </c>
      <c r="G27">
        <v>2294</v>
      </c>
      <c r="H27">
        <v>2245</v>
      </c>
      <c r="I27">
        <v>2344</v>
      </c>
      <c r="J27">
        <v>2482</v>
      </c>
      <c r="K27">
        <v>2592</v>
      </c>
      <c r="L27">
        <v>2714</v>
      </c>
      <c r="M27">
        <v>2673</v>
      </c>
      <c r="N27">
        <v>2725</v>
      </c>
      <c r="O27">
        <v>2894</v>
      </c>
      <c r="P27">
        <v>2992</v>
      </c>
      <c r="Q27">
        <v>2997</v>
      </c>
      <c r="R27">
        <v>3193</v>
      </c>
      <c r="S27">
        <v>3352</v>
      </c>
      <c r="T27">
        <v>3352</v>
      </c>
      <c r="U27">
        <v>3158</v>
      </c>
      <c r="V27">
        <v>3179</v>
      </c>
      <c r="W27">
        <v>3394</v>
      </c>
      <c r="X27">
        <v>3484</v>
      </c>
      <c r="Y27">
        <v>3435</v>
      </c>
      <c r="Z27">
        <v>3441</v>
      </c>
      <c r="AA27">
        <v>3520</v>
      </c>
      <c r="AB27">
        <v>3662</v>
      </c>
      <c r="AC27">
        <v>3815</v>
      </c>
      <c r="AD27">
        <v>4003</v>
      </c>
      <c r="AE27">
        <v>4117</v>
      </c>
    </row>
    <row r="28" spans="1:31" x14ac:dyDescent="0.3">
      <c r="A28" t="s">
        <v>275</v>
      </c>
      <c r="B28" t="s">
        <v>174</v>
      </c>
      <c r="C28" t="s">
        <v>0</v>
      </c>
      <c r="D28" t="s">
        <v>175</v>
      </c>
      <c r="E28" t="s">
        <v>123</v>
      </c>
      <c r="F28">
        <v>4098</v>
      </c>
      <c r="G28">
        <v>4151</v>
      </c>
      <c r="H28">
        <v>4265</v>
      </c>
      <c r="I28">
        <v>4504</v>
      </c>
      <c r="J28">
        <v>4742</v>
      </c>
      <c r="K28">
        <v>4992</v>
      </c>
      <c r="L28">
        <v>5210</v>
      </c>
      <c r="M28">
        <v>5223</v>
      </c>
      <c r="N28">
        <v>5334</v>
      </c>
      <c r="O28">
        <v>5503</v>
      </c>
      <c r="P28">
        <v>5680</v>
      </c>
      <c r="Q28">
        <v>6030</v>
      </c>
      <c r="R28">
        <v>6460</v>
      </c>
      <c r="S28">
        <v>7092</v>
      </c>
      <c r="T28">
        <v>7000</v>
      </c>
      <c r="U28">
        <v>6914</v>
      </c>
      <c r="V28">
        <v>7207</v>
      </c>
      <c r="W28">
        <v>7549</v>
      </c>
      <c r="X28">
        <v>7592</v>
      </c>
      <c r="Y28">
        <v>7565</v>
      </c>
      <c r="Z28">
        <v>7429</v>
      </c>
      <c r="AA28">
        <v>7414</v>
      </c>
      <c r="AB28">
        <v>7744</v>
      </c>
      <c r="AC28">
        <v>7417</v>
      </c>
      <c r="AD28">
        <v>8702</v>
      </c>
      <c r="AE28">
        <v>8821</v>
      </c>
    </row>
    <row r="29" spans="1:31" x14ac:dyDescent="0.3">
      <c r="A29" t="s">
        <v>275</v>
      </c>
      <c r="B29" t="s">
        <v>176</v>
      </c>
      <c r="C29" t="s">
        <v>0</v>
      </c>
      <c r="D29" t="s">
        <v>177</v>
      </c>
      <c r="E29" t="s">
        <v>123</v>
      </c>
      <c r="F29">
        <v>1071</v>
      </c>
      <c r="G29">
        <v>1108</v>
      </c>
      <c r="H29">
        <v>1142</v>
      </c>
      <c r="I29">
        <v>1171</v>
      </c>
      <c r="J29">
        <v>1232</v>
      </c>
      <c r="K29">
        <v>1290</v>
      </c>
      <c r="L29">
        <v>1352</v>
      </c>
      <c r="M29">
        <v>1344</v>
      </c>
      <c r="N29">
        <v>1345</v>
      </c>
      <c r="O29">
        <v>1365</v>
      </c>
      <c r="P29">
        <v>1430</v>
      </c>
      <c r="Q29">
        <v>1524</v>
      </c>
      <c r="R29">
        <v>1609</v>
      </c>
      <c r="S29">
        <v>1754</v>
      </c>
      <c r="T29">
        <v>1754</v>
      </c>
      <c r="U29">
        <v>1717</v>
      </c>
      <c r="V29">
        <v>1822</v>
      </c>
      <c r="W29">
        <v>1881</v>
      </c>
      <c r="X29">
        <v>1909</v>
      </c>
      <c r="Y29">
        <v>1881</v>
      </c>
      <c r="Z29">
        <v>1871</v>
      </c>
      <c r="AA29">
        <v>1853</v>
      </c>
      <c r="AB29">
        <v>1845</v>
      </c>
      <c r="AC29">
        <v>1165</v>
      </c>
      <c r="AD29">
        <v>2070</v>
      </c>
      <c r="AE29">
        <v>2123</v>
      </c>
    </row>
    <row r="30" spans="1:31" x14ac:dyDescent="0.3">
      <c r="A30" t="s">
        <v>275</v>
      </c>
      <c r="B30" t="s">
        <v>178</v>
      </c>
      <c r="C30" t="s">
        <v>0</v>
      </c>
      <c r="D30" t="s">
        <v>179</v>
      </c>
      <c r="E30" t="s">
        <v>123</v>
      </c>
      <c r="F30">
        <v>148</v>
      </c>
      <c r="G30">
        <v>135</v>
      </c>
      <c r="H30">
        <v>122</v>
      </c>
      <c r="I30">
        <v>123</v>
      </c>
      <c r="J30">
        <v>122</v>
      </c>
      <c r="K30">
        <v>122</v>
      </c>
      <c r="L30">
        <v>123</v>
      </c>
      <c r="M30">
        <v>121</v>
      </c>
      <c r="N30">
        <v>110</v>
      </c>
      <c r="O30">
        <v>108</v>
      </c>
      <c r="P30">
        <v>106</v>
      </c>
      <c r="Q30">
        <v>109</v>
      </c>
      <c r="R30">
        <v>112</v>
      </c>
      <c r="S30">
        <v>113</v>
      </c>
      <c r="T30">
        <v>107</v>
      </c>
      <c r="U30">
        <v>108</v>
      </c>
      <c r="V30">
        <v>110</v>
      </c>
      <c r="W30">
        <v>110</v>
      </c>
      <c r="X30">
        <v>107</v>
      </c>
      <c r="Y30">
        <v>103</v>
      </c>
      <c r="Z30">
        <v>96</v>
      </c>
      <c r="AA30">
        <v>91</v>
      </c>
      <c r="AB30">
        <v>88</v>
      </c>
      <c r="AC30">
        <v>100</v>
      </c>
      <c r="AD30">
        <v>99</v>
      </c>
      <c r="AE30">
        <v>96</v>
      </c>
    </row>
    <row r="31" spans="1:31" x14ac:dyDescent="0.3">
      <c r="A31" t="s">
        <v>275</v>
      </c>
      <c r="B31" t="s">
        <v>180</v>
      </c>
      <c r="C31" t="s">
        <v>0</v>
      </c>
      <c r="D31" t="s">
        <v>181</v>
      </c>
      <c r="E31" t="s">
        <v>123</v>
      </c>
      <c r="F31">
        <v>96</v>
      </c>
      <c r="G31">
        <v>97</v>
      </c>
      <c r="H31">
        <v>97</v>
      </c>
      <c r="I31">
        <v>106</v>
      </c>
      <c r="J31">
        <v>122</v>
      </c>
      <c r="K31">
        <v>119</v>
      </c>
      <c r="L31">
        <v>112</v>
      </c>
      <c r="M31">
        <v>99</v>
      </c>
      <c r="N31">
        <v>87</v>
      </c>
      <c r="O31">
        <v>78</v>
      </c>
      <c r="P31">
        <v>70</v>
      </c>
      <c r="Q31">
        <v>64</v>
      </c>
      <c r="R31">
        <v>54</v>
      </c>
      <c r="S31">
        <v>63</v>
      </c>
      <c r="T31">
        <v>11</v>
      </c>
      <c r="U31">
        <v>8</v>
      </c>
      <c r="V31">
        <v>6</v>
      </c>
      <c r="W31">
        <v>3</v>
      </c>
      <c r="X31">
        <v>2</v>
      </c>
      <c r="Y31">
        <v>2</v>
      </c>
      <c r="Z31">
        <v>2</v>
      </c>
      <c r="AA31">
        <v>3</v>
      </c>
      <c r="AB31">
        <v>7</v>
      </c>
      <c r="AC31">
        <v>16</v>
      </c>
      <c r="AD31">
        <v>23</v>
      </c>
      <c r="AE31">
        <v>23</v>
      </c>
    </row>
    <row r="32" spans="1:31" x14ac:dyDescent="0.3">
      <c r="A32" t="s">
        <v>275</v>
      </c>
      <c r="B32" t="s">
        <v>182</v>
      </c>
      <c r="C32" t="s">
        <v>0</v>
      </c>
      <c r="D32" t="s">
        <v>183</v>
      </c>
      <c r="E32" t="s">
        <v>123</v>
      </c>
      <c r="F32">
        <v>2509</v>
      </c>
      <c r="G32">
        <v>2536</v>
      </c>
      <c r="H32">
        <v>2621</v>
      </c>
      <c r="I32">
        <v>2787</v>
      </c>
      <c r="J32">
        <v>2931</v>
      </c>
      <c r="K32">
        <v>3111</v>
      </c>
      <c r="L32">
        <v>3256</v>
      </c>
      <c r="M32">
        <v>3306</v>
      </c>
      <c r="N32">
        <v>3449</v>
      </c>
      <c r="O32">
        <v>3610</v>
      </c>
      <c r="P32">
        <v>3727</v>
      </c>
      <c r="Q32">
        <v>3988</v>
      </c>
      <c r="R32">
        <v>4340</v>
      </c>
      <c r="S32">
        <v>4777</v>
      </c>
      <c r="T32">
        <v>4731</v>
      </c>
      <c r="U32">
        <v>4723</v>
      </c>
      <c r="V32">
        <v>4917</v>
      </c>
      <c r="W32">
        <v>5163</v>
      </c>
      <c r="X32">
        <v>5195</v>
      </c>
      <c r="Y32">
        <v>5204</v>
      </c>
      <c r="Z32">
        <v>5174</v>
      </c>
      <c r="AA32">
        <v>5228</v>
      </c>
      <c r="AB32">
        <v>5577</v>
      </c>
      <c r="AC32">
        <v>5919</v>
      </c>
      <c r="AD32">
        <v>6300</v>
      </c>
      <c r="AE32">
        <v>6382</v>
      </c>
    </row>
    <row r="33" spans="1:31" x14ac:dyDescent="0.3">
      <c r="A33" t="s">
        <v>275</v>
      </c>
      <c r="B33" t="s">
        <v>184</v>
      </c>
      <c r="C33" t="s">
        <v>0</v>
      </c>
      <c r="D33" t="s">
        <v>185</v>
      </c>
      <c r="E33" t="s">
        <v>123</v>
      </c>
      <c r="F33">
        <v>274</v>
      </c>
      <c r="G33">
        <v>275</v>
      </c>
      <c r="H33">
        <v>283</v>
      </c>
      <c r="I33">
        <v>317</v>
      </c>
      <c r="J33">
        <v>335</v>
      </c>
      <c r="K33">
        <v>350</v>
      </c>
      <c r="L33">
        <v>367</v>
      </c>
      <c r="M33">
        <v>353</v>
      </c>
      <c r="N33">
        <v>343</v>
      </c>
      <c r="O33">
        <v>342</v>
      </c>
      <c r="P33">
        <v>347</v>
      </c>
      <c r="Q33">
        <v>345</v>
      </c>
      <c r="R33">
        <v>345</v>
      </c>
      <c r="S33">
        <v>385</v>
      </c>
      <c r="T33">
        <v>397</v>
      </c>
      <c r="U33">
        <v>358</v>
      </c>
      <c r="V33">
        <v>352</v>
      </c>
      <c r="W33">
        <v>392</v>
      </c>
      <c r="X33">
        <v>379</v>
      </c>
      <c r="Y33">
        <v>375</v>
      </c>
      <c r="Z33">
        <v>286</v>
      </c>
      <c r="AA33">
        <v>239</v>
      </c>
      <c r="AB33">
        <v>227</v>
      </c>
      <c r="AC33">
        <v>217</v>
      </c>
      <c r="AD33">
        <v>210</v>
      </c>
      <c r="AE33">
        <v>197</v>
      </c>
    </row>
    <row r="34" spans="1:31" x14ac:dyDescent="0.3">
      <c r="A34" t="s">
        <v>275</v>
      </c>
      <c r="B34" t="s">
        <v>186</v>
      </c>
      <c r="C34" t="s">
        <v>0</v>
      </c>
      <c r="D34" t="s">
        <v>187</v>
      </c>
      <c r="E34" t="s">
        <v>123</v>
      </c>
      <c r="F34">
        <v>1102</v>
      </c>
      <c r="G34">
        <v>1086</v>
      </c>
      <c r="H34">
        <v>1073</v>
      </c>
      <c r="I34">
        <v>1095</v>
      </c>
      <c r="J34">
        <v>1144</v>
      </c>
      <c r="K34">
        <v>1162</v>
      </c>
      <c r="L34">
        <v>1201</v>
      </c>
      <c r="M34">
        <v>1186</v>
      </c>
      <c r="N34">
        <v>1145</v>
      </c>
      <c r="O34">
        <v>1157</v>
      </c>
      <c r="P34">
        <v>1196</v>
      </c>
      <c r="Q34">
        <v>1253</v>
      </c>
      <c r="R34">
        <v>1339</v>
      </c>
      <c r="S34">
        <v>1416</v>
      </c>
      <c r="T34">
        <v>1401</v>
      </c>
      <c r="U34">
        <v>1331</v>
      </c>
      <c r="V34">
        <v>1341</v>
      </c>
      <c r="W34">
        <v>1416</v>
      </c>
      <c r="X34">
        <v>1406</v>
      </c>
      <c r="Y34">
        <v>1389</v>
      </c>
      <c r="Z34">
        <v>1376</v>
      </c>
      <c r="AA34">
        <v>1408</v>
      </c>
      <c r="AB34">
        <v>1465</v>
      </c>
      <c r="AC34">
        <v>1539</v>
      </c>
      <c r="AD34">
        <v>1616</v>
      </c>
      <c r="AE34">
        <v>1680</v>
      </c>
    </row>
    <row r="35" spans="1:31" x14ac:dyDescent="0.3">
      <c r="A35" t="s">
        <v>275</v>
      </c>
      <c r="B35" t="s">
        <v>188</v>
      </c>
      <c r="C35" t="s">
        <v>0</v>
      </c>
      <c r="D35" t="s">
        <v>189</v>
      </c>
      <c r="E35" t="s">
        <v>123</v>
      </c>
      <c r="F35">
        <v>3004</v>
      </c>
      <c r="G35">
        <v>3139</v>
      </c>
      <c r="H35">
        <v>3346</v>
      </c>
      <c r="I35">
        <v>3510</v>
      </c>
      <c r="J35">
        <v>3835</v>
      </c>
      <c r="K35">
        <v>4234</v>
      </c>
      <c r="L35">
        <v>4612</v>
      </c>
      <c r="M35">
        <v>4721</v>
      </c>
      <c r="N35">
        <v>4776</v>
      </c>
      <c r="O35">
        <v>4670</v>
      </c>
      <c r="P35">
        <v>4587</v>
      </c>
      <c r="Q35">
        <v>4600</v>
      </c>
      <c r="R35">
        <v>4618</v>
      </c>
      <c r="S35">
        <v>4663</v>
      </c>
      <c r="T35">
        <v>4300</v>
      </c>
      <c r="U35">
        <v>4051</v>
      </c>
      <c r="V35">
        <v>3986</v>
      </c>
      <c r="W35">
        <v>3882</v>
      </c>
      <c r="X35">
        <v>3693</v>
      </c>
      <c r="Y35">
        <v>3709</v>
      </c>
      <c r="Z35">
        <v>3635</v>
      </c>
      <c r="AA35">
        <v>3451</v>
      </c>
      <c r="AB35">
        <v>3433</v>
      </c>
      <c r="AC35">
        <v>3501</v>
      </c>
      <c r="AD35">
        <v>3581</v>
      </c>
      <c r="AE35">
        <v>3860</v>
      </c>
    </row>
    <row r="36" spans="1:31" x14ac:dyDescent="0.3">
      <c r="A36" t="s">
        <v>275</v>
      </c>
      <c r="B36" t="s">
        <v>190</v>
      </c>
      <c r="C36" t="s">
        <v>0</v>
      </c>
      <c r="D36" t="s">
        <v>191</v>
      </c>
      <c r="E36" t="s">
        <v>123</v>
      </c>
      <c r="F36">
        <v>310</v>
      </c>
      <c r="G36">
        <v>305</v>
      </c>
      <c r="H36">
        <v>323</v>
      </c>
      <c r="I36">
        <v>356</v>
      </c>
      <c r="J36">
        <v>382</v>
      </c>
      <c r="K36">
        <v>393</v>
      </c>
      <c r="L36">
        <v>407</v>
      </c>
      <c r="M36">
        <v>399</v>
      </c>
      <c r="N36">
        <v>395</v>
      </c>
      <c r="O36">
        <v>404</v>
      </c>
      <c r="P36">
        <v>420</v>
      </c>
      <c r="Q36">
        <v>428</v>
      </c>
      <c r="R36">
        <v>451</v>
      </c>
      <c r="S36">
        <v>452</v>
      </c>
      <c r="T36">
        <v>438</v>
      </c>
      <c r="U36">
        <v>405</v>
      </c>
      <c r="V36">
        <v>412</v>
      </c>
      <c r="W36">
        <v>412</v>
      </c>
      <c r="X36">
        <v>426</v>
      </c>
      <c r="Y36">
        <v>302</v>
      </c>
      <c r="Z36">
        <v>293</v>
      </c>
      <c r="AA36">
        <v>277</v>
      </c>
      <c r="AB36">
        <v>292</v>
      </c>
      <c r="AC36">
        <v>308</v>
      </c>
      <c r="AD36">
        <v>324</v>
      </c>
      <c r="AE36">
        <v>311</v>
      </c>
    </row>
    <row r="37" spans="1:31" x14ac:dyDescent="0.3">
      <c r="A37" t="s">
        <v>275</v>
      </c>
      <c r="B37" t="s">
        <v>192</v>
      </c>
      <c r="C37" t="s">
        <v>0</v>
      </c>
      <c r="D37" t="s">
        <v>193</v>
      </c>
      <c r="E37" t="s">
        <v>123</v>
      </c>
      <c r="F37">
        <v>2634</v>
      </c>
      <c r="G37">
        <v>2773</v>
      </c>
      <c r="H37">
        <v>2964</v>
      </c>
      <c r="I37">
        <v>3091</v>
      </c>
      <c r="J37">
        <v>3389</v>
      </c>
      <c r="K37">
        <v>3772</v>
      </c>
      <c r="L37">
        <v>4132</v>
      </c>
      <c r="M37">
        <v>4254</v>
      </c>
      <c r="N37">
        <v>4317</v>
      </c>
      <c r="O37">
        <v>4255</v>
      </c>
      <c r="P37">
        <v>4158</v>
      </c>
      <c r="Q37">
        <v>4162</v>
      </c>
      <c r="R37">
        <v>4157</v>
      </c>
      <c r="S37">
        <v>4202</v>
      </c>
      <c r="T37">
        <v>3854</v>
      </c>
      <c r="U37">
        <v>3639</v>
      </c>
      <c r="V37">
        <v>3544</v>
      </c>
      <c r="W37">
        <v>3424</v>
      </c>
      <c r="X37">
        <v>3212</v>
      </c>
      <c r="Y37">
        <v>2956</v>
      </c>
      <c r="Z37">
        <v>2716</v>
      </c>
      <c r="AA37">
        <v>2536</v>
      </c>
      <c r="AB37">
        <v>2488</v>
      </c>
      <c r="AC37">
        <v>2433</v>
      </c>
      <c r="AD37">
        <v>2302</v>
      </c>
      <c r="AE37">
        <v>2200</v>
      </c>
    </row>
    <row r="38" spans="1:31" x14ac:dyDescent="0.3">
      <c r="A38" t="s">
        <v>275</v>
      </c>
      <c r="B38" t="s">
        <v>194</v>
      </c>
      <c r="C38" t="s">
        <v>0</v>
      </c>
      <c r="D38" t="s">
        <v>195</v>
      </c>
      <c r="E38" t="s">
        <v>123</v>
      </c>
      <c r="F38">
        <v>60</v>
      </c>
      <c r="G38">
        <v>61</v>
      </c>
      <c r="H38">
        <v>59</v>
      </c>
      <c r="I38">
        <v>63</v>
      </c>
      <c r="J38">
        <v>64</v>
      </c>
      <c r="K38">
        <v>69</v>
      </c>
      <c r="L38">
        <v>73</v>
      </c>
      <c r="M38">
        <v>68</v>
      </c>
      <c r="N38">
        <v>64</v>
      </c>
      <c r="O38">
        <v>11</v>
      </c>
      <c r="P38">
        <v>9</v>
      </c>
      <c r="Q38">
        <v>10</v>
      </c>
      <c r="R38">
        <v>10</v>
      </c>
      <c r="S38">
        <v>9</v>
      </c>
      <c r="T38">
        <v>8</v>
      </c>
      <c r="U38">
        <v>7</v>
      </c>
      <c r="V38">
        <v>30</v>
      </c>
      <c r="W38">
        <v>46</v>
      </c>
      <c r="X38">
        <v>55</v>
      </c>
      <c r="Y38">
        <v>451</v>
      </c>
      <c r="Z38">
        <v>626</v>
      </c>
      <c r="AA38">
        <v>638</v>
      </c>
      <c r="AB38">
        <v>653</v>
      </c>
      <c r="AC38">
        <v>760</v>
      </c>
      <c r="AD38">
        <v>955</v>
      </c>
      <c r="AE38">
        <v>1349</v>
      </c>
    </row>
    <row r="39" spans="1:31" x14ac:dyDescent="0.3">
      <c r="A39" t="s">
        <v>275</v>
      </c>
      <c r="B39" t="s">
        <v>196</v>
      </c>
      <c r="C39" t="s">
        <v>0</v>
      </c>
      <c r="D39" t="s">
        <v>197</v>
      </c>
      <c r="E39" t="s">
        <v>123</v>
      </c>
      <c r="F39">
        <v>1429</v>
      </c>
      <c r="G39">
        <v>1332</v>
      </c>
      <c r="H39">
        <v>1222</v>
      </c>
      <c r="I39">
        <v>1197</v>
      </c>
      <c r="J39">
        <v>1176</v>
      </c>
      <c r="K39">
        <v>1147</v>
      </c>
      <c r="L39">
        <v>1095</v>
      </c>
      <c r="M39">
        <v>974</v>
      </c>
      <c r="N39">
        <v>838</v>
      </c>
      <c r="O39">
        <v>688</v>
      </c>
      <c r="P39">
        <v>635</v>
      </c>
      <c r="Q39">
        <v>571</v>
      </c>
      <c r="R39">
        <v>616</v>
      </c>
      <c r="S39">
        <v>634</v>
      </c>
      <c r="T39">
        <v>673</v>
      </c>
      <c r="U39">
        <v>594</v>
      </c>
      <c r="V39">
        <v>584</v>
      </c>
      <c r="W39">
        <v>597</v>
      </c>
      <c r="X39">
        <v>588</v>
      </c>
      <c r="Y39">
        <v>565</v>
      </c>
      <c r="Z39">
        <v>541</v>
      </c>
      <c r="AA39">
        <v>526</v>
      </c>
      <c r="AB39">
        <v>511</v>
      </c>
      <c r="AC39">
        <v>506</v>
      </c>
      <c r="AD39">
        <v>500</v>
      </c>
      <c r="AE39">
        <v>474</v>
      </c>
    </row>
    <row r="40" spans="1:31" x14ac:dyDescent="0.3">
      <c r="A40" t="s">
        <v>275</v>
      </c>
      <c r="B40" t="s">
        <v>198</v>
      </c>
      <c r="C40" t="s">
        <v>0</v>
      </c>
      <c r="D40" t="s">
        <v>199</v>
      </c>
      <c r="E40" t="s">
        <v>123</v>
      </c>
      <c r="F40">
        <v>19278</v>
      </c>
      <c r="G40">
        <v>19291</v>
      </c>
      <c r="H40">
        <v>18949</v>
      </c>
      <c r="I40">
        <v>20234</v>
      </c>
      <c r="J40">
        <v>24159</v>
      </c>
      <c r="K40">
        <v>26754</v>
      </c>
      <c r="L40">
        <v>31193</v>
      </c>
      <c r="M40">
        <v>32581</v>
      </c>
      <c r="N40">
        <v>35323</v>
      </c>
      <c r="O40">
        <v>37764</v>
      </c>
      <c r="P40">
        <v>41911</v>
      </c>
      <c r="Q40">
        <v>45838</v>
      </c>
      <c r="R40">
        <v>52595</v>
      </c>
      <c r="S40">
        <v>59879</v>
      </c>
      <c r="T40">
        <v>61280</v>
      </c>
      <c r="U40">
        <v>59016</v>
      </c>
      <c r="V40">
        <v>62375</v>
      </c>
      <c r="W40">
        <v>68419</v>
      </c>
      <c r="X40">
        <v>71452</v>
      </c>
      <c r="Y40">
        <v>72800</v>
      </c>
      <c r="Z40">
        <v>74110</v>
      </c>
      <c r="AA40">
        <v>77379</v>
      </c>
      <c r="AB40">
        <v>80606</v>
      </c>
      <c r="AC40">
        <v>85876</v>
      </c>
      <c r="AD40">
        <v>92665</v>
      </c>
      <c r="AE40">
        <v>96338</v>
      </c>
    </row>
    <row r="41" spans="1:31" x14ac:dyDescent="0.3">
      <c r="A41" t="s">
        <v>275</v>
      </c>
      <c r="B41" t="s">
        <v>200</v>
      </c>
      <c r="C41" t="s">
        <v>0</v>
      </c>
      <c r="D41" t="s">
        <v>201</v>
      </c>
      <c r="E41" t="s">
        <v>123</v>
      </c>
      <c r="F41">
        <v>1358</v>
      </c>
      <c r="G41">
        <v>1313</v>
      </c>
      <c r="H41">
        <v>1283</v>
      </c>
      <c r="I41">
        <v>1319</v>
      </c>
      <c r="J41">
        <v>1383</v>
      </c>
      <c r="K41">
        <v>1463</v>
      </c>
      <c r="L41">
        <v>1577</v>
      </c>
      <c r="M41">
        <v>1607</v>
      </c>
      <c r="N41">
        <v>1681</v>
      </c>
      <c r="O41">
        <v>1792</v>
      </c>
      <c r="P41">
        <v>2019</v>
      </c>
      <c r="Q41">
        <v>2259</v>
      </c>
      <c r="R41">
        <v>2506</v>
      </c>
      <c r="S41">
        <v>2735</v>
      </c>
      <c r="T41">
        <v>2753</v>
      </c>
      <c r="U41">
        <v>2786</v>
      </c>
      <c r="V41">
        <v>2986</v>
      </c>
      <c r="W41">
        <v>3241</v>
      </c>
      <c r="X41">
        <v>3471</v>
      </c>
      <c r="Y41">
        <v>3684</v>
      </c>
      <c r="Z41">
        <v>3909</v>
      </c>
      <c r="AA41">
        <v>4194</v>
      </c>
      <c r="AB41">
        <v>4531</v>
      </c>
      <c r="AC41">
        <v>4897</v>
      </c>
      <c r="AD41">
        <v>5251</v>
      </c>
      <c r="AE41">
        <v>5396</v>
      </c>
    </row>
    <row r="42" spans="1:31" x14ac:dyDescent="0.3">
      <c r="A42" t="s">
        <v>275</v>
      </c>
      <c r="B42" t="s">
        <v>202</v>
      </c>
      <c r="C42" t="s">
        <v>0</v>
      </c>
      <c r="D42" t="s">
        <v>203</v>
      </c>
      <c r="E42" t="s">
        <v>123</v>
      </c>
      <c r="F42">
        <v>661</v>
      </c>
      <c r="G42">
        <v>646</v>
      </c>
      <c r="H42">
        <v>648</v>
      </c>
      <c r="I42">
        <v>680</v>
      </c>
      <c r="J42">
        <v>722</v>
      </c>
      <c r="K42">
        <v>762</v>
      </c>
      <c r="L42">
        <v>805</v>
      </c>
      <c r="M42">
        <v>800</v>
      </c>
      <c r="N42">
        <v>793</v>
      </c>
      <c r="O42">
        <v>807</v>
      </c>
      <c r="P42">
        <v>856</v>
      </c>
      <c r="Q42">
        <v>896</v>
      </c>
      <c r="R42">
        <v>1001</v>
      </c>
      <c r="S42">
        <v>1073</v>
      </c>
      <c r="T42">
        <v>1067</v>
      </c>
      <c r="U42">
        <v>1073</v>
      </c>
      <c r="V42">
        <v>1166</v>
      </c>
      <c r="W42">
        <v>1232</v>
      </c>
      <c r="X42">
        <v>1199</v>
      </c>
      <c r="Y42">
        <v>1203</v>
      </c>
      <c r="Z42">
        <v>1230</v>
      </c>
      <c r="AA42">
        <v>1243</v>
      </c>
      <c r="AB42">
        <v>1294</v>
      </c>
      <c r="AC42">
        <v>1379</v>
      </c>
      <c r="AD42">
        <v>1514</v>
      </c>
      <c r="AE42">
        <v>1573</v>
      </c>
    </row>
    <row r="43" spans="1:31" x14ac:dyDescent="0.3">
      <c r="A43" t="s">
        <v>275</v>
      </c>
      <c r="B43" t="s">
        <v>204</v>
      </c>
      <c r="C43" t="s">
        <v>0</v>
      </c>
      <c r="D43" t="s">
        <v>205</v>
      </c>
      <c r="E43" t="s">
        <v>123</v>
      </c>
      <c r="F43">
        <v>882</v>
      </c>
      <c r="G43">
        <v>917</v>
      </c>
      <c r="H43">
        <v>929</v>
      </c>
      <c r="I43">
        <v>1007</v>
      </c>
      <c r="J43">
        <v>1096</v>
      </c>
      <c r="K43">
        <v>1201</v>
      </c>
      <c r="L43">
        <v>1335</v>
      </c>
      <c r="M43">
        <v>1384</v>
      </c>
      <c r="N43">
        <v>1431</v>
      </c>
      <c r="O43">
        <v>1510</v>
      </c>
      <c r="P43">
        <v>1615</v>
      </c>
      <c r="Q43">
        <v>1703</v>
      </c>
      <c r="R43">
        <v>1889</v>
      </c>
      <c r="S43">
        <v>2059</v>
      </c>
      <c r="T43">
        <v>2080</v>
      </c>
      <c r="U43">
        <v>2115</v>
      </c>
      <c r="V43">
        <v>2271</v>
      </c>
      <c r="W43">
        <v>2402</v>
      </c>
      <c r="X43">
        <v>2410</v>
      </c>
      <c r="Y43">
        <v>2406</v>
      </c>
      <c r="Z43">
        <v>2316</v>
      </c>
      <c r="AA43">
        <v>2369</v>
      </c>
      <c r="AB43">
        <v>2458</v>
      </c>
      <c r="AC43">
        <v>2654</v>
      </c>
      <c r="AD43">
        <v>2889</v>
      </c>
      <c r="AE43">
        <v>3014</v>
      </c>
    </row>
    <row r="44" spans="1:31" x14ac:dyDescent="0.3">
      <c r="A44" t="s">
        <v>275</v>
      </c>
      <c r="B44" t="s">
        <v>206</v>
      </c>
      <c r="C44" t="s">
        <v>0</v>
      </c>
      <c r="D44" t="s">
        <v>207</v>
      </c>
      <c r="E44" t="s">
        <v>123</v>
      </c>
      <c r="F44">
        <v>60573</v>
      </c>
      <c r="G44">
        <v>60323</v>
      </c>
      <c r="H44">
        <v>61151</v>
      </c>
      <c r="I44">
        <v>62989</v>
      </c>
      <c r="J44">
        <v>65744</v>
      </c>
      <c r="K44">
        <v>68682</v>
      </c>
      <c r="L44">
        <v>72100</v>
      </c>
      <c r="M44">
        <v>72185</v>
      </c>
      <c r="N44">
        <v>72555</v>
      </c>
      <c r="O44">
        <v>74287</v>
      </c>
      <c r="P44">
        <v>77134</v>
      </c>
      <c r="Q44">
        <v>80446</v>
      </c>
      <c r="R44">
        <v>86323</v>
      </c>
      <c r="S44">
        <v>91753</v>
      </c>
      <c r="T44">
        <v>90796</v>
      </c>
      <c r="U44">
        <v>88002</v>
      </c>
      <c r="V44">
        <v>90728</v>
      </c>
      <c r="W44">
        <v>94992</v>
      </c>
      <c r="X44">
        <v>95894</v>
      </c>
      <c r="Y44">
        <v>96158</v>
      </c>
      <c r="Z44">
        <v>95078</v>
      </c>
      <c r="AA44">
        <v>96027</v>
      </c>
      <c r="AB44">
        <v>99365</v>
      </c>
      <c r="AC44">
        <v>103386</v>
      </c>
      <c r="AD44">
        <v>108464</v>
      </c>
      <c r="AE44">
        <v>109865</v>
      </c>
    </row>
    <row r="45" spans="1:31" x14ac:dyDescent="0.3">
      <c r="A45" t="s">
        <v>275</v>
      </c>
      <c r="B45" t="s">
        <v>208</v>
      </c>
      <c r="C45" t="s">
        <v>0</v>
      </c>
      <c r="D45" t="s">
        <v>209</v>
      </c>
      <c r="E45" t="s">
        <v>123</v>
      </c>
      <c r="F45">
        <v>50923</v>
      </c>
      <c r="G45">
        <v>50847</v>
      </c>
      <c r="H45">
        <v>51306</v>
      </c>
      <c r="I45">
        <v>52971</v>
      </c>
      <c r="J45">
        <v>55513</v>
      </c>
      <c r="K45">
        <v>57957</v>
      </c>
      <c r="L45">
        <v>61045</v>
      </c>
      <c r="M45">
        <v>60867</v>
      </c>
      <c r="N45">
        <v>61012</v>
      </c>
      <c r="O45">
        <v>62493</v>
      </c>
      <c r="P45">
        <v>64916</v>
      </c>
      <c r="Q45">
        <v>67601</v>
      </c>
      <c r="R45">
        <v>72204</v>
      </c>
      <c r="S45">
        <v>77252</v>
      </c>
      <c r="T45">
        <v>75901</v>
      </c>
      <c r="U45">
        <v>73474</v>
      </c>
      <c r="V45">
        <v>75903</v>
      </c>
      <c r="W45">
        <v>79549</v>
      </c>
      <c r="X45">
        <v>80145</v>
      </c>
      <c r="Y45">
        <v>80530</v>
      </c>
      <c r="Z45">
        <v>79721</v>
      </c>
      <c r="AA45">
        <v>80579</v>
      </c>
      <c r="AB45">
        <v>83736</v>
      </c>
      <c r="AC45">
        <v>86910</v>
      </c>
      <c r="AD45">
        <v>91507</v>
      </c>
      <c r="AE45">
        <v>92737</v>
      </c>
    </row>
    <row r="46" spans="1:31" x14ac:dyDescent="0.3">
      <c r="A46" t="s">
        <v>275</v>
      </c>
      <c r="B46" t="s">
        <v>210</v>
      </c>
      <c r="C46" t="s">
        <v>0</v>
      </c>
      <c r="D46" t="s">
        <v>211</v>
      </c>
      <c r="E46" t="s">
        <v>123</v>
      </c>
      <c r="F46">
        <v>221</v>
      </c>
      <c r="G46">
        <v>271</v>
      </c>
      <c r="H46">
        <v>281</v>
      </c>
      <c r="I46">
        <v>327</v>
      </c>
      <c r="J46">
        <v>374</v>
      </c>
      <c r="K46">
        <v>439</v>
      </c>
      <c r="L46">
        <v>530</v>
      </c>
      <c r="M46">
        <v>584</v>
      </c>
      <c r="N46">
        <v>638</v>
      </c>
      <c r="O46">
        <v>703</v>
      </c>
      <c r="P46">
        <v>759</v>
      </c>
      <c r="Q46">
        <v>807</v>
      </c>
      <c r="R46">
        <v>888</v>
      </c>
      <c r="S46">
        <v>986</v>
      </c>
      <c r="T46">
        <v>1013</v>
      </c>
      <c r="U46">
        <v>1042</v>
      </c>
      <c r="V46">
        <v>1105</v>
      </c>
      <c r="W46">
        <v>1170</v>
      </c>
      <c r="X46">
        <v>1211</v>
      </c>
      <c r="Y46">
        <v>1203</v>
      </c>
      <c r="Z46">
        <v>1086</v>
      </c>
      <c r="AA46">
        <v>1126</v>
      </c>
      <c r="AB46">
        <v>1164</v>
      </c>
      <c r="AC46">
        <v>1275</v>
      </c>
      <c r="AD46">
        <v>1375</v>
      </c>
      <c r="AE46">
        <v>1441</v>
      </c>
    </row>
    <row r="47" spans="1:31" x14ac:dyDescent="0.3">
      <c r="A47" t="s">
        <v>275</v>
      </c>
      <c r="B47" t="s">
        <v>212</v>
      </c>
      <c r="C47" t="s">
        <v>0</v>
      </c>
      <c r="D47" t="s">
        <v>213</v>
      </c>
      <c r="E47" t="s">
        <v>123</v>
      </c>
      <c r="F47">
        <v>29055</v>
      </c>
      <c r="G47">
        <v>29147</v>
      </c>
      <c r="H47">
        <v>30103</v>
      </c>
      <c r="I47">
        <v>30772</v>
      </c>
      <c r="J47">
        <v>32010</v>
      </c>
      <c r="K47">
        <v>33746</v>
      </c>
      <c r="L47">
        <v>35144</v>
      </c>
      <c r="M47">
        <v>35754</v>
      </c>
      <c r="N47">
        <v>35238</v>
      </c>
      <c r="O47">
        <v>36984</v>
      </c>
      <c r="P47">
        <v>39263</v>
      </c>
      <c r="Q47">
        <v>41944</v>
      </c>
      <c r="R47">
        <v>44849</v>
      </c>
      <c r="S47">
        <v>48704</v>
      </c>
      <c r="T47">
        <v>48419</v>
      </c>
      <c r="U47">
        <v>49279</v>
      </c>
      <c r="V47">
        <v>52040</v>
      </c>
      <c r="W47">
        <v>54653</v>
      </c>
      <c r="X47">
        <v>55882</v>
      </c>
      <c r="Y47">
        <v>56880</v>
      </c>
      <c r="Z47">
        <v>56253</v>
      </c>
      <c r="AA47">
        <v>55818</v>
      </c>
      <c r="AB47">
        <v>57872</v>
      </c>
      <c r="AC47">
        <v>60098</v>
      </c>
      <c r="AD47">
        <v>61252</v>
      </c>
      <c r="AE47">
        <v>60692</v>
      </c>
    </row>
    <row r="48" spans="1:31" x14ac:dyDescent="0.3">
      <c r="A48" t="s">
        <v>275</v>
      </c>
      <c r="B48" t="s">
        <v>214</v>
      </c>
      <c r="C48" t="s">
        <v>0</v>
      </c>
      <c r="D48" t="s">
        <v>215</v>
      </c>
      <c r="E48" t="s">
        <v>123</v>
      </c>
      <c r="F48">
        <v>45442</v>
      </c>
      <c r="G48">
        <v>45546</v>
      </c>
      <c r="H48">
        <v>46523</v>
      </c>
      <c r="I48">
        <v>47935</v>
      </c>
      <c r="J48">
        <v>48332</v>
      </c>
      <c r="K48">
        <v>50763</v>
      </c>
      <c r="L48">
        <v>53568</v>
      </c>
      <c r="M48">
        <v>54406</v>
      </c>
      <c r="N48">
        <v>54285</v>
      </c>
      <c r="O48">
        <v>56937</v>
      </c>
      <c r="P48">
        <v>60489</v>
      </c>
      <c r="Q48">
        <v>64426</v>
      </c>
      <c r="R48">
        <v>69259</v>
      </c>
      <c r="S48">
        <v>75048</v>
      </c>
      <c r="T48">
        <v>74914</v>
      </c>
      <c r="U48">
        <v>74634</v>
      </c>
      <c r="V48">
        <v>78528</v>
      </c>
      <c r="W48">
        <v>83073</v>
      </c>
      <c r="X48">
        <v>85539</v>
      </c>
      <c r="Y48">
        <v>87316</v>
      </c>
      <c r="Z48">
        <v>87360</v>
      </c>
      <c r="AA48">
        <v>88454</v>
      </c>
      <c r="AB48">
        <v>92368</v>
      </c>
      <c r="AC48">
        <v>96629</v>
      </c>
      <c r="AD48">
        <v>100670</v>
      </c>
      <c r="AE48">
        <v>102157</v>
      </c>
    </row>
    <row r="49" spans="1:31" x14ac:dyDescent="0.3">
      <c r="A49" t="s">
        <v>275</v>
      </c>
      <c r="B49" t="s">
        <v>216</v>
      </c>
      <c r="C49" t="s">
        <v>0</v>
      </c>
      <c r="D49" t="s">
        <v>217</v>
      </c>
      <c r="E49" t="s">
        <v>123</v>
      </c>
      <c r="F49">
        <v>8484</v>
      </c>
      <c r="G49">
        <v>8499</v>
      </c>
      <c r="H49">
        <v>8554</v>
      </c>
      <c r="I49">
        <v>8996</v>
      </c>
      <c r="J49">
        <v>7666</v>
      </c>
      <c r="K49">
        <v>8024</v>
      </c>
      <c r="L49">
        <v>8721</v>
      </c>
      <c r="M49">
        <v>8887</v>
      </c>
      <c r="N49">
        <v>9161</v>
      </c>
      <c r="O49">
        <v>9685</v>
      </c>
      <c r="P49">
        <v>10347</v>
      </c>
      <c r="Q49">
        <v>10946</v>
      </c>
      <c r="R49">
        <v>11867</v>
      </c>
      <c r="S49">
        <v>12783</v>
      </c>
      <c r="T49">
        <v>12750</v>
      </c>
      <c r="U49">
        <v>12207</v>
      </c>
      <c r="V49">
        <v>12773</v>
      </c>
      <c r="W49">
        <v>13571</v>
      </c>
      <c r="X49">
        <v>14033</v>
      </c>
      <c r="Y49">
        <v>14302</v>
      </c>
      <c r="Z49">
        <v>14727</v>
      </c>
      <c r="AA49">
        <v>15449</v>
      </c>
      <c r="AB49">
        <v>16203</v>
      </c>
      <c r="AC49">
        <v>17076</v>
      </c>
      <c r="AD49">
        <v>18441</v>
      </c>
      <c r="AE49">
        <v>19439</v>
      </c>
    </row>
    <row r="50" spans="1:31" x14ac:dyDescent="0.3">
      <c r="A50" t="s">
        <v>275</v>
      </c>
      <c r="B50" t="s">
        <v>218</v>
      </c>
      <c r="C50" t="s">
        <v>0</v>
      </c>
      <c r="D50" t="s">
        <v>219</v>
      </c>
      <c r="E50" t="s">
        <v>123</v>
      </c>
      <c r="F50">
        <v>7903</v>
      </c>
      <c r="G50">
        <v>7900</v>
      </c>
      <c r="H50">
        <v>7866</v>
      </c>
      <c r="I50">
        <v>8167</v>
      </c>
      <c r="J50">
        <v>8656</v>
      </c>
      <c r="K50">
        <v>8993</v>
      </c>
      <c r="L50">
        <v>9703</v>
      </c>
      <c r="M50">
        <v>9765</v>
      </c>
      <c r="N50">
        <v>9886</v>
      </c>
      <c r="O50">
        <v>10268</v>
      </c>
      <c r="P50">
        <v>10879</v>
      </c>
      <c r="Q50">
        <v>11536</v>
      </c>
      <c r="R50">
        <v>12543</v>
      </c>
      <c r="S50">
        <v>13561</v>
      </c>
      <c r="T50">
        <v>13745</v>
      </c>
      <c r="U50">
        <v>13148</v>
      </c>
      <c r="V50">
        <v>13715</v>
      </c>
      <c r="W50">
        <v>14849</v>
      </c>
      <c r="X50">
        <v>15624</v>
      </c>
      <c r="Y50">
        <v>16134</v>
      </c>
      <c r="Z50">
        <v>16380</v>
      </c>
      <c r="AA50">
        <v>17187</v>
      </c>
      <c r="AB50">
        <v>18293</v>
      </c>
      <c r="AC50">
        <v>19455</v>
      </c>
      <c r="AD50">
        <v>20977</v>
      </c>
      <c r="AE50">
        <v>22026</v>
      </c>
    </row>
    <row r="51" spans="1:31" x14ac:dyDescent="0.3">
      <c r="A51" t="s">
        <v>275</v>
      </c>
      <c r="B51" t="s">
        <v>220</v>
      </c>
      <c r="C51" t="s">
        <v>0</v>
      </c>
      <c r="D51" t="s">
        <v>221</v>
      </c>
      <c r="E51" t="s">
        <v>123</v>
      </c>
      <c r="F51">
        <v>4725</v>
      </c>
      <c r="G51">
        <v>4690</v>
      </c>
      <c r="H51">
        <v>4661</v>
      </c>
      <c r="I51">
        <v>4805</v>
      </c>
      <c r="J51">
        <v>5039</v>
      </c>
      <c r="K51">
        <v>5191</v>
      </c>
      <c r="L51">
        <v>5556</v>
      </c>
      <c r="M51">
        <v>5602</v>
      </c>
      <c r="N51">
        <v>5650</v>
      </c>
      <c r="O51">
        <v>5843</v>
      </c>
      <c r="P51">
        <v>6175</v>
      </c>
      <c r="Q51">
        <v>6559</v>
      </c>
      <c r="R51">
        <v>7078</v>
      </c>
      <c r="S51">
        <v>7596</v>
      </c>
      <c r="T51">
        <v>7691</v>
      </c>
      <c r="U51">
        <v>7347</v>
      </c>
      <c r="V51">
        <v>7660</v>
      </c>
      <c r="W51">
        <v>8306</v>
      </c>
      <c r="X51">
        <v>8769</v>
      </c>
      <c r="Y51">
        <v>9074</v>
      </c>
      <c r="Z51">
        <v>9205</v>
      </c>
      <c r="AA51">
        <v>9701</v>
      </c>
      <c r="AB51">
        <v>10439</v>
      </c>
      <c r="AC51">
        <v>11227</v>
      </c>
      <c r="AD51">
        <v>12241</v>
      </c>
      <c r="AE51">
        <v>12980</v>
      </c>
    </row>
    <row r="52" spans="1:31" x14ac:dyDescent="0.3">
      <c r="A52" t="s">
        <v>275</v>
      </c>
      <c r="B52" t="s">
        <v>222</v>
      </c>
      <c r="C52" t="s">
        <v>0</v>
      </c>
      <c r="D52" t="s">
        <v>223</v>
      </c>
      <c r="E52" t="s">
        <v>123</v>
      </c>
      <c r="F52">
        <v>3178</v>
      </c>
      <c r="G52">
        <v>3210</v>
      </c>
      <c r="H52">
        <v>3205</v>
      </c>
      <c r="I52">
        <v>3362</v>
      </c>
      <c r="J52">
        <v>3617</v>
      </c>
      <c r="K52">
        <v>3802</v>
      </c>
      <c r="L52">
        <v>4147</v>
      </c>
      <c r="M52">
        <v>4163</v>
      </c>
      <c r="N52">
        <v>4236</v>
      </c>
      <c r="O52">
        <v>4425</v>
      </c>
      <c r="P52">
        <v>4704</v>
      </c>
      <c r="Q52">
        <v>4977</v>
      </c>
      <c r="R52">
        <v>5465</v>
      </c>
      <c r="S52">
        <v>5965</v>
      </c>
      <c r="T52">
        <v>6054</v>
      </c>
      <c r="U52">
        <v>5801</v>
      </c>
      <c r="V52">
        <v>6055</v>
      </c>
      <c r="W52">
        <v>6543</v>
      </c>
      <c r="X52">
        <v>6855</v>
      </c>
      <c r="Y52">
        <v>7060</v>
      </c>
      <c r="Z52">
        <v>7175</v>
      </c>
      <c r="AA52">
        <v>7486</v>
      </c>
      <c r="AB52">
        <v>7854</v>
      </c>
      <c r="AC52">
        <v>8228</v>
      </c>
      <c r="AD52">
        <v>8736</v>
      </c>
      <c r="AE52">
        <v>9046</v>
      </c>
    </row>
    <row r="53" spans="1:31" x14ac:dyDescent="0.3">
      <c r="A53" t="s">
        <v>275</v>
      </c>
      <c r="B53" t="s">
        <v>224</v>
      </c>
      <c r="C53" t="s">
        <v>0</v>
      </c>
      <c r="D53" t="s">
        <v>225</v>
      </c>
      <c r="E53" t="s">
        <v>123</v>
      </c>
      <c r="F53">
        <v>5544</v>
      </c>
      <c r="G53">
        <v>5600</v>
      </c>
      <c r="H53">
        <v>5774</v>
      </c>
      <c r="I53">
        <v>6003</v>
      </c>
      <c r="J53">
        <v>6329</v>
      </c>
      <c r="K53">
        <v>6674</v>
      </c>
      <c r="L53">
        <v>7078</v>
      </c>
      <c r="M53">
        <v>7131</v>
      </c>
      <c r="N53">
        <v>7298</v>
      </c>
      <c r="O53">
        <v>7597</v>
      </c>
      <c r="P53">
        <v>7994</v>
      </c>
      <c r="Q53">
        <v>8466</v>
      </c>
      <c r="R53">
        <v>9082</v>
      </c>
      <c r="S53">
        <v>9746</v>
      </c>
      <c r="T53">
        <v>9626</v>
      </c>
      <c r="U53">
        <v>9422</v>
      </c>
      <c r="V53">
        <v>9800</v>
      </c>
      <c r="W53">
        <v>10344</v>
      </c>
      <c r="X53">
        <v>10569</v>
      </c>
      <c r="Y53">
        <v>10629</v>
      </c>
      <c r="Z53">
        <v>10621</v>
      </c>
      <c r="AA53">
        <v>10592</v>
      </c>
      <c r="AB53">
        <v>11232</v>
      </c>
      <c r="AC53">
        <v>11883</v>
      </c>
      <c r="AD53">
        <v>12525</v>
      </c>
      <c r="AE53">
        <v>12703</v>
      </c>
    </row>
    <row r="54" spans="1:31" x14ac:dyDescent="0.3">
      <c r="A54" t="s">
        <v>275</v>
      </c>
      <c r="B54" t="s">
        <v>226</v>
      </c>
      <c r="C54" t="s">
        <v>0</v>
      </c>
      <c r="D54" t="s">
        <v>227</v>
      </c>
      <c r="E54" t="s">
        <v>123</v>
      </c>
      <c r="F54">
        <v>7532</v>
      </c>
      <c r="G54">
        <v>7574</v>
      </c>
      <c r="H54">
        <v>7745</v>
      </c>
      <c r="I54">
        <v>8079</v>
      </c>
      <c r="J54">
        <v>8577</v>
      </c>
      <c r="K54">
        <v>9011</v>
      </c>
      <c r="L54">
        <v>9570</v>
      </c>
      <c r="M54">
        <v>9589</v>
      </c>
      <c r="N54">
        <v>9758</v>
      </c>
      <c r="O54">
        <v>10166</v>
      </c>
      <c r="P54">
        <v>10725</v>
      </c>
      <c r="Q54">
        <v>11305</v>
      </c>
      <c r="R54">
        <v>12129</v>
      </c>
      <c r="S54">
        <v>12970</v>
      </c>
      <c r="T54">
        <v>12867</v>
      </c>
      <c r="U54">
        <v>12540</v>
      </c>
      <c r="V54">
        <v>12993</v>
      </c>
      <c r="W54">
        <v>13702</v>
      </c>
      <c r="X54">
        <v>14000</v>
      </c>
      <c r="Y54">
        <v>14062</v>
      </c>
      <c r="Z54">
        <v>14031</v>
      </c>
      <c r="AA54">
        <v>14045</v>
      </c>
      <c r="AB54">
        <v>14743</v>
      </c>
      <c r="AC54">
        <v>15471</v>
      </c>
      <c r="AD54">
        <v>16224</v>
      </c>
      <c r="AE54">
        <v>16417</v>
      </c>
    </row>
    <row r="55" spans="1:31" x14ac:dyDescent="0.3">
      <c r="A55" t="s">
        <v>275</v>
      </c>
      <c r="B55" t="s">
        <v>228</v>
      </c>
      <c r="C55" t="s">
        <v>0</v>
      </c>
      <c r="D55" t="s">
        <v>229</v>
      </c>
      <c r="E55" t="s">
        <v>123</v>
      </c>
      <c r="F55">
        <v>1988</v>
      </c>
      <c r="G55">
        <v>1974</v>
      </c>
      <c r="H55">
        <v>1971</v>
      </c>
      <c r="I55">
        <v>2076</v>
      </c>
      <c r="J55">
        <v>2248</v>
      </c>
      <c r="K55">
        <v>2337</v>
      </c>
      <c r="L55">
        <v>2492</v>
      </c>
      <c r="M55">
        <v>2458</v>
      </c>
      <c r="N55">
        <v>2460</v>
      </c>
      <c r="O55">
        <v>2569</v>
      </c>
      <c r="P55">
        <v>2731</v>
      </c>
      <c r="Q55">
        <v>2839</v>
      </c>
      <c r="R55">
        <v>3047</v>
      </c>
      <c r="S55">
        <v>3224</v>
      </c>
      <c r="T55">
        <v>3241</v>
      </c>
      <c r="U55">
        <v>3118</v>
      </c>
      <c r="V55">
        <v>3193</v>
      </c>
      <c r="W55">
        <v>3358</v>
      </c>
      <c r="X55">
        <v>3431</v>
      </c>
      <c r="Y55">
        <v>3433</v>
      </c>
      <c r="Z55">
        <v>3410</v>
      </c>
      <c r="AA55">
        <v>3453</v>
      </c>
      <c r="AB55">
        <v>3511</v>
      </c>
      <c r="AC55">
        <v>3588</v>
      </c>
      <c r="AD55">
        <v>3699</v>
      </c>
      <c r="AE55">
        <v>3714</v>
      </c>
    </row>
    <row r="56" spans="1:31" x14ac:dyDescent="0.3">
      <c r="A56" t="s">
        <v>275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275</v>
      </c>
      <c r="B57" t="s">
        <v>232</v>
      </c>
      <c r="C57" t="s">
        <v>0</v>
      </c>
      <c r="D57" t="s">
        <v>233</v>
      </c>
      <c r="E57" t="s">
        <v>123</v>
      </c>
      <c r="F57">
        <v>125293</v>
      </c>
      <c r="G57">
        <v>125160</v>
      </c>
      <c r="H57">
        <v>126623</v>
      </c>
      <c r="I57">
        <v>131158</v>
      </c>
      <c r="J57">
        <v>138235</v>
      </c>
      <c r="K57">
        <v>146199</v>
      </c>
      <c r="L57">
        <v>156861</v>
      </c>
      <c r="M57">
        <v>159172</v>
      </c>
      <c r="N57">
        <v>162163</v>
      </c>
      <c r="O57">
        <v>168988</v>
      </c>
      <c r="P57">
        <v>179534</v>
      </c>
      <c r="Q57">
        <v>190710</v>
      </c>
      <c r="R57">
        <v>208177</v>
      </c>
      <c r="S57">
        <v>226680</v>
      </c>
      <c r="T57">
        <v>226990</v>
      </c>
      <c r="U57">
        <v>221652</v>
      </c>
      <c r="V57">
        <v>231631</v>
      </c>
      <c r="W57">
        <v>246484</v>
      </c>
      <c r="X57">
        <v>252885</v>
      </c>
      <c r="Y57">
        <v>256274</v>
      </c>
      <c r="Z57">
        <v>256548</v>
      </c>
      <c r="AA57">
        <v>261860</v>
      </c>
      <c r="AB57">
        <v>272339</v>
      </c>
      <c r="AC57">
        <v>285891</v>
      </c>
      <c r="AD57">
        <v>301799</v>
      </c>
      <c r="AE57">
        <v>308360</v>
      </c>
    </row>
    <row r="58" spans="1:31" x14ac:dyDescent="0.3">
      <c r="A58" t="s">
        <v>275</v>
      </c>
      <c r="B58" t="s">
        <v>234</v>
      </c>
      <c r="C58" t="s">
        <v>0</v>
      </c>
      <c r="D58" t="s">
        <v>235</v>
      </c>
      <c r="E58" t="s">
        <v>123</v>
      </c>
      <c r="F58">
        <v>125293</v>
      </c>
      <c r="G58">
        <v>125160</v>
      </c>
      <c r="H58">
        <v>126623</v>
      </c>
      <c r="I58">
        <v>131158</v>
      </c>
      <c r="J58">
        <v>138235</v>
      </c>
      <c r="K58">
        <v>146199</v>
      </c>
      <c r="L58">
        <v>156861</v>
      </c>
      <c r="M58">
        <v>159172</v>
      </c>
      <c r="N58">
        <v>162163</v>
      </c>
      <c r="O58">
        <v>168988</v>
      </c>
      <c r="P58">
        <v>179534</v>
      </c>
      <c r="Q58">
        <v>190710</v>
      </c>
      <c r="R58">
        <v>208177</v>
      </c>
      <c r="S58">
        <v>226680</v>
      </c>
      <c r="T58">
        <v>226990</v>
      </c>
      <c r="U58">
        <v>221652</v>
      </c>
      <c r="V58">
        <v>231631</v>
      </c>
      <c r="W58">
        <v>246484</v>
      </c>
      <c r="X58">
        <v>252885</v>
      </c>
      <c r="Y58">
        <v>256274</v>
      </c>
      <c r="Z58">
        <v>256548</v>
      </c>
      <c r="AA58">
        <v>261860</v>
      </c>
      <c r="AB58">
        <v>272339</v>
      </c>
      <c r="AC58">
        <v>285891</v>
      </c>
      <c r="AD58">
        <v>301799</v>
      </c>
      <c r="AE58">
        <v>308360</v>
      </c>
    </row>
    <row r="59" spans="1:31" x14ac:dyDescent="0.3">
      <c r="A59" t="s">
        <v>275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276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276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276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276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276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276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276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276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276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276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276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276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276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276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276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276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276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276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276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276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276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276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276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276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276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276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276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276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276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276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276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276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276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276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276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276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276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276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276</v>
      </c>
      <c r="B40" t="s">
        <v>198</v>
      </c>
      <c r="C40" t="s">
        <v>0</v>
      </c>
      <c r="D40" t="s">
        <v>199</v>
      </c>
      <c r="E40" t="s">
        <v>123</v>
      </c>
      <c r="F40">
        <v>123603</v>
      </c>
      <c r="G40">
        <v>124045</v>
      </c>
      <c r="H40">
        <v>131702</v>
      </c>
      <c r="I40">
        <v>142866</v>
      </c>
      <c r="J40">
        <v>151872</v>
      </c>
      <c r="K40">
        <v>166892</v>
      </c>
      <c r="L40">
        <v>176919</v>
      </c>
      <c r="M40">
        <v>176157</v>
      </c>
      <c r="N40">
        <v>180004</v>
      </c>
      <c r="O40">
        <v>188975</v>
      </c>
      <c r="P40">
        <v>203849</v>
      </c>
      <c r="Q40">
        <v>217312</v>
      </c>
      <c r="R40">
        <v>237480</v>
      </c>
      <c r="S40">
        <v>254455</v>
      </c>
      <c r="T40">
        <v>249567</v>
      </c>
      <c r="U40">
        <v>246081</v>
      </c>
      <c r="V40">
        <v>260413</v>
      </c>
      <c r="W40">
        <v>279833</v>
      </c>
      <c r="X40">
        <v>289716</v>
      </c>
      <c r="Y40">
        <v>295727</v>
      </c>
      <c r="Z40">
        <v>301417</v>
      </c>
      <c r="AA40">
        <v>314393</v>
      </c>
      <c r="AB40">
        <v>330490</v>
      </c>
      <c r="AC40">
        <v>351493</v>
      </c>
      <c r="AD40">
        <v>373412</v>
      </c>
      <c r="AE40">
        <v>385945</v>
      </c>
    </row>
    <row r="41" spans="1:31" x14ac:dyDescent="0.3">
      <c r="A41" t="s">
        <v>276</v>
      </c>
      <c r="B41" t="s">
        <v>200</v>
      </c>
      <c r="C41" t="s">
        <v>0</v>
      </c>
      <c r="D41" t="s">
        <v>201</v>
      </c>
      <c r="E41" t="s">
        <v>123</v>
      </c>
      <c r="F41">
        <v>78505</v>
      </c>
      <c r="G41">
        <v>79074</v>
      </c>
      <c r="H41">
        <v>84217</v>
      </c>
      <c r="I41">
        <v>91857</v>
      </c>
      <c r="J41">
        <v>98402</v>
      </c>
      <c r="K41">
        <v>108843</v>
      </c>
      <c r="L41">
        <v>115959</v>
      </c>
      <c r="M41">
        <v>116127</v>
      </c>
      <c r="N41">
        <v>119470</v>
      </c>
      <c r="O41">
        <v>126461</v>
      </c>
      <c r="P41">
        <v>137672</v>
      </c>
      <c r="Q41">
        <v>148102</v>
      </c>
      <c r="R41">
        <v>163260</v>
      </c>
      <c r="S41">
        <v>176224</v>
      </c>
      <c r="T41">
        <v>174013</v>
      </c>
      <c r="U41">
        <v>172842</v>
      </c>
      <c r="V41">
        <v>184402</v>
      </c>
      <c r="W41">
        <v>198957</v>
      </c>
      <c r="X41">
        <v>207873</v>
      </c>
      <c r="Y41">
        <v>213345</v>
      </c>
      <c r="Z41">
        <v>218151</v>
      </c>
      <c r="AA41">
        <v>228351</v>
      </c>
      <c r="AB41">
        <v>241173</v>
      </c>
      <c r="AC41">
        <v>257206</v>
      </c>
      <c r="AD41">
        <v>274056</v>
      </c>
      <c r="AE41">
        <v>283944</v>
      </c>
    </row>
    <row r="42" spans="1:31" x14ac:dyDescent="0.3">
      <c r="A42" t="s">
        <v>276</v>
      </c>
      <c r="B42" t="s">
        <v>202</v>
      </c>
      <c r="C42" t="s">
        <v>0</v>
      </c>
      <c r="D42" t="s">
        <v>203</v>
      </c>
      <c r="E42" t="s">
        <v>123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276</v>
      </c>
      <c r="B43" t="s">
        <v>204</v>
      </c>
      <c r="C43" t="s">
        <v>0</v>
      </c>
      <c r="D43" t="s">
        <v>205</v>
      </c>
      <c r="E43" t="s">
        <v>123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276</v>
      </c>
      <c r="B44" t="s">
        <v>206</v>
      </c>
      <c r="C44" t="s">
        <v>0</v>
      </c>
      <c r="D44" t="s">
        <v>207</v>
      </c>
      <c r="E44" t="s">
        <v>123</v>
      </c>
      <c r="F44">
        <v>2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2</v>
      </c>
      <c r="AC44">
        <v>4</v>
      </c>
      <c r="AD44">
        <v>5</v>
      </c>
      <c r="AE44">
        <v>5</v>
      </c>
    </row>
    <row r="45" spans="1:31" x14ac:dyDescent="0.3">
      <c r="A45" t="s">
        <v>276</v>
      </c>
      <c r="B45" t="s">
        <v>208</v>
      </c>
      <c r="C45" t="s">
        <v>0</v>
      </c>
      <c r="D45" t="s">
        <v>209</v>
      </c>
      <c r="E45" t="s">
        <v>123</v>
      </c>
      <c r="F45">
        <v>2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2</v>
      </c>
      <c r="AC45">
        <v>4</v>
      </c>
      <c r="AD45">
        <v>5</v>
      </c>
      <c r="AE45">
        <v>5</v>
      </c>
    </row>
    <row r="46" spans="1:31" x14ac:dyDescent="0.3">
      <c r="A46" t="s">
        <v>276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276</v>
      </c>
      <c r="B47" t="s">
        <v>212</v>
      </c>
      <c r="C47" t="s">
        <v>0</v>
      </c>
      <c r="D47" t="s">
        <v>213</v>
      </c>
      <c r="E47" t="s">
        <v>123</v>
      </c>
      <c r="F47">
        <v>1830</v>
      </c>
      <c r="G47">
        <v>1714</v>
      </c>
      <c r="H47">
        <v>1766</v>
      </c>
      <c r="I47">
        <v>1815</v>
      </c>
      <c r="J47">
        <v>1825</v>
      </c>
      <c r="K47">
        <v>1853</v>
      </c>
      <c r="L47">
        <v>1817</v>
      </c>
      <c r="M47">
        <v>1721</v>
      </c>
      <c r="N47">
        <v>1649</v>
      </c>
      <c r="O47">
        <v>1626</v>
      </c>
      <c r="P47">
        <v>1649</v>
      </c>
      <c r="Q47">
        <v>1620</v>
      </c>
      <c r="R47">
        <v>1628</v>
      </c>
      <c r="S47">
        <v>1622</v>
      </c>
      <c r="T47">
        <v>1486</v>
      </c>
      <c r="U47">
        <v>1358</v>
      </c>
      <c r="V47">
        <v>1325</v>
      </c>
      <c r="W47">
        <v>1286</v>
      </c>
      <c r="X47">
        <v>1215</v>
      </c>
      <c r="Y47">
        <v>1134</v>
      </c>
      <c r="Z47">
        <v>1064</v>
      </c>
      <c r="AA47">
        <v>1007</v>
      </c>
      <c r="AB47">
        <v>969</v>
      </c>
      <c r="AC47">
        <v>932</v>
      </c>
      <c r="AD47">
        <v>904</v>
      </c>
      <c r="AE47">
        <v>863</v>
      </c>
    </row>
    <row r="48" spans="1:31" x14ac:dyDescent="0.3">
      <c r="A48" t="s">
        <v>276</v>
      </c>
      <c r="B48" t="s">
        <v>214</v>
      </c>
      <c r="C48" t="s">
        <v>0</v>
      </c>
      <c r="D48" t="s">
        <v>215</v>
      </c>
      <c r="E48" t="s">
        <v>123</v>
      </c>
      <c r="F48">
        <v>2305</v>
      </c>
      <c r="G48">
        <v>2190</v>
      </c>
      <c r="H48">
        <v>2258</v>
      </c>
      <c r="I48">
        <v>2328</v>
      </c>
      <c r="J48">
        <v>2348</v>
      </c>
      <c r="K48">
        <v>2402</v>
      </c>
      <c r="L48">
        <v>2368</v>
      </c>
      <c r="M48">
        <v>2245</v>
      </c>
      <c r="N48">
        <v>2156</v>
      </c>
      <c r="O48">
        <v>2135</v>
      </c>
      <c r="P48">
        <v>2168</v>
      </c>
      <c r="Q48">
        <v>2142</v>
      </c>
      <c r="R48">
        <v>2170</v>
      </c>
      <c r="S48">
        <v>2180</v>
      </c>
      <c r="T48">
        <v>2007</v>
      </c>
      <c r="U48">
        <v>1849</v>
      </c>
      <c r="V48">
        <v>1816</v>
      </c>
      <c r="W48">
        <v>1790</v>
      </c>
      <c r="X48">
        <v>1710</v>
      </c>
      <c r="Y48">
        <v>1614</v>
      </c>
      <c r="Z48">
        <v>1542</v>
      </c>
      <c r="AA48">
        <v>1493</v>
      </c>
      <c r="AB48">
        <v>1458</v>
      </c>
      <c r="AC48">
        <v>1424</v>
      </c>
      <c r="AD48">
        <v>1390</v>
      </c>
      <c r="AE48">
        <v>1344</v>
      </c>
    </row>
    <row r="49" spans="1:31" x14ac:dyDescent="0.3">
      <c r="A49" t="s">
        <v>276</v>
      </c>
      <c r="B49" t="s">
        <v>216</v>
      </c>
      <c r="C49" t="s">
        <v>0</v>
      </c>
      <c r="D49" t="s">
        <v>217</v>
      </c>
      <c r="E49" t="s">
        <v>123</v>
      </c>
      <c r="F49">
        <v>134</v>
      </c>
      <c r="G49">
        <v>133</v>
      </c>
      <c r="H49">
        <v>135</v>
      </c>
      <c r="I49">
        <v>141</v>
      </c>
      <c r="J49">
        <v>141</v>
      </c>
      <c r="K49">
        <v>146</v>
      </c>
      <c r="L49">
        <v>148</v>
      </c>
      <c r="M49">
        <v>139</v>
      </c>
      <c r="N49">
        <v>135</v>
      </c>
      <c r="O49">
        <v>134</v>
      </c>
      <c r="P49">
        <v>136</v>
      </c>
      <c r="Q49">
        <v>138</v>
      </c>
      <c r="R49">
        <v>142</v>
      </c>
      <c r="S49">
        <v>143</v>
      </c>
      <c r="T49">
        <v>133</v>
      </c>
      <c r="U49">
        <v>123</v>
      </c>
      <c r="V49">
        <v>122</v>
      </c>
      <c r="W49">
        <v>123</v>
      </c>
      <c r="X49">
        <v>118</v>
      </c>
      <c r="Y49">
        <v>114</v>
      </c>
      <c r="Z49">
        <v>114</v>
      </c>
      <c r="AA49">
        <v>113</v>
      </c>
      <c r="AB49">
        <v>112</v>
      </c>
      <c r="AC49">
        <v>110</v>
      </c>
      <c r="AD49">
        <v>96</v>
      </c>
      <c r="AE49">
        <v>94</v>
      </c>
    </row>
    <row r="50" spans="1:31" x14ac:dyDescent="0.3">
      <c r="A50" t="s">
        <v>276</v>
      </c>
      <c r="B50" t="s">
        <v>218</v>
      </c>
      <c r="C50" t="s">
        <v>0</v>
      </c>
      <c r="D50" t="s">
        <v>219</v>
      </c>
      <c r="E50" t="s">
        <v>123</v>
      </c>
      <c r="F50">
        <v>341</v>
      </c>
      <c r="G50">
        <v>343</v>
      </c>
      <c r="H50">
        <v>357</v>
      </c>
      <c r="I50">
        <v>372</v>
      </c>
      <c r="J50">
        <v>382</v>
      </c>
      <c r="K50">
        <v>403</v>
      </c>
      <c r="L50">
        <v>403</v>
      </c>
      <c r="M50">
        <v>385</v>
      </c>
      <c r="N50">
        <v>372</v>
      </c>
      <c r="O50">
        <v>375</v>
      </c>
      <c r="P50">
        <v>383</v>
      </c>
      <c r="Q50">
        <v>384</v>
      </c>
      <c r="R50">
        <v>400</v>
      </c>
      <c r="S50">
        <v>415</v>
      </c>
      <c r="T50">
        <v>388</v>
      </c>
      <c r="U50">
        <v>368</v>
      </c>
      <c r="V50">
        <v>369</v>
      </c>
      <c r="W50">
        <v>381</v>
      </c>
      <c r="X50">
        <v>377</v>
      </c>
      <c r="Y50">
        <v>366</v>
      </c>
      <c r="Z50">
        <v>364</v>
      </c>
      <c r="AA50">
        <v>373</v>
      </c>
      <c r="AB50">
        <v>377</v>
      </c>
      <c r="AC50">
        <v>382</v>
      </c>
      <c r="AD50">
        <v>390</v>
      </c>
      <c r="AE50">
        <v>387</v>
      </c>
    </row>
    <row r="51" spans="1:31" x14ac:dyDescent="0.3">
      <c r="A51" t="s">
        <v>276</v>
      </c>
      <c r="B51" t="s">
        <v>220</v>
      </c>
      <c r="C51" t="s">
        <v>0</v>
      </c>
      <c r="D51" t="s">
        <v>221</v>
      </c>
      <c r="E51" t="s">
        <v>123</v>
      </c>
      <c r="F51">
        <v>37</v>
      </c>
      <c r="G51">
        <v>35</v>
      </c>
      <c r="H51">
        <v>34</v>
      </c>
      <c r="I51">
        <v>35</v>
      </c>
      <c r="J51">
        <v>35</v>
      </c>
      <c r="K51">
        <v>36</v>
      </c>
      <c r="L51">
        <v>28</v>
      </c>
      <c r="M51">
        <v>22</v>
      </c>
      <c r="N51">
        <v>17</v>
      </c>
      <c r="O51">
        <v>17</v>
      </c>
      <c r="P51">
        <v>15</v>
      </c>
      <c r="Q51">
        <v>11</v>
      </c>
      <c r="R51">
        <v>11</v>
      </c>
      <c r="S51">
        <v>10</v>
      </c>
      <c r="T51">
        <v>9</v>
      </c>
      <c r="U51">
        <v>8</v>
      </c>
      <c r="V51">
        <v>7</v>
      </c>
      <c r="W51">
        <v>8</v>
      </c>
      <c r="X51">
        <v>8</v>
      </c>
      <c r="Y51">
        <v>7</v>
      </c>
      <c r="Z51">
        <v>6</v>
      </c>
      <c r="AA51">
        <v>6</v>
      </c>
      <c r="AB51">
        <v>5</v>
      </c>
      <c r="AC51">
        <v>4</v>
      </c>
      <c r="AD51">
        <v>1</v>
      </c>
      <c r="AE51">
        <v>0</v>
      </c>
    </row>
    <row r="52" spans="1:31" x14ac:dyDescent="0.3">
      <c r="A52" t="s">
        <v>276</v>
      </c>
      <c r="B52" t="s">
        <v>222</v>
      </c>
      <c r="C52" t="s">
        <v>0</v>
      </c>
      <c r="D52" t="s">
        <v>223</v>
      </c>
      <c r="E52" t="s">
        <v>123</v>
      </c>
      <c r="F52">
        <v>304</v>
      </c>
      <c r="G52">
        <v>308</v>
      </c>
      <c r="H52">
        <v>323</v>
      </c>
      <c r="I52">
        <v>337</v>
      </c>
      <c r="J52">
        <v>347</v>
      </c>
      <c r="K52">
        <v>367</v>
      </c>
      <c r="L52">
        <v>375</v>
      </c>
      <c r="M52">
        <v>363</v>
      </c>
      <c r="N52">
        <v>355</v>
      </c>
      <c r="O52">
        <v>358</v>
      </c>
      <c r="P52">
        <v>368</v>
      </c>
      <c r="Q52">
        <v>373</v>
      </c>
      <c r="R52">
        <v>389</v>
      </c>
      <c r="S52">
        <v>405</v>
      </c>
      <c r="T52">
        <v>379</v>
      </c>
      <c r="U52">
        <v>360</v>
      </c>
      <c r="V52">
        <v>362</v>
      </c>
      <c r="W52">
        <v>373</v>
      </c>
      <c r="X52">
        <v>369</v>
      </c>
      <c r="Y52">
        <v>359</v>
      </c>
      <c r="Z52">
        <v>358</v>
      </c>
      <c r="AA52">
        <v>367</v>
      </c>
      <c r="AB52">
        <v>372</v>
      </c>
      <c r="AC52">
        <v>378</v>
      </c>
      <c r="AD52">
        <v>389</v>
      </c>
      <c r="AE52">
        <v>387</v>
      </c>
    </row>
    <row r="53" spans="1:31" x14ac:dyDescent="0.3">
      <c r="A53" t="s">
        <v>276</v>
      </c>
      <c r="B53" t="s">
        <v>224</v>
      </c>
      <c r="C53" t="s">
        <v>0</v>
      </c>
      <c r="D53" t="s">
        <v>225</v>
      </c>
      <c r="E53" t="s">
        <v>123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2</v>
      </c>
      <c r="AC53">
        <v>4</v>
      </c>
      <c r="AD53">
        <v>5</v>
      </c>
      <c r="AE53">
        <v>5</v>
      </c>
    </row>
    <row r="54" spans="1:31" x14ac:dyDescent="0.3">
      <c r="A54" t="s">
        <v>276</v>
      </c>
      <c r="B54" t="s">
        <v>226</v>
      </c>
      <c r="C54" t="s">
        <v>0</v>
      </c>
      <c r="D54" t="s">
        <v>227</v>
      </c>
      <c r="E54" t="s">
        <v>123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2</v>
      </c>
      <c r="AC54">
        <v>4</v>
      </c>
      <c r="AD54">
        <v>5</v>
      </c>
      <c r="AE54">
        <v>5</v>
      </c>
    </row>
    <row r="55" spans="1:31" x14ac:dyDescent="0.3">
      <c r="A55" t="s">
        <v>276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276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276</v>
      </c>
      <c r="B57" t="s">
        <v>232</v>
      </c>
      <c r="C57" t="s">
        <v>0</v>
      </c>
      <c r="D57" t="s">
        <v>233</v>
      </c>
      <c r="E57" t="s">
        <v>123</v>
      </c>
      <c r="F57">
        <v>125910</v>
      </c>
      <c r="G57">
        <v>126237</v>
      </c>
      <c r="H57">
        <v>133962</v>
      </c>
      <c r="I57">
        <v>145195</v>
      </c>
      <c r="J57">
        <v>154220</v>
      </c>
      <c r="K57">
        <v>169294</v>
      </c>
      <c r="L57">
        <v>179287</v>
      </c>
      <c r="M57">
        <v>178402</v>
      </c>
      <c r="N57">
        <v>182160</v>
      </c>
      <c r="O57">
        <v>191110</v>
      </c>
      <c r="P57">
        <v>206017</v>
      </c>
      <c r="Q57">
        <v>219454</v>
      </c>
      <c r="R57">
        <v>239650</v>
      </c>
      <c r="S57">
        <v>256635</v>
      </c>
      <c r="T57">
        <v>251574</v>
      </c>
      <c r="U57">
        <v>247930</v>
      </c>
      <c r="V57">
        <v>262229</v>
      </c>
      <c r="W57">
        <v>281623</v>
      </c>
      <c r="X57">
        <v>291426</v>
      </c>
      <c r="Y57">
        <v>297341</v>
      </c>
      <c r="Z57">
        <v>302959</v>
      </c>
      <c r="AA57">
        <v>315887</v>
      </c>
      <c r="AB57">
        <v>331950</v>
      </c>
      <c r="AC57">
        <v>352921</v>
      </c>
      <c r="AD57">
        <v>374807</v>
      </c>
      <c r="AE57">
        <v>387294</v>
      </c>
    </row>
    <row r="58" spans="1:31" x14ac:dyDescent="0.3">
      <c r="A58" t="s">
        <v>276</v>
      </c>
      <c r="B58" t="s">
        <v>234</v>
      </c>
      <c r="C58" t="s">
        <v>0</v>
      </c>
      <c r="D58" t="s">
        <v>235</v>
      </c>
      <c r="E58" t="s">
        <v>123</v>
      </c>
      <c r="F58">
        <v>125910</v>
      </c>
      <c r="G58">
        <v>126237</v>
      </c>
      <c r="H58">
        <v>133962</v>
      </c>
      <c r="I58">
        <v>145195</v>
      </c>
      <c r="J58">
        <v>154220</v>
      </c>
      <c r="K58">
        <v>169294</v>
      </c>
      <c r="L58">
        <v>179287</v>
      </c>
      <c r="M58">
        <v>178402</v>
      </c>
      <c r="N58">
        <v>182160</v>
      </c>
      <c r="O58">
        <v>191110</v>
      </c>
      <c r="P58">
        <v>206017</v>
      </c>
      <c r="Q58">
        <v>219454</v>
      </c>
      <c r="R58">
        <v>239650</v>
      </c>
      <c r="S58">
        <v>256635</v>
      </c>
      <c r="T58">
        <v>251574</v>
      </c>
      <c r="U58">
        <v>247930</v>
      </c>
      <c r="V58">
        <v>262229</v>
      </c>
      <c r="W58">
        <v>281623</v>
      </c>
      <c r="X58">
        <v>291426</v>
      </c>
      <c r="Y58">
        <v>297341</v>
      </c>
      <c r="Z58">
        <v>302959</v>
      </c>
      <c r="AA58">
        <v>315887</v>
      </c>
      <c r="AB58">
        <v>331950</v>
      </c>
      <c r="AC58">
        <v>352921</v>
      </c>
      <c r="AD58">
        <v>374807</v>
      </c>
      <c r="AE58">
        <v>387294</v>
      </c>
    </row>
    <row r="59" spans="1:31" x14ac:dyDescent="0.3">
      <c r="A59" t="s">
        <v>276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277</v>
      </c>
      <c r="B2" t="s">
        <v>121</v>
      </c>
      <c r="C2" t="s">
        <v>0</v>
      </c>
      <c r="D2" t="s">
        <v>122</v>
      </c>
      <c r="E2" t="s">
        <v>123</v>
      </c>
      <c r="F2">
        <v>214</v>
      </c>
      <c r="G2">
        <v>153</v>
      </c>
      <c r="H2">
        <v>185</v>
      </c>
      <c r="I2">
        <v>161</v>
      </c>
      <c r="J2">
        <v>165</v>
      </c>
      <c r="K2">
        <v>181</v>
      </c>
      <c r="L2">
        <v>180</v>
      </c>
      <c r="M2">
        <v>212</v>
      </c>
      <c r="N2">
        <v>204</v>
      </c>
      <c r="O2">
        <v>176</v>
      </c>
      <c r="P2">
        <v>192</v>
      </c>
      <c r="Q2">
        <v>168</v>
      </c>
      <c r="R2">
        <v>168</v>
      </c>
      <c r="S2">
        <v>173</v>
      </c>
      <c r="T2">
        <v>161</v>
      </c>
      <c r="U2">
        <v>153</v>
      </c>
      <c r="V2">
        <v>148</v>
      </c>
      <c r="W2">
        <v>135</v>
      </c>
      <c r="X2">
        <v>132</v>
      </c>
      <c r="Y2">
        <v>117</v>
      </c>
      <c r="Z2">
        <v>111</v>
      </c>
      <c r="AA2">
        <v>98</v>
      </c>
      <c r="AB2">
        <v>94</v>
      </c>
      <c r="AC2">
        <v>87</v>
      </c>
      <c r="AD2">
        <v>89</v>
      </c>
      <c r="AE2">
        <v>101</v>
      </c>
    </row>
    <row r="3" spans="1:31" x14ac:dyDescent="0.3">
      <c r="A3" t="s">
        <v>277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277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277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277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277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277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277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277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277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277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277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277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277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277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277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277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277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277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277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277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277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277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277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277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277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277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277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277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277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277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277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277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277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277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277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277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277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277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277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277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277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277</v>
      </c>
      <c r="B44" t="s">
        <v>206</v>
      </c>
      <c r="C44" t="s">
        <v>0</v>
      </c>
      <c r="D44" t="s">
        <v>207</v>
      </c>
      <c r="E44" t="s">
        <v>123</v>
      </c>
      <c r="F44">
        <v>246</v>
      </c>
      <c r="G44">
        <v>173</v>
      </c>
      <c r="H44">
        <v>208</v>
      </c>
      <c r="I44">
        <v>181</v>
      </c>
      <c r="J44">
        <v>184</v>
      </c>
      <c r="K44">
        <v>202</v>
      </c>
      <c r="L44">
        <v>203</v>
      </c>
      <c r="M44">
        <v>239</v>
      </c>
      <c r="N44">
        <v>232</v>
      </c>
      <c r="O44">
        <v>201</v>
      </c>
      <c r="P44">
        <v>220</v>
      </c>
      <c r="Q44">
        <v>196</v>
      </c>
      <c r="R44">
        <v>200</v>
      </c>
      <c r="S44">
        <v>210</v>
      </c>
      <c r="T44">
        <v>200</v>
      </c>
      <c r="U44">
        <v>194</v>
      </c>
      <c r="V44">
        <v>190</v>
      </c>
      <c r="W44">
        <v>172</v>
      </c>
      <c r="X44">
        <v>172</v>
      </c>
      <c r="Y44">
        <v>156</v>
      </c>
      <c r="Z44">
        <v>148</v>
      </c>
      <c r="AA44">
        <v>124</v>
      </c>
      <c r="AB44">
        <v>114</v>
      </c>
      <c r="AC44">
        <v>110</v>
      </c>
      <c r="AD44">
        <v>114</v>
      </c>
      <c r="AE44">
        <v>120</v>
      </c>
    </row>
    <row r="45" spans="1:31" x14ac:dyDescent="0.3">
      <c r="A45" t="s">
        <v>277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277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277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277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277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277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277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277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277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277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277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277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277</v>
      </c>
      <c r="B57" t="s">
        <v>232</v>
      </c>
      <c r="C57" t="s">
        <v>0</v>
      </c>
      <c r="D57" t="s">
        <v>233</v>
      </c>
      <c r="E57" t="s">
        <v>123</v>
      </c>
      <c r="F57">
        <v>246</v>
      </c>
      <c r="G57">
        <v>173</v>
      </c>
      <c r="H57">
        <v>208</v>
      </c>
      <c r="I57">
        <v>181</v>
      </c>
      <c r="J57">
        <v>184</v>
      </c>
      <c r="K57">
        <v>202</v>
      </c>
      <c r="L57">
        <v>203</v>
      </c>
      <c r="M57">
        <v>239</v>
      </c>
      <c r="N57">
        <v>232</v>
      </c>
      <c r="O57">
        <v>201</v>
      </c>
      <c r="P57">
        <v>220</v>
      </c>
      <c r="Q57">
        <v>196</v>
      </c>
      <c r="R57">
        <v>200</v>
      </c>
      <c r="S57">
        <v>210</v>
      </c>
      <c r="T57">
        <v>200</v>
      </c>
      <c r="U57">
        <v>194</v>
      </c>
      <c r="V57">
        <v>190</v>
      </c>
      <c r="W57">
        <v>172</v>
      </c>
      <c r="X57">
        <v>172</v>
      </c>
      <c r="Y57">
        <v>156</v>
      </c>
      <c r="Z57">
        <v>148</v>
      </c>
      <c r="AA57">
        <v>124</v>
      </c>
      <c r="AB57">
        <v>114</v>
      </c>
      <c r="AC57">
        <v>110</v>
      </c>
      <c r="AD57">
        <v>114</v>
      </c>
      <c r="AE57">
        <v>120</v>
      </c>
    </row>
    <row r="58" spans="1:31" x14ac:dyDescent="0.3">
      <c r="A58" t="s">
        <v>277</v>
      </c>
      <c r="B58" t="s">
        <v>234</v>
      </c>
      <c r="C58" t="s">
        <v>0</v>
      </c>
      <c r="D58" t="s">
        <v>235</v>
      </c>
      <c r="E58" t="s">
        <v>123</v>
      </c>
      <c r="F58">
        <v>246</v>
      </c>
      <c r="G58">
        <v>173</v>
      </c>
      <c r="H58">
        <v>208</v>
      </c>
      <c r="I58">
        <v>181</v>
      </c>
      <c r="J58">
        <v>184</v>
      </c>
      <c r="K58">
        <v>202</v>
      </c>
      <c r="L58">
        <v>203</v>
      </c>
      <c r="M58">
        <v>239</v>
      </c>
      <c r="N58">
        <v>232</v>
      </c>
      <c r="O58">
        <v>201</v>
      </c>
      <c r="P58">
        <v>220</v>
      </c>
      <c r="Q58">
        <v>196</v>
      </c>
      <c r="R58">
        <v>200</v>
      </c>
      <c r="S58">
        <v>210</v>
      </c>
      <c r="T58">
        <v>200</v>
      </c>
      <c r="U58">
        <v>194</v>
      </c>
      <c r="V58">
        <v>190</v>
      </c>
      <c r="W58">
        <v>172</v>
      </c>
      <c r="X58">
        <v>172</v>
      </c>
      <c r="Y58">
        <v>156</v>
      </c>
      <c r="Z58">
        <v>148</v>
      </c>
      <c r="AA58">
        <v>124</v>
      </c>
      <c r="AB58">
        <v>114</v>
      </c>
      <c r="AC58">
        <v>110</v>
      </c>
      <c r="AD58">
        <v>114</v>
      </c>
      <c r="AE58">
        <v>120</v>
      </c>
    </row>
    <row r="59" spans="1:31" x14ac:dyDescent="0.3">
      <c r="A59" t="s">
        <v>277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278</v>
      </c>
      <c r="B2" t="s">
        <v>121</v>
      </c>
      <c r="C2" t="s">
        <v>0</v>
      </c>
      <c r="D2" t="s">
        <v>122</v>
      </c>
      <c r="E2" t="s">
        <v>123</v>
      </c>
      <c r="F2">
        <v>10</v>
      </c>
      <c r="G2">
        <v>9</v>
      </c>
      <c r="H2">
        <v>7</v>
      </c>
      <c r="I2">
        <v>9</v>
      </c>
      <c r="J2">
        <v>10</v>
      </c>
      <c r="K2">
        <v>10</v>
      </c>
      <c r="L2">
        <v>8</v>
      </c>
      <c r="M2">
        <v>8</v>
      </c>
      <c r="N2">
        <v>7</v>
      </c>
      <c r="O2">
        <v>5</v>
      </c>
      <c r="P2">
        <v>5</v>
      </c>
      <c r="Q2">
        <v>4</v>
      </c>
      <c r="R2">
        <v>3</v>
      </c>
      <c r="S2">
        <v>3</v>
      </c>
      <c r="T2">
        <v>3</v>
      </c>
      <c r="U2">
        <v>5</v>
      </c>
      <c r="V2">
        <v>9</v>
      </c>
      <c r="W2">
        <v>10</v>
      </c>
      <c r="X2">
        <v>8</v>
      </c>
      <c r="Y2">
        <v>9</v>
      </c>
      <c r="Z2">
        <v>8</v>
      </c>
      <c r="AA2">
        <v>9</v>
      </c>
      <c r="AB2">
        <v>12</v>
      </c>
      <c r="AC2">
        <v>21</v>
      </c>
      <c r="AD2">
        <v>32</v>
      </c>
      <c r="AE2">
        <v>39</v>
      </c>
    </row>
    <row r="3" spans="1:31" x14ac:dyDescent="0.3">
      <c r="A3" t="s">
        <v>278</v>
      </c>
      <c r="B3" t="s">
        <v>124</v>
      </c>
      <c r="C3" t="s">
        <v>0</v>
      </c>
      <c r="D3" t="s">
        <v>125</v>
      </c>
      <c r="E3" t="s">
        <v>123</v>
      </c>
      <c r="F3">
        <v>21</v>
      </c>
      <c r="G3">
        <v>23</v>
      </c>
      <c r="H3">
        <v>23</v>
      </c>
      <c r="I3">
        <v>27</v>
      </c>
      <c r="J3">
        <v>31</v>
      </c>
      <c r="K3">
        <v>35</v>
      </c>
      <c r="L3">
        <v>33</v>
      </c>
      <c r="M3">
        <v>31</v>
      </c>
      <c r="N3">
        <v>31</v>
      </c>
      <c r="O3">
        <v>30</v>
      </c>
      <c r="P3">
        <v>28</v>
      </c>
      <c r="Q3">
        <v>26</v>
      </c>
      <c r="R3">
        <v>28</v>
      </c>
      <c r="S3">
        <v>32</v>
      </c>
      <c r="T3">
        <v>40</v>
      </c>
      <c r="U3">
        <v>42</v>
      </c>
      <c r="V3">
        <v>42</v>
      </c>
      <c r="W3">
        <v>42</v>
      </c>
      <c r="X3">
        <v>42</v>
      </c>
      <c r="Y3">
        <v>39</v>
      </c>
      <c r="Z3">
        <v>36</v>
      </c>
      <c r="AA3">
        <v>42</v>
      </c>
      <c r="AB3">
        <v>56</v>
      </c>
      <c r="AC3">
        <v>61</v>
      </c>
      <c r="AD3">
        <v>58</v>
      </c>
      <c r="AE3">
        <v>62</v>
      </c>
    </row>
    <row r="4" spans="1:31" x14ac:dyDescent="0.3">
      <c r="A4" t="s">
        <v>278</v>
      </c>
      <c r="B4" t="s">
        <v>126</v>
      </c>
      <c r="C4" t="s">
        <v>0</v>
      </c>
      <c r="D4" t="s">
        <v>127</v>
      </c>
      <c r="E4" t="s">
        <v>123</v>
      </c>
      <c r="F4">
        <v>4474</v>
      </c>
      <c r="G4">
        <v>5002</v>
      </c>
      <c r="H4">
        <v>5578</v>
      </c>
      <c r="I4">
        <v>6403</v>
      </c>
      <c r="J4">
        <v>7392</v>
      </c>
      <c r="K4">
        <v>8835</v>
      </c>
      <c r="L4">
        <v>10129</v>
      </c>
      <c r="M4">
        <v>11194</v>
      </c>
      <c r="N4">
        <v>12157</v>
      </c>
      <c r="O4">
        <v>13376</v>
      </c>
      <c r="P4">
        <v>14566</v>
      </c>
      <c r="Q4">
        <v>15505</v>
      </c>
      <c r="R4">
        <v>16580</v>
      </c>
      <c r="S4">
        <v>18673</v>
      </c>
      <c r="T4">
        <v>19800</v>
      </c>
      <c r="U4">
        <v>20375</v>
      </c>
      <c r="V4">
        <v>20774</v>
      </c>
      <c r="W4">
        <v>20524</v>
      </c>
      <c r="X4">
        <v>20061</v>
      </c>
      <c r="Y4">
        <v>19352</v>
      </c>
      <c r="Z4">
        <v>18549</v>
      </c>
      <c r="AA4">
        <v>17813</v>
      </c>
      <c r="AB4">
        <v>16724</v>
      </c>
      <c r="AC4">
        <v>16032</v>
      </c>
      <c r="AD4">
        <v>16075</v>
      </c>
      <c r="AE4">
        <v>15810</v>
      </c>
    </row>
    <row r="5" spans="1:31" x14ac:dyDescent="0.3">
      <c r="A5" t="s">
        <v>278</v>
      </c>
      <c r="B5" t="s">
        <v>128</v>
      </c>
      <c r="C5" t="s">
        <v>0</v>
      </c>
      <c r="D5" t="s">
        <v>129</v>
      </c>
      <c r="E5" t="s">
        <v>123</v>
      </c>
      <c r="F5">
        <v>182</v>
      </c>
      <c r="G5">
        <v>190</v>
      </c>
      <c r="H5">
        <v>190</v>
      </c>
      <c r="I5">
        <v>196</v>
      </c>
      <c r="J5">
        <v>200</v>
      </c>
      <c r="K5">
        <v>210</v>
      </c>
      <c r="L5">
        <v>219</v>
      </c>
      <c r="M5">
        <v>225</v>
      </c>
      <c r="N5">
        <v>221</v>
      </c>
      <c r="O5">
        <v>225</v>
      </c>
      <c r="P5">
        <v>238</v>
      </c>
      <c r="Q5">
        <v>245</v>
      </c>
      <c r="R5">
        <v>245</v>
      </c>
      <c r="S5">
        <v>261</v>
      </c>
      <c r="T5">
        <v>269</v>
      </c>
      <c r="U5">
        <v>275</v>
      </c>
      <c r="V5">
        <v>283</v>
      </c>
      <c r="W5">
        <v>288</v>
      </c>
      <c r="X5">
        <v>297</v>
      </c>
      <c r="Y5">
        <v>300</v>
      </c>
      <c r="Z5">
        <v>294</v>
      </c>
      <c r="AA5">
        <v>287</v>
      </c>
      <c r="AB5">
        <v>285</v>
      </c>
      <c r="AC5">
        <v>279</v>
      </c>
      <c r="AD5">
        <v>282</v>
      </c>
      <c r="AE5">
        <v>283</v>
      </c>
    </row>
    <row r="6" spans="1:31" x14ac:dyDescent="0.3">
      <c r="A6" t="s">
        <v>278</v>
      </c>
      <c r="B6" t="s">
        <v>130</v>
      </c>
      <c r="C6" t="s">
        <v>0</v>
      </c>
      <c r="D6" t="s">
        <v>131</v>
      </c>
      <c r="E6" t="s">
        <v>123</v>
      </c>
      <c r="F6">
        <v>23</v>
      </c>
      <c r="G6">
        <v>25</v>
      </c>
      <c r="H6">
        <v>28</v>
      </c>
      <c r="I6">
        <v>32</v>
      </c>
      <c r="J6">
        <v>39</v>
      </c>
      <c r="K6">
        <v>44</v>
      </c>
      <c r="L6">
        <v>52</v>
      </c>
      <c r="M6">
        <v>53</v>
      </c>
      <c r="N6">
        <v>54</v>
      </c>
      <c r="O6">
        <v>55</v>
      </c>
      <c r="P6">
        <v>53</v>
      </c>
      <c r="Q6">
        <v>53</v>
      </c>
      <c r="R6">
        <v>52</v>
      </c>
      <c r="S6">
        <v>57</v>
      </c>
      <c r="T6">
        <v>63</v>
      </c>
      <c r="U6">
        <v>59</v>
      </c>
      <c r="V6">
        <v>54</v>
      </c>
      <c r="W6">
        <v>49</v>
      </c>
      <c r="X6">
        <v>45</v>
      </c>
      <c r="Y6">
        <v>43</v>
      </c>
      <c r="Z6">
        <v>43</v>
      </c>
      <c r="AA6">
        <v>41</v>
      </c>
      <c r="AB6">
        <v>37</v>
      </c>
      <c r="AC6">
        <v>34</v>
      </c>
      <c r="AD6">
        <v>31</v>
      </c>
      <c r="AE6">
        <v>28</v>
      </c>
    </row>
    <row r="7" spans="1:31" x14ac:dyDescent="0.3">
      <c r="A7" t="s">
        <v>278</v>
      </c>
      <c r="B7" t="s">
        <v>132</v>
      </c>
      <c r="C7" t="s">
        <v>0</v>
      </c>
      <c r="D7" t="s">
        <v>133</v>
      </c>
      <c r="E7" t="s">
        <v>123</v>
      </c>
      <c r="F7">
        <v>242</v>
      </c>
      <c r="G7">
        <v>266</v>
      </c>
      <c r="H7">
        <v>285</v>
      </c>
      <c r="I7">
        <v>307</v>
      </c>
      <c r="J7">
        <v>324</v>
      </c>
      <c r="K7">
        <v>361</v>
      </c>
      <c r="L7">
        <v>396</v>
      </c>
      <c r="M7">
        <v>430</v>
      </c>
      <c r="N7">
        <v>454</v>
      </c>
      <c r="O7">
        <v>481</v>
      </c>
      <c r="P7">
        <v>502</v>
      </c>
      <c r="Q7">
        <v>508</v>
      </c>
      <c r="R7">
        <v>518</v>
      </c>
      <c r="S7">
        <v>544</v>
      </c>
      <c r="T7">
        <v>540</v>
      </c>
      <c r="U7">
        <v>535</v>
      </c>
      <c r="V7">
        <v>508</v>
      </c>
      <c r="W7">
        <v>505</v>
      </c>
      <c r="X7">
        <v>491</v>
      </c>
      <c r="Y7">
        <v>470</v>
      </c>
      <c r="Z7">
        <v>462</v>
      </c>
      <c r="AA7">
        <v>456</v>
      </c>
      <c r="AB7">
        <v>453</v>
      </c>
      <c r="AC7">
        <v>459</v>
      </c>
      <c r="AD7">
        <v>483</v>
      </c>
      <c r="AE7">
        <v>493</v>
      </c>
    </row>
    <row r="8" spans="1:31" x14ac:dyDescent="0.3">
      <c r="A8" t="s">
        <v>278</v>
      </c>
      <c r="B8" t="s">
        <v>134</v>
      </c>
      <c r="C8" t="s">
        <v>0</v>
      </c>
      <c r="D8" t="s">
        <v>135</v>
      </c>
      <c r="E8" t="s">
        <v>123</v>
      </c>
      <c r="F8">
        <v>115</v>
      </c>
      <c r="G8">
        <v>124</v>
      </c>
      <c r="H8">
        <v>131</v>
      </c>
      <c r="I8">
        <v>143</v>
      </c>
      <c r="J8">
        <v>135</v>
      </c>
      <c r="K8">
        <v>139</v>
      </c>
      <c r="L8">
        <v>143</v>
      </c>
      <c r="M8">
        <v>137</v>
      </c>
      <c r="N8">
        <v>125</v>
      </c>
      <c r="O8">
        <v>114</v>
      </c>
      <c r="P8">
        <v>104</v>
      </c>
      <c r="Q8">
        <v>95</v>
      </c>
      <c r="R8">
        <v>99</v>
      </c>
      <c r="S8">
        <v>124</v>
      </c>
      <c r="T8">
        <v>141</v>
      </c>
      <c r="U8">
        <v>150</v>
      </c>
      <c r="V8">
        <v>159</v>
      </c>
      <c r="W8">
        <v>168</v>
      </c>
      <c r="X8">
        <v>170</v>
      </c>
      <c r="Y8">
        <v>165</v>
      </c>
      <c r="Z8">
        <v>161</v>
      </c>
      <c r="AA8">
        <v>161</v>
      </c>
      <c r="AB8">
        <v>160</v>
      </c>
      <c r="AC8">
        <v>162</v>
      </c>
      <c r="AD8">
        <v>171</v>
      </c>
      <c r="AE8">
        <v>175</v>
      </c>
    </row>
    <row r="9" spans="1:31" x14ac:dyDescent="0.3">
      <c r="A9" t="s">
        <v>278</v>
      </c>
      <c r="B9" t="s">
        <v>136</v>
      </c>
      <c r="C9" t="s">
        <v>0</v>
      </c>
      <c r="D9" t="s">
        <v>137</v>
      </c>
      <c r="E9" t="s">
        <v>123</v>
      </c>
      <c r="F9">
        <v>448</v>
      </c>
      <c r="G9">
        <v>489</v>
      </c>
      <c r="H9">
        <v>527</v>
      </c>
      <c r="I9">
        <v>569</v>
      </c>
      <c r="J9">
        <v>613</v>
      </c>
      <c r="K9">
        <v>679</v>
      </c>
      <c r="L9">
        <v>740</v>
      </c>
      <c r="M9">
        <v>798</v>
      </c>
      <c r="N9">
        <v>829</v>
      </c>
      <c r="O9">
        <v>887</v>
      </c>
      <c r="P9">
        <v>942</v>
      </c>
      <c r="Q9">
        <v>995</v>
      </c>
      <c r="R9">
        <v>1056</v>
      </c>
      <c r="S9">
        <v>1160</v>
      </c>
      <c r="T9">
        <v>1205</v>
      </c>
      <c r="U9">
        <v>1230</v>
      </c>
      <c r="V9">
        <v>1268</v>
      </c>
      <c r="W9">
        <v>1278</v>
      </c>
      <c r="X9">
        <v>1317</v>
      </c>
      <c r="Y9">
        <v>1279</v>
      </c>
      <c r="Z9">
        <v>1278</v>
      </c>
      <c r="AA9">
        <v>1279</v>
      </c>
      <c r="AB9">
        <v>1264</v>
      </c>
      <c r="AC9">
        <v>1248</v>
      </c>
      <c r="AD9">
        <v>1282</v>
      </c>
      <c r="AE9">
        <v>1283</v>
      </c>
    </row>
    <row r="10" spans="1:31" x14ac:dyDescent="0.3">
      <c r="A10" t="s">
        <v>278</v>
      </c>
      <c r="B10" t="s">
        <v>138</v>
      </c>
      <c r="C10" t="s">
        <v>0</v>
      </c>
      <c r="D10" t="s">
        <v>139</v>
      </c>
      <c r="E10" t="s">
        <v>123</v>
      </c>
      <c r="F10">
        <v>947</v>
      </c>
      <c r="G10">
        <v>1031</v>
      </c>
      <c r="H10">
        <v>1102</v>
      </c>
      <c r="I10">
        <v>1191</v>
      </c>
      <c r="J10">
        <v>1268</v>
      </c>
      <c r="K10">
        <v>1415</v>
      </c>
      <c r="L10">
        <v>1570</v>
      </c>
      <c r="M10">
        <v>1735</v>
      </c>
      <c r="N10">
        <v>1827</v>
      </c>
      <c r="O10">
        <v>1937</v>
      </c>
      <c r="P10">
        <v>2046</v>
      </c>
      <c r="Q10">
        <v>2137</v>
      </c>
      <c r="R10">
        <v>2279</v>
      </c>
      <c r="S10">
        <v>2507</v>
      </c>
      <c r="T10">
        <v>2633</v>
      </c>
      <c r="U10">
        <v>2696</v>
      </c>
      <c r="V10">
        <v>2782</v>
      </c>
      <c r="W10">
        <v>2890</v>
      </c>
      <c r="X10">
        <v>3007</v>
      </c>
      <c r="Y10">
        <v>3045</v>
      </c>
      <c r="Z10">
        <v>3104</v>
      </c>
      <c r="AA10">
        <v>3189</v>
      </c>
      <c r="AB10">
        <v>3236</v>
      </c>
      <c r="AC10">
        <v>3238</v>
      </c>
      <c r="AD10">
        <v>3305</v>
      </c>
      <c r="AE10">
        <v>3347</v>
      </c>
    </row>
    <row r="11" spans="1:31" x14ac:dyDescent="0.3">
      <c r="A11" t="s">
        <v>278</v>
      </c>
      <c r="B11" t="s">
        <v>140</v>
      </c>
      <c r="C11" t="s">
        <v>0</v>
      </c>
      <c r="D11" t="s">
        <v>141</v>
      </c>
      <c r="E11" t="s">
        <v>123</v>
      </c>
      <c r="F11">
        <v>499</v>
      </c>
      <c r="G11">
        <v>542</v>
      </c>
      <c r="H11">
        <v>575</v>
      </c>
      <c r="I11">
        <v>622</v>
      </c>
      <c r="J11">
        <v>655</v>
      </c>
      <c r="K11">
        <v>736</v>
      </c>
      <c r="L11">
        <v>830</v>
      </c>
      <c r="M11">
        <v>937</v>
      </c>
      <c r="N11">
        <v>998</v>
      </c>
      <c r="O11">
        <v>1050</v>
      </c>
      <c r="P11">
        <v>1104</v>
      </c>
      <c r="Q11">
        <v>1142</v>
      </c>
      <c r="R11">
        <v>1223</v>
      </c>
      <c r="S11">
        <v>1347</v>
      </c>
      <c r="T11">
        <v>1428</v>
      </c>
      <c r="U11">
        <v>1466</v>
      </c>
      <c r="V11">
        <v>1514</v>
      </c>
      <c r="W11">
        <v>1612</v>
      </c>
      <c r="X11">
        <v>1690</v>
      </c>
      <c r="Y11">
        <v>1766</v>
      </c>
      <c r="Z11">
        <v>1826</v>
      </c>
      <c r="AA11">
        <v>1910</v>
      </c>
      <c r="AB11">
        <v>1972</v>
      </c>
      <c r="AC11">
        <v>1990</v>
      </c>
      <c r="AD11">
        <v>2023</v>
      </c>
      <c r="AE11">
        <v>2064</v>
      </c>
    </row>
    <row r="12" spans="1:31" x14ac:dyDescent="0.3">
      <c r="A12" t="s">
        <v>278</v>
      </c>
      <c r="B12" t="s">
        <v>142</v>
      </c>
      <c r="C12" t="s">
        <v>0</v>
      </c>
      <c r="D12" t="s">
        <v>143</v>
      </c>
      <c r="E12" t="s">
        <v>123</v>
      </c>
      <c r="F12">
        <v>100</v>
      </c>
      <c r="G12">
        <v>108</v>
      </c>
      <c r="H12">
        <v>113</v>
      </c>
      <c r="I12">
        <v>119</v>
      </c>
      <c r="J12">
        <v>136</v>
      </c>
      <c r="K12">
        <v>158</v>
      </c>
      <c r="L12">
        <v>177</v>
      </c>
      <c r="M12">
        <v>198</v>
      </c>
      <c r="N12">
        <v>209</v>
      </c>
      <c r="O12">
        <v>225</v>
      </c>
      <c r="P12">
        <v>230</v>
      </c>
      <c r="Q12">
        <v>240</v>
      </c>
      <c r="R12">
        <v>252</v>
      </c>
      <c r="S12">
        <v>270</v>
      </c>
      <c r="T12">
        <v>281</v>
      </c>
      <c r="U12">
        <v>286</v>
      </c>
      <c r="V12">
        <v>294</v>
      </c>
      <c r="W12">
        <v>309</v>
      </c>
      <c r="X12">
        <v>314</v>
      </c>
      <c r="Y12">
        <v>314</v>
      </c>
      <c r="Z12">
        <v>325</v>
      </c>
      <c r="AA12">
        <v>329</v>
      </c>
      <c r="AB12">
        <v>342</v>
      </c>
      <c r="AC12">
        <v>345</v>
      </c>
      <c r="AD12">
        <v>368</v>
      </c>
      <c r="AE12">
        <v>380</v>
      </c>
    </row>
    <row r="13" spans="1:31" x14ac:dyDescent="0.3">
      <c r="A13" t="s">
        <v>278</v>
      </c>
      <c r="B13" t="s">
        <v>144</v>
      </c>
      <c r="C13" t="s">
        <v>0</v>
      </c>
      <c r="D13" t="s">
        <v>145</v>
      </c>
      <c r="E13" t="s">
        <v>123</v>
      </c>
      <c r="F13">
        <v>180</v>
      </c>
      <c r="G13">
        <v>192</v>
      </c>
      <c r="H13">
        <v>206</v>
      </c>
      <c r="I13">
        <v>223</v>
      </c>
      <c r="J13">
        <v>235</v>
      </c>
      <c r="K13">
        <v>254</v>
      </c>
      <c r="L13">
        <v>277</v>
      </c>
      <c r="M13">
        <v>284</v>
      </c>
      <c r="N13">
        <v>293</v>
      </c>
      <c r="O13">
        <v>310</v>
      </c>
      <c r="P13">
        <v>333</v>
      </c>
      <c r="Q13">
        <v>348</v>
      </c>
      <c r="R13">
        <v>366</v>
      </c>
      <c r="S13">
        <v>395</v>
      </c>
      <c r="T13">
        <v>420</v>
      </c>
      <c r="U13">
        <v>434</v>
      </c>
      <c r="V13">
        <v>437</v>
      </c>
      <c r="W13">
        <v>437</v>
      </c>
      <c r="X13">
        <v>428</v>
      </c>
      <c r="Y13">
        <v>401</v>
      </c>
      <c r="Z13">
        <v>384</v>
      </c>
      <c r="AA13">
        <v>368</v>
      </c>
      <c r="AB13">
        <v>358</v>
      </c>
      <c r="AC13">
        <v>352</v>
      </c>
      <c r="AD13">
        <v>356</v>
      </c>
      <c r="AE13">
        <v>361</v>
      </c>
    </row>
    <row r="14" spans="1:31" x14ac:dyDescent="0.3">
      <c r="A14" t="s">
        <v>278</v>
      </c>
      <c r="B14" t="s">
        <v>146</v>
      </c>
      <c r="C14" t="s">
        <v>0</v>
      </c>
      <c r="D14" t="s">
        <v>147</v>
      </c>
      <c r="E14" t="s">
        <v>123</v>
      </c>
      <c r="F14">
        <v>1573</v>
      </c>
      <c r="G14">
        <v>1848</v>
      </c>
      <c r="H14">
        <v>2215</v>
      </c>
      <c r="I14">
        <v>2763</v>
      </c>
      <c r="J14">
        <v>3504</v>
      </c>
      <c r="K14">
        <v>4533</v>
      </c>
      <c r="L14">
        <v>5387</v>
      </c>
      <c r="M14">
        <v>6056</v>
      </c>
      <c r="N14">
        <v>6814</v>
      </c>
      <c r="O14">
        <v>7773</v>
      </c>
      <c r="P14">
        <v>8714</v>
      </c>
      <c r="Q14">
        <v>9448</v>
      </c>
      <c r="R14">
        <v>10214</v>
      </c>
      <c r="S14">
        <v>11692</v>
      </c>
      <c r="T14">
        <v>12510</v>
      </c>
      <c r="U14">
        <v>12905</v>
      </c>
      <c r="V14">
        <v>13075</v>
      </c>
      <c r="W14">
        <v>12458</v>
      </c>
      <c r="X14">
        <v>11773</v>
      </c>
      <c r="Y14">
        <v>10991</v>
      </c>
      <c r="Z14">
        <v>10049</v>
      </c>
      <c r="AA14">
        <v>9126</v>
      </c>
      <c r="AB14">
        <v>8220</v>
      </c>
      <c r="AC14">
        <v>7370</v>
      </c>
      <c r="AD14">
        <v>6987</v>
      </c>
      <c r="AE14">
        <v>6464</v>
      </c>
    </row>
    <row r="15" spans="1:31" x14ac:dyDescent="0.3">
      <c r="A15" t="s">
        <v>278</v>
      </c>
      <c r="B15" t="s">
        <v>148</v>
      </c>
      <c r="C15" t="s">
        <v>0</v>
      </c>
      <c r="D15" t="s">
        <v>149</v>
      </c>
      <c r="E15" t="s">
        <v>123</v>
      </c>
      <c r="F15">
        <v>1826</v>
      </c>
      <c r="G15">
        <v>2119</v>
      </c>
      <c r="H15">
        <v>2496</v>
      </c>
      <c r="I15">
        <v>3065</v>
      </c>
      <c r="J15">
        <v>3820</v>
      </c>
      <c r="K15">
        <v>4874</v>
      </c>
      <c r="L15">
        <v>5748</v>
      </c>
      <c r="M15">
        <v>6441</v>
      </c>
      <c r="N15">
        <v>7223</v>
      </c>
      <c r="O15">
        <v>8218</v>
      </c>
      <c r="P15">
        <v>9193</v>
      </c>
      <c r="Q15">
        <v>9943</v>
      </c>
      <c r="R15">
        <v>10745</v>
      </c>
      <c r="S15">
        <v>12338</v>
      </c>
      <c r="T15">
        <v>13248</v>
      </c>
      <c r="U15">
        <v>13749</v>
      </c>
      <c r="V15">
        <v>14003</v>
      </c>
      <c r="W15">
        <v>13491</v>
      </c>
      <c r="X15">
        <v>12821</v>
      </c>
      <c r="Y15">
        <v>12113</v>
      </c>
      <c r="Z15">
        <v>11221</v>
      </c>
      <c r="AA15">
        <v>10317</v>
      </c>
      <c r="AB15">
        <v>9133</v>
      </c>
      <c r="AC15">
        <v>8294</v>
      </c>
      <c r="AD15">
        <v>7968</v>
      </c>
      <c r="AE15">
        <v>7465</v>
      </c>
    </row>
    <row r="16" spans="1:31" x14ac:dyDescent="0.3">
      <c r="A16" t="s">
        <v>278</v>
      </c>
      <c r="B16" t="s">
        <v>150</v>
      </c>
      <c r="C16" t="s">
        <v>0</v>
      </c>
      <c r="D16" t="s">
        <v>151</v>
      </c>
      <c r="E16" t="s">
        <v>123</v>
      </c>
      <c r="F16">
        <v>253</v>
      </c>
      <c r="G16">
        <v>271</v>
      </c>
      <c r="H16">
        <v>281</v>
      </c>
      <c r="I16">
        <v>302</v>
      </c>
      <c r="J16">
        <v>316</v>
      </c>
      <c r="K16">
        <v>341</v>
      </c>
      <c r="L16">
        <v>361</v>
      </c>
      <c r="M16">
        <v>385</v>
      </c>
      <c r="N16">
        <v>409</v>
      </c>
      <c r="O16">
        <v>445</v>
      </c>
      <c r="P16">
        <v>479</v>
      </c>
      <c r="Q16">
        <v>495</v>
      </c>
      <c r="R16">
        <v>531</v>
      </c>
      <c r="S16">
        <v>646</v>
      </c>
      <c r="T16">
        <v>738</v>
      </c>
      <c r="U16">
        <v>844</v>
      </c>
      <c r="V16">
        <v>928</v>
      </c>
      <c r="W16">
        <v>1033</v>
      </c>
      <c r="X16">
        <v>1048</v>
      </c>
      <c r="Y16">
        <v>1122</v>
      </c>
      <c r="Z16">
        <v>1172</v>
      </c>
      <c r="AA16">
        <v>1191</v>
      </c>
      <c r="AB16">
        <v>913</v>
      </c>
      <c r="AC16">
        <v>924</v>
      </c>
      <c r="AD16">
        <v>981</v>
      </c>
      <c r="AE16">
        <v>1001</v>
      </c>
    </row>
    <row r="17" spans="1:31" x14ac:dyDescent="0.3">
      <c r="A17" t="s">
        <v>278</v>
      </c>
      <c r="B17" t="s">
        <v>152</v>
      </c>
      <c r="C17" t="s">
        <v>0</v>
      </c>
      <c r="D17" t="s">
        <v>153</v>
      </c>
      <c r="E17" t="s">
        <v>123</v>
      </c>
      <c r="F17">
        <v>468</v>
      </c>
      <c r="G17">
        <v>515</v>
      </c>
      <c r="H17">
        <v>554</v>
      </c>
      <c r="I17">
        <v>609</v>
      </c>
      <c r="J17">
        <v>662</v>
      </c>
      <c r="K17">
        <v>723</v>
      </c>
      <c r="L17">
        <v>803</v>
      </c>
      <c r="M17">
        <v>864</v>
      </c>
      <c r="N17">
        <v>876</v>
      </c>
      <c r="O17">
        <v>895</v>
      </c>
      <c r="P17">
        <v>928</v>
      </c>
      <c r="Q17">
        <v>954</v>
      </c>
      <c r="R17">
        <v>1002</v>
      </c>
      <c r="S17">
        <v>1231</v>
      </c>
      <c r="T17">
        <v>1337</v>
      </c>
      <c r="U17">
        <v>1414</v>
      </c>
      <c r="V17">
        <v>1526</v>
      </c>
      <c r="W17">
        <v>1690</v>
      </c>
      <c r="X17">
        <v>1836</v>
      </c>
      <c r="Y17">
        <v>1925</v>
      </c>
      <c r="Z17">
        <v>2026</v>
      </c>
      <c r="AA17">
        <v>2162</v>
      </c>
      <c r="AB17">
        <v>2245</v>
      </c>
      <c r="AC17">
        <v>2392</v>
      </c>
      <c r="AD17">
        <v>2611</v>
      </c>
      <c r="AE17">
        <v>2760</v>
      </c>
    </row>
    <row r="18" spans="1:31" x14ac:dyDescent="0.3">
      <c r="A18" t="s">
        <v>278</v>
      </c>
      <c r="B18" t="s">
        <v>154</v>
      </c>
      <c r="C18" t="s">
        <v>0</v>
      </c>
      <c r="D18" t="s">
        <v>155</v>
      </c>
      <c r="E18" t="s">
        <v>123</v>
      </c>
      <c r="F18">
        <v>77</v>
      </c>
      <c r="G18">
        <v>85</v>
      </c>
      <c r="H18">
        <v>92</v>
      </c>
      <c r="I18">
        <v>95</v>
      </c>
      <c r="J18">
        <v>101</v>
      </c>
      <c r="K18">
        <v>112</v>
      </c>
      <c r="L18">
        <v>119</v>
      </c>
      <c r="M18">
        <v>125</v>
      </c>
      <c r="N18">
        <v>126</v>
      </c>
      <c r="O18">
        <v>132</v>
      </c>
      <c r="P18">
        <v>139</v>
      </c>
      <c r="Q18">
        <v>154</v>
      </c>
      <c r="R18">
        <v>153</v>
      </c>
      <c r="S18">
        <v>169</v>
      </c>
      <c r="T18">
        <v>193</v>
      </c>
      <c r="U18">
        <v>200</v>
      </c>
      <c r="V18">
        <v>227</v>
      </c>
      <c r="W18">
        <v>258</v>
      </c>
      <c r="X18">
        <v>275</v>
      </c>
      <c r="Y18">
        <v>257</v>
      </c>
      <c r="Z18">
        <v>259</v>
      </c>
      <c r="AA18">
        <v>267</v>
      </c>
      <c r="AB18">
        <v>277</v>
      </c>
      <c r="AC18">
        <v>293</v>
      </c>
      <c r="AD18">
        <v>323</v>
      </c>
      <c r="AE18">
        <v>345</v>
      </c>
    </row>
    <row r="19" spans="1:31" x14ac:dyDescent="0.3">
      <c r="A19" t="s">
        <v>278</v>
      </c>
      <c r="B19" t="s">
        <v>156</v>
      </c>
      <c r="C19" t="s">
        <v>0</v>
      </c>
      <c r="D19" t="s">
        <v>157</v>
      </c>
      <c r="E19" t="s">
        <v>123</v>
      </c>
      <c r="F19">
        <v>314</v>
      </c>
      <c r="G19">
        <v>347</v>
      </c>
      <c r="H19">
        <v>381</v>
      </c>
      <c r="I19">
        <v>423</v>
      </c>
      <c r="J19">
        <v>472</v>
      </c>
      <c r="K19">
        <v>545</v>
      </c>
      <c r="L19">
        <v>625</v>
      </c>
      <c r="M19">
        <v>702</v>
      </c>
      <c r="N19">
        <v>749</v>
      </c>
      <c r="O19">
        <v>784</v>
      </c>
      <c r="P19">
        <v>800</v>
      </c>
      <c r="Q19">
        <v>828</v>
      </c>
      <c r="R19">
        <v>869</v>
      </c>
      <c r="S19">
        <v>777</v>
      </c>
      <c r="T19">
        <v>675</v>
      </c>
      <c r="U19">
        <v>577</v>
      </c>
      <c r="V19">
        <v>501</v>
      </c>
      <c r="W19">
        <v>439</v>
      </c>
      <c r="X19">
        <v>377</v>
      </c>
      <c r="Y19">
        <v>319</v>
      </c>
      <c r="Z19">
        <v>270</v>
      </c>
      <c r="AA19">
        <v>236</v>
      </c>
      <c r="AB19">
        <v>198</v>
      </c>
      <c r="AC19">
        <v>184</v>
      </c>
      <c r="AD19">
        <v>177</v>
      </c>
      <c r="AE19">
        <v>173</v>
      </c>
    </row>
    <row r="20" spans="1:31" x14ac:dyDescent="0.3">
      <c r="A20" t="s">
        <v>278</v>
      </c>
      <c r="B20" t="s">
        <v>158</v>
      </c>
      <c r="C20" t="s">
        <v>0</v>
      </c>
      <c r="D20" t="s">
        <v>159</v>
      </c>
      <c r="E20" t="s">
        <v>123</v>
      </c>
      <c r="F20">
        <v>52</v>
      </c>
      <c r="G20">
        <v>64</v>
      </c>
      <c r="H20">
        <v>83</v>
      </c>
      <c r="I20">
        <v>101</v>
      </c>
      <c r="J20">
        <v>108</v>
      </c>
      <c r="K20">
        <v>111</v>
      </c>
      <c r="L20">
        <v>122</v>
      </c>
      <c r="M20">
        <v>115</v>
      </c>
      <c r="N20">
        <v>102</v>
      </c>
      <c r="O20">
        <v>91</v>
      </c>
      <c r="P20">
        <v>87</v>
      </c>
      <c r="Q20">
        <v>95</v>
      </c>
      <c r="R20">
        <v>90</v>
      </c>
      <c r="S20">
        <v>90</v>
      </c>
      <c r="T20">
        <v>92</v>
      </c>
      <c r="U20">
        <v>98</v>
      </c>
      <c r="V20">
        <v>103</v>
      </c>
      <c r="W20">
        <v>115</v>
      </c>
      <c r="X20">
        <v>119</v>
      </c>
      <c r="Y20">
        <v>114</v>
      </c>
      <c r="Z20">
        <v>113</v>
      </c>
      <c r="AA20">
        <v>131</v>
      </c>
      <c r="AB20">
        <v>170</v>
      </c>
      <c r="AC20">
        <v>191</v>
      </c>
      <c r="AD20">
        <v>226</v>
      </c>
      <c r="AE20">
        <v>243</v>
      </c>
    </row>
    <row r="21" spans="1:31" x14ac:dyDescent="0.3">
      <c r="A21" t="s">
        <v>278</v>
      </c>
      <c r="B21" t="s">
        <v>160</v>
      </c>
      <c r="C21" t="s">
        <v>0</v>
      </c>
      <c r="D21" t="s">
        <v>161</v>
      </c>
      <c r="E21" t="s">
        <v>123</v>
      </c>
      <c r="F21">
        <v>56</v>
      </c>
      <c r="G21">
        <v>68</v>
      </c>
      <c r="H21">
        <v>87</v>
      </c>
      <c r="I21">
        <v>105</v>
      </c>
      <c r="J21">
        <v>114</v>
      </c>
      <c r="K21">
        <v>118</v>
      </c>
      <c r="L21">
        <v>131</v>
      </c>
      <c r="M21">
        <v>127</v>
      </c>
      <c r="N21">
        <v>117</v>
      </c>
      <c r="O21">
        <v>111</v>
      </c>
      <c r="P21">
        <v>110</v>
      </c>
      <c r="Q21">
        <v>127</v>
      </c>
      <c r="R21">
        <v>132</v>
      </c>
      <c r="S21">
        <v>137</v>
      </c>
      <c r="T21">
        <v>143</v>
      </c>
      <c r="U21">
        <v>157</v>
      </c>
      <c r="V21">
        <v>166</v>
      </c>
      <c r="W21">
        <v>190</v>
      </c>
      <c r="X21">
        <v>201</v>
      </c>
      <c r="Y21">
        <v>197</v>
      </c>
      <c r="Z21">
        <v>207</v>
      </c>
      <c r="AA21">
        <v>235</v>
      </c>
      <c r="AB21">
        <v>270</v>
      </c>
      <c r="AC21">
        <v>285</v>
      </c>
      <c r="AD21">
        <v>317</v>
      </c>
      <c r="AE21">
        <v>322</v>
      </c>
    </row>
    <row r="22" spans="1:31" x14ac:dyDescent="0.3">
      <c r="A22" t="s">
        <v>278</v>
      </c>
      <c r="B22" t="s">
        <v>162</v>
      </c>
      <c r="C22" t="s">
        <v>0</v>
      </c>
      <c r="D22" t="s">
        <v>163</v>
      </c>
      <c r="E22" t="s">
        <v>123</v>
      </c>
      <c r="F22">
        <v>4</v>
      </c>
      <c r="G22">
        <v>4</v>
      </c>
      <c r="H22">
        <v>4</v>
      </c>
      <c r="I22">
        <v>4</v>
      </c>
      <c r="J22">
        <v>6</v>
      </c>
      <c r="K22">
        <v>7</v>
      </c>
      <c r="L22">
        <v>9</v>
      </c>
      <c r="M22">
        <v>12</v>
      </c>
      <c r="N22">
        <v>15</v>
      </c>
      <c r="O22">
        <v>20</v>
      </c>
      <c r="P22">
        <v>23</v>
      </c>
      <c r="Q22">
        <v>32</v>
      </c>
      <c r="R22">
        <v>42</v>
      </c>
      <c r="S22">
        <v>47</v>
      </c>
      <c r="T22">
        <v>51</v>
      </c>
      <c r="U22">
        <v>59</v>
      </c>
      <c r="V22">
        <v>63</v>
      </c>
      <c r="W22">
        <v>75</v>
      </c>
      <c r="X22">
        <v>82</v>
      </c>
      <c r="Y22">
        <v>83</v>
      </c>
      <c r="Z22">
        <v>94</v>
      </c>
      <c r="AA22">
        <v>104</v>
      </c>
      <c r="AB22">
        <v>100</v>
      </c>
      <c r="AC22">
        <v>94</v>
      </c>
      <c r="AD22">
        <v>91</v>
      </c>
      <c r="AE22">
        <v>79</v>
      </c>
    </row>
    <row r="23" spans="1:31" x14ac:dyDescent="0.3">
      <c r="A23" t="s">
        <v>278</v>
      </c>
      <c r="B23" t="s">
        <v>164</v>
      </c>
      <c r="C23" t="s">
        <v>0</v>
      </c>
      <c r="D23" t="s">
        <v>165</v>
      </c>
      <c r="E23" t="s">
        <v>123</v>
      </c>
      <c r="F23">
        <v>37</v>
      </c>
      <c r="G23">
        <v>40</v>
      </c>
      <c r="H23">
        <v>42</v>
      </c>
      <c r="I23">
        <v>44</v>
      </c>
      <c r="J23">
        <v>54</v>
      </c>
      <c r="K23">
        <v>76</v>
      </c>
      <c r="L23">
        <v>86</v>
      </c>
      <c r="M23">
        <v>101</v>
      </c>
      <c r="N23">
        <v>115</v>
      </c>
      <c r="O23">
        <v>115</v>
      </c>
      <c r="P23">
        <v>114</v>
      </c>
      <c r="Q23">
        <v>112</v>
      </c>
      <c r="R23">
        <v>115</v>
      </c>
      <c r="S23">
        <v>127</v>
      </c>
      <c r="T23">
        <v>145</v>
      </c>
      <c r="U23">
        <v>167</v>
      </c>
      <c r="V23">
        <v>182</v>
      </c>
      <c r="W23">
        <v>193</v>
      </c>
      <c r="X23">
        <v>215</v>
      </c>
      <c r="Y23">
        <v>189</v>
      </c>
      <c r="Z23">
        <v>180</v>
      </c>
      <c r="AA23">
        <v>165</v>
      </c>
      <c r="AB23">
        <v>158</v>
      </c>
      <c r="AC23">
        <v>149</v>
      </c>
      <c r="AD23">
        <v>147</v>
      </c>
      <c r="AE23">
        <v>148</v>
      </c>
    </row>
    <row r="24" spans="1:31" x14ac:dyDescent="0.3">
      <c r="A24" t="s">
        <v>278</v>
      </c>
      <c r="B24" t="s">
        <v>166</v>
      </c>
      <c r="C24" t="s">
        <v>0</v>
      </c>
      <c r="D24" t="s">
        <v>167</v>
      </c>
      <c r="E24" t="s">
        <v>123</v>
      </c>
      <c r="F24">
        <v>168</v>
      </c>
      <c r="G24">
        <v>190</v>
      </c>
      <c r="H24">
        <v>216</v>
      </c>
      <c r="I24">
        <v>256</v>
      </c>
      <c r="J24">
        <v>294</v>
      </c>
      <c r="K24">
        <v>359</v>
      </c>
      <c r="L24">
        <v>418</v>
      </c>
      <c r="M24">
        <v>354</v>
      </c>
      <c r="N24">
        <v>294</v>
      </c>
      <c r="O24">
        <v>246</v>
      </c>
      <c r="P24">
        <v>209</v>
      </c>
      <c r="Q24">
        <v>171</v>
      </c>
      <c r="R24">
        <v>195</v>
      </c>
      <c r="S24">
        <v>203</v>
      </c>
      <c r="T24">
        <v>213</v>
      </c>
      <c r="U24">
        <v>224</v>
      </c>
      <c r="V24">
        <v>240</v>
      </c>
      <c r="W24">
        <v>286</v>
      </c>
      <c r="X24">
        <v>298</v>
      </c>
      <c r="Y24">
        <v>298</v>
      </c>
      <c r="Z24">
        <v>302</v>
      </c>
      <c r="AA24">
        <v>301</v>
      </c>
      <c r="AB24">
        <v>287</v>
      </c>
      <c r="AC24">
        <v>297</v>
      </c>
      <c r="AD24">
        <v>314</v>
      </c>
      <c r="AE24">
        <v>315</v>
      </c>
    </row>
    <row r="25" spans="1:31" x14ac:dyDescent="0.3">
      <c r="A25" t="s">
        <v>278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3</v>
      </c>
      <c r="U25">
        <v>2</v>
      </c>
      <c r="V25">
        <v>2</v>
      </c>
      <c r="W25">
        <v>3</v>
      </c>
      <c r="X25">
        <v>4</v>
      </c>
      <c r="Y25">
        <v>7</v>
      </c>
      <c r="Z25">
        <v>11</v>
      </c>
      <c r="AA25">
        <v>13</v>
      </c>
      <c r="AB25">
        <v>12</v>
      </c>
      <c r="AC25">
        <v>10</v>
      </c>
      <c r="AD25">
        <v>12</v>
      </c>
      <c r="AE25">
        <v>12</v>
      </c>
    </row>
    <row r="26" spans="1:31" x14ac:dyDescent="0.3">
      <c r="A26" t="s">
        <v>278</v>
      </c>
      <c r="B26" t="s">
        <v>170</v>
      </c>
      <c r="C26" t="s">
        <v>0</v>
      </c>
      <c r="D26" t="s">
        <v>171</v>
      </c>
      <c r="E26" t="s">
        <v>123</v>
      </c>
      <c r="F26">
        <v>168</v>
      </c>
      <c r="G26">
        <v>190</v>
      </c>
      <c r="H26">
        <v>216</v>
      </c>
      <c r="I26">
        <v>255</v>
      </c>
      <c r="J26">
        <v>292</v>
      </c>
      <c r="K26">
        <v>356</v>
      </c>
      <c r="L26">
        <v>413</v>
      </c>
      <c r="M26">
        <v>349</v>
      </c>
      <c r="N26">
        <v>290</v>
      </c>
      <c r="O26">
        <v>243</v>
      </c>
      <c r="P26">
        <v>206</v>
      </c>
      <c r="Q26">
        <v>169</v>
      </c>
      <c r="R26">
        <v>193</v>
      </c>
      <c r="S26">
        <v>197</v>
      </c>
      <c r="T26">
        <v>209</v>
      </c>
      <c r="U26">
        <v>217</v>
      </c>
      <c r="V26">
        <v>230</v>
      </c>
      <c r="W26">
        <v>274</v>
      </c>
      <c r="X26">
        <v>286</v>
      </c>
      <c r="Y26">
        <v>283</v>
      </c>
      <c r="Z26">
        <v>284</v>
      </c>
      <c r="AA26">
        <v>280</v>
      </c>
      <c r="AB26">
        <v>269</v>
      </c>
      <c r="AC26">
        <v>282</v>
      </c>
      <c r="AD26">
        <v>298</v>
      </c>
      <c r="AE26">
        <v>299</v>
      </c>
    </row>
    <row r="27" spans="1:31" x14ac:dyDescent="0.3">
      <c r="A27" t="s">
        <v>278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1</v>
      </c>
      <c r="J27">
        <v>2</v>
      </c>
      <c r="K27">
        <v>3</v>
      </c>
      <c r="L27">
        <v>5</v>
      </c>
      <c r="M27">
        <v>5</v>
      </c>
      <c r="N27">
        <v>4</v>
      </c>
      <c r="O27">
        <v>3</v>
      </c>
      <c r="P27">
        <v>3</v>
      </c>
      <c r="Q27">
        <v>2</v>
      </c>
      <c r="R27">
        <v>2</v>
      </c>
      <c r="S27">
        <v>2</v>
      </c>
      <c r="T27">
        <v>1</v>
      </c>
      <c r="U27">
        <v>5</v>
      </c>
      <c r="V27">
        <v>8</v>
      </c>
      <c r="W27">
        <v>9</v>
      </c>
      <c r="X27">
        <v>8</v>
      </c>
      <c r="Y27">
        <v>8</v>
      </c>
      <c r="Z27">
        <v>7</v>
      </c>
      <c r="AA27">
        <v>8</v>
      </c>
      <c r="AB27">
        <v>6</v>
      </c>
      <c r="AC27">
        <v>5</v>
      </c>
      <c r="AD27">
        <v>4</v>
      </c>
      <c r="AE27">
        <v>4</v>
      </c>
    </row>
    <row r="28" spans="1:31" x14ac:dyDescent="0.3">
      <c r="A28" t="s">
        <v>278</v>
      </c>
      <c r="B28" t="s">
        <v>174</v>
      </c>
      <c r="C28" t="s">
        <v>0</v>
      </c>
      <c r="D28" t="s">
        <v>175</v>
      </c>
      <c r="E28" t="s">
        <v>123</v>
      </c>
      <c r="F28">
        <v>32</v>
      </c>
      <c r="G28">
        <v>36</v>
      </c>
      <c r="H28">
        <v>38</v>
      </c>
      <c r="I28">
        <v>39</v>
      </c>
      <c r="J28">
        <v>48</v>
      </c>
      <c r="K28">
        <v>54</v>
      </c>
      <c r="L28">
        <v>75</v>
      </c>
      <c r="M28">
        <v>80</v>
      </c>
      <c r="N28">
        <v>86</v>
      </c>
      <c r="O28">
        <v>92</v>
      </c>
      <c r="P28">
        <v>99</v>
      </c>
      <c r="Q28">
        <v>107</v>
      </c>
      <c r="R28">
        <v>109</v>
      </c>
      <c r="S28">
        <v>111</v>
      </c>
      <c r="T28">
        <v>108</v>
      </c>
      <c r="U28">
        <v>96</v>
      </c>
      <c r="V28">
        <v>92</v>
      </c>
      <c r="W28">
        <v>86</v>
      </c>
      <c r="X28">
        <v>82</v>
      </c>
      <c r="Y28">
        <v>81</v>
      </c>
      <c r="Z28">
        <v>77</v>
      </c>
      <c r="AA28">
        <v>73</v>
      </c>
      <c r="AB28">
        <v>69</v>
      </c>
      <c r="AC28">
        <v>63</v>
      </c>
      <c r="AD28">
        <v>62</v>
      </c>
      <c r="AE28">
        <v>62</v>
      </c>
    </row>
    <row r="29" spans="1:31" x14ac:dyDescent="0.3">
      <c r="A29" t="s">
        <v>278</v>
      </c>
      <c r="B29" t="s">
        <v>176</v>
      </c>
      <c r="C29" t="s">
        <v>0</v>
      </c>
      <c r="D29" t="s">
        <v>177</v>
      </c>
      <c r="E29" t="s">
        <v>123</v>
      </c>
      <c r="F29">
        <v>15</v>
      </c>
      <c r="G29">
        <v>16</v>
      </c>
      <c r="H29">
        <v>16</v>
      </c>
      <c r="I29">
        <v>16</v>
      </c>
      <c r="J29">
        <v>20</v>
      </c>
      <c r="K29">
        <v>21</v>
      </c>
      <c r="L29">
        <v>28</v>
      </c>
      <c r="M29">
        <v>24</v>
      </c>
      <c r="N29">
        <v>24</v>
      </c>
      <c r="O29">
        <v>23</v>
      </c>
      <c r="P29">
        <v>21</v>
      </c>
      <c r="Q29">
        <v>19</v>
      </c>
      <c r="R29">
        <v>17</v>
      </c>
      <c r="S29">
        <v>13</v>
      </c>
      <c r="T29">
        <v>11</v>
      </c>
      <c r="U29">
        <v>10</v>
      </c>
      <c r="V29">
        <v>9</v>
      </c>
      <c r="W29">
        <v>7</v>
      </c>
      <c r="X29">
        <v>7</v>
      </c>
      <c r="Y29">
        <v>7</v>
      </c>
      <c r="Z29">
        <v>7</v>
      </c>
      <c r="AA29">
        <v>6</v>
      </c>
      <c r="AB29">
        <v>5</v>
      </c>
      <c r="AC29">
        <v>5</v>
      </c>
      <c r="AD29">
        <v>7</v>
      </c>
      <c r="AE29">
        <v>6</v>
      </c>
    </row>
    <row r="30" spans="1:31" x14ac:dyDescent="0.3">
      <c r="A30" t="s">
        <v>278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1</v>
      </c>
      <c r="H30">
        <v>2</v>
      </c>
      <c r="I30">
        <v>2</v>
      </c>
      <c r="J30">
        <v>3</v>
      </c>
      <c r="K30">
        <v>3</v>
      </c>
      <c r="L30">
        <v>5</v>
      </c>
      <c r="M30">
        <v>5</v>
      </c>
      <c r="N30">
        <v>5</v>
      </c>
      <c r="O30">
        <v>5</v>
      </c>
      <c r="P30">
        <v>5</v>
      </c>
      <c r="Q30">
        <v>4</v>
      </c>
      <c r="R30">
        <v>4</v>
      </c>
      <c r="S30">
        <v>5</v>
      </c>
      <c r="T30">
        <v>4</v>
      </c>
      <c r="U30">
        <v>3</v>
      </c>
      <c r="V30">
        <v>3</v>
      </c>
      <c r="W30">
        <v>3</v>
      </c>
      <c r="X30">
        <v>2</v>
      </c>
      <c r="Y30">
        <v>3</v>
      </c>
      <c r="Z30">
        <v>2</v>
      </c>
      <c r="AA30">
        <v>3</v>
      </c>
      <c r="AB30">
        <v>2</v>
      </c>
      <c r="AC30">
        <v>2</v>
      </c>
      <c r="AD30">
        <v>2</v>
      </c>
      <c r="AE30">
        <v>3</v>
      </c>
    </row>
    <row r="31" spans="1:31" x14ac:dyDescent="0.3">
      <c r="A31" t="s">
        <v>278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278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3</v>
      </c>
      <c r="K32">
        <v>2</v>
      </c>
      <c r="L32">
        <v>2</v>
      </c>
      <c r="M32">
        <v>3</v>
      </c>
      <c r="N32">
        <v>3</v>
      </c>
      <c r="O32">
        <v>5</v>
      </c>
      <c r="P32">
        <v>6</v>
      </c>
      <c r="Q32">
        <v>7</v>
      </c>
      <c r="R32">
        <v>5</v>
      </c>
      <c r="S32">
        <v>6</v>
      </c>
      <c r="T32">
        <v>6</v>
      </c>
      <c r="U32">
        <v>5</v>
      </c>
      <c r="V32">
        <v>6</v>
      </c>
      <c r="W32">
        <v>6</v>
      </c>
      <c r="X32">
        <v>7</v>
      </c>
      <c r="Y32">
        <v>8</v>
      </c>
      <c r="Z32">
        <v>7</v>
      </c>
      <c r="AA32">
        <v>5</v>
      </c>
      <c r="AB32">
        <v>7</v>
      </c>
      <c r="AC32">
        <v>7</v>
      </c>
      <c r="AD32">
        <v>9</v>
      </c>
      <c r="AE32">
        <v>12</v>
      </c>
    </row>
    <row r="33" spans="1:31" x14ac:dyDescent="0.3">
      <c r="A33" t="s">
        <v>278</v>
      </c>
      <c r="B33" t="s">
        <v>184</v>
      </c>
      <c r="C33" t="s">
        <v>0</v>
      </c>
      <c r="D33" t="s">
        <v>185</v>
      </c>
      <c r="E33" t="s">
        <v>123</v>
      </c>
      <c r="F33">
        <v>17</v>
      </c>
      <c r="G33">
        <v>19</v>
      </c>
      <c r="H33">
        <v>20</v>
      </c>
      <c r="I33">
        <v>21</v>
      </c>
      <c r="J33">
        <v>22</v>
      </c>
      <c r="K33">
        <v>28</v>
      </c>
      <c r="L33">
        <v>40</v>
      </c>
      <c r="M33">
        <v>48</v>
      </c>
      <c r="N33">
        <v>54</v>
      </c>
      <c r="O33">
        <v>59</v>
      </c>
      <c r="P33">
        <v>67</v>
      </c>
      <c r="Q33">
        <v>77</v>
      </c>
      <c r="R33">
        <v>83</v>
      </c>
      <c r="S33">
        <v>87</v>
      </c>
      <c r="T33">
        <v>87</v>
      </c>
      <c r="U33">
        <v>78</v>
      </c>
      <c r="V33">
        <v>74</v>
      </c>
      <c r="W33">
        <v>70</v>
      </c>
      <c r="X33">
        <v>66</v>
      </c>
      <c r="Y33">
        <v>63</v>
      </c>
      <c r="Z33">
        <v>61</v>
      </c>
      <c r="AA33">
        <v>59</v>
      </c>
      <c r="AB33">
        <v>55</v>
      </c>
      <c r="AC33">
        <v>49</v>
      </c>
      <c r="AD33">
        <v>44</v>
      </c>
      <c r="AE33">
        <v>41</v>
      </c>
    </row>
    <row r="34" spans="1:31" x14ac:dyDescent="0.3">
      <c r="A34" t="s">
        <v>278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2</v>
      </c>
      <c r="W34">
        <v>2</v>
      </c>
      <c r="X34">
        <v>2</v>
      </c>
      <c r="Y34">
        <v>2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3</v>
      </c>
    </row>
    <row r="35" spans="1:31" x14ac:dyDescent="0.3">
      <c r="A35" t="s">
        <v>278</v>
      </c>
      <c r="B35" t="s">
        <v>188</v>
      </c>
      <c r="C35" t="s">
        <v>0</v>
      </c>
      <c r="D35" t="s">
        <v>189</v>
      </c>
      <c r="E35" t="s">
        <v>123</v>
      </c>
      <c r="F35">
        <v>154</v>
      </c>
      <c r="G35">
        <v>174</v>
      </c>
      <c r="H35">
        <v>196</v>
      </c>
      <c r="I35">
        <v>236</v>
      </c>
      <c r="J35">
        <v>314</v>
      </c>
      <c r="K35">
        <v>390</v>
      </c>
      <c r="L35">
        <v>439</v>
      </c>
      <c r="M35">
        <v>586</v>
      </c>
      <c r="N35">
        <v>679</v>
      </c>
      <c r="O35">
        <v>717</v>
      </c>
      <c r="P35">
        <v>786</v>
      </c>
      <c r="Q35">
        <v>753</v>
      </c>
      <c r="R35">
        <v>894</v>
      </c>
      <c r="S35">
        <v>967</v>
      </c>
      <c r="T35">
        <v>961</v>
      </c>
      <c r="U35">
        <v>965</v>
      </c>
      <c r="V35">
        <v>986</v>
      </c>
      <c r="W35">
        <v>1057</v>
      </c>
      <c r="X35">
        <v>1185</v>
      </c>
      <c r="Y35">
        <v>1212</v>
      </c>
      <c r="Z35">
        <v>1163</v>
      </c>
      <c r="AA35">
        <v>1133</v>
      </c>
      <c r="AB35">
        <v>1179</v>
      </c>
      <c r="AC35">
        <v>1127</v>
      </c>
      <c r="AD35">
        <v>1120</v>
      </c>
      <c r="AE35">
        <v>1147</v>
      </c>
    </row>
    <row r="36" spans="1:31" x14ac:dyDescent="0.3">
      <c r="A36" t="s">
        <v>278</v>
      </c>
      <c r="B36" t="s">
        <v>190</v>
      </c>
      <c r="C36" t="s">
        <v>0</v>
      </c>
      <c r="D36" t="s">
        <v>191</v>
      </c>
      <c r="E36" t="s">
        <v>123</v>
      </c>
      <c r="F36">
        <v>15</v>
      </c>
      <c r="G36">
        <v>16</v>
      </c>
      <c r="H36">
        <v>18</v>
      </c>
      <c r="I36">
        <v>19</v>
      </c>
      <c r="J36">
        <v>20</v>
      </c>
      <c r="K36">
        <v>19</v>
      </c>
      <c r="L36">
        <v>21</v>
      </c>
      <c r="M36">
        <v>22</v>
      </c>
      <c r="N36">
        <v>24</v>
      </c>
      <c r="O36">
        <v>25</v>
      </c>
      <c r="P36">
        <v>24</v>
      </c>
      <c r="Q36">
        <v>24</v>
      </c>
      <c r="R36">
        <v>27</v>
      </c>
      <c r="S36">
        <v>35</v>
      </c>
      <c r="T36">
        <v>38</v>
      </c>
      <c r="U36">
        <v>81</v>
      </c>
      <c r="V36">
        <v>122</v>
      </c>
      <c r="W36">
        <v>153</v>
      </c>
      <c r="X36">
        <v>188</v>
      </c>
      <c r="Y36">
        <v>226</v>
      </c>
      <c r="Z36">
        <v>252</v>
      </c>
      <c r="AA36">
        <v>253</v>
      </c>
      <c r="AB36">
        <v>299</v>
      </c>
      <c r="AC36">
        <v>353</v>
      </c>
      <c r="AD36">
        <v>431</v>
      </c>
      <c r="AE36">
        <v>472</v>
      </c>
    </row>
    <row r="37" spans="1:31" x14ac:dyDescent="0.3">
      <c r="A37" t="s">
        <v>278</v>
      </c>
      <c r="B37" t="s">
        <v>192</v>
      </c>
      <c r="C37" t="s">
        <v>0</v>
      </c>
      <c r="D37" t="s">
        <v>193</v>
      </c>
      <c r="E37" t="s">
        <v>123</v>
      </c>
      <c r="F37">
        <v>124</v>
      </c>
      <c r="G37">
        <v>142</v>
      </c>
      <c r="H37">
        <v>162</v>
      </c>
      <c r="I37">
        <v>197</v>
      </c>
      <c r="J37">
        <v>246</v>
      </c>
      <c r="K37">
        <v>291</v>
      </c>
      <c r="L37">
        <v>310</v>
      </c>
      <c r="M37">
        <v>353</v>
      </c>
      <c r="N37">
        <v>348</v>
      </c>
      <c r="O37">
        <v>362</v>
      </c>
      <c r="P37">
        <v>374</v>
      </c>
      <c r="Q37">
        <v>367</v>
      </c>
      <c r="R37">
        <v>355</v>
      </c>
      <c r="S37">
        <v>359</v>
      </c>
      <c r="T37">
        <v>341</v>
      </c>
      <c r="U37">
        <v>318</v>
      </c>
      <c r="V37">
        <v>299</v>
      </c>
      <c r="W37">
        <v>271</v>
      </c>
      <c r="X37">
        <v>257</v>
      </c>
      <c r="Y37">
        <v>240</v>
      </c>
      <c r="Z37">
        <v>222</v>
      </c>
      <c r="AA37">
        <v>209</v>
      </c>
      <c r="AB37">
        <v>192</v>
      </c>
      <c r="AC37">
        <v>175</v>
      </c>
      <c r="AD37">
        <v>174</v>
      </c>
      <c r="AE37">
        <v>163</v>
      </c>
    </row>
    <row r="38" spans="1:31" x14ac:dyDescent="0.3">
      <c r="A38" t="s">
        <v>278</v>
      </c>
      <c r="B38" t="s">
        <v>194</v>
      </c>
      <c r="C38" t="s">
        <v>0</v>
      </c>
      <c r="D38" t="s">
        <v>195</v>
      </c>
      <c r="E38" t="s">
        <v>123</v>
      </c>
      <c r="F38">
        <v>15</v>
      </c>
      <c r="G38">
        <v>16</v>
      </c>
      <c r="H38">
        <v>16</v>
      </c>
      <c r="I38">
        <v>20</v>
      </c>
      <c r="J38">
        <v>48</v>
      </c>
      <c r="K38">
        <v>80</v>
      </c>
      <c r="L38">
        <v>108</v>
      </c>
      <c r="M38">
        <v>211</v>
      </c>
      <c r="N38">
        <v>307</v>
      </c>
      <c r="O38">
        <v>330</v>
      </c>
      <c r="P38">
        <v>388</v>
      </c>
      <c r="Q38">
        <v>362</v>
      </c>
      <c r="R38">
        <v>512</v>
      </c>
      <c r="S38">
        <v>573</v>
      </c>
      <c r="T38">
        <v>582</v>
      </c>
      <c r="U38">
        <v>566</v>
      </c>
      <c r="V38">
        <v>565</v>
      </c>
      <c r="W38">
        <v>633</v>
      </c>
      <c r="X38">
        <v>740</v>
      </c>
      <c r="Y38">
        <v>746</v>
      </c>
      <c r="Z38">
        <v>689</v>
      </c>
      <c r="AA38">
        <v>671</v>
      </c>
      <c r="AB38">
        <v>688</v>
      </c>
      <c r="AC38">
        <v>599</v>
      </c>
      <c r="AD38">
        <v>515</v>
      </c>
      <c r="AE38">
        <v>512</v>
      </c>
    </row>
    <row r="39" spans="1:31" x14ac:dyDescent="0.3">
      <c r="A39" t="s">
        <v>278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7</v>
      </c>
      <c r="H39">
        <v>20</v>
      </c>
      <c r="I39">
        <v>20</v>
      </c>
      <c r="J39">
        <v>20</v>
      </c>
      <c r="K39">
        <v>26</v>
      </c>
      <c r="L39">
        <v>71</v>
      </c>
      <c r="M39">
        <v>60</v>
      </c>
      <c r="N39">
        <v>49</v>
      </c>
      <c r="O39">
        <v>41</v>
      </c>
      <c r="P39">
        <v>34</v>
      </c>
      <c r="Q39">
        <v>29</v>
      </c>
      <c r="R39">
        <v>57</v>
      </c>
      <c r="S39">
        <v>122</v>
      </c>
      <c r="T39">
        <v>166</v>
      </c>
      <c r="U39">
        <v>203</v>
      </c>
      <c r="V39">
        <v>238</v>
      </c>
      <c r="W39">
        <v>280</v>
      </c>
      <c r="X39">
        <v>292</v>
      </c>
      <c r="Y39">
        <v>306</v>
      </c>
      <c r="Z39">
        <v>328</v>
      </c>
      <c r="AA39">
        <v>338</v>
      </c>
      <c r="AB39">
        <v>369</v>
      </c>
      <c r="AC39">
        <v>389</v>
      </c>
      <c r="AD39">
        <v>415</v>
      </c>
      <c r="AE39">
        <v>423</v>
      </c>
    </row>
    <row r="40" spans="1:31" x14ac:dyDescent="0.3">
      <c r="A40" t="s">
        <v>278</v>
      </c>
      <c r="B40" t="s">
        <v>198</v>
      </c>
      <c r="C40" t="s">
        <v>0</v>
      </c>
      <c r="D40" t="s">
        <v>199</v>
      </c>
      <c r="E40" t="s">
        <v>123</v>
      </c>
      <c r="F40">
        <v>8</v>
      </c>
      <c r="G40">
        <v>9</v>
      </c>
      <c r="H40">
        <v>10</v>
      </c>
      <c r="I40">
        <v>9</v>
      </c>
      <c r="J40">
        <v>9</v>
      </c>
      <c r="K40">
        <v>10</v>
      </c>
      <c r="L40">
        <v>10</v>
      </c>
      <c r="M40">
        <v>8</v>
      </c>
      <c r="N40">
        <v>7</v>
      </c>
      <c r="O40">
        <v>5</v>
      </c>
      <c r="P40">
        <v>4</v>
      </c>
      <c r="Q40">
        <v>4</v>
      </c>
      <c r="R40">
        <v>3</v>
      </c>
      <c r="S40">
        <v>2</v>
      </c>
      <c r="T40">
        <v>2</v>
      </c>
      <c r="U40">
        <v>5</v>
      </c>
      <c r="V40">
        <v>7</v>
      </c>
      <c r="W40">
        <v>9</v>
      </c>
      <c r="X40">
        <v>9</v>
      </c>
      <c r="Y40">
        <v>7</v>
      </c>
      <c r="Z40">
        <v>8</v>
      </c>
      <c r="AA40">
        <v>9</v>
      </c>
      <c r="AB40">
        <v>9</v>
      </c>
      <c r="AC40">
        <v>9</v>
      </c>
      <c r="AD40">
        <v>9</v>
      </c>
      <c r="AE40">
        <v>10</v>
      </c>
    </row>
    <row r="41" spans="1:31" x14ac:dyDescent="0.3">
      <c r="A41" t="s">
        <v>278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278</v>
      </c>
      <c r="B42" t="s">
        <v>202</v>
      </c>
      <c r="C42" t="s">
        <v>0</v>
      </c>
      <c r="D42" t="s">
        <v>203</v>
      </c>
      <c r="E42" t="s">
        <v>123</v>
      </c>
      <c r="F42">
        <v>1575</v>
      </c>
      <c r="G42">
        <v>1685</v>
      </c>
      <c r="H42">
        <v>1786</v>
      </c>
      <c r="I42">
        <v>1910</v>
      </c>
      <c r="J42">
        <v>2028</v>
      </c>
      <c r="K42">
        <v>2227</v>
      </c>
      <c r="L42">
        <v>2421</v>
      </c>
      <c r="M42">
        <v>2672</v>
      </c>
      <c r="N42">
        <v>2761</v>
      </c>
      <c r="O42">
        <v>2916</v>
      </c>
      <c r="P42">
        <v>3065</v>
      </c>
      <c r="Q42">
        <v>3200</v>
      </c>
      <c r="R42">
        <v>3272</v>
      </c>
      <c r="S42">
        <v>3460</v>
      </c>
      <c r="T42">
        <v>3599</v>
      </c>
      <c r="U42">
        <v>3660</v>
      </c>
      <c r="V42">
        <v>3700</v>
      </c>
      <c r="W42">
        <v>3782</v>
      </c>
      <c r="X42">
        <v>3816</v>
      </c>
      <c r="Y42">
        <v>3731</v>
      </c>
      <c r="Z42">
        <v>3674</v>
      </c>
      <c r="AA42">
        <v>3617</v>
      </c>
      <c r="AB42">
        <v>3471</v>
      </c>
      <c r="AC42">
        <v>3455</v>
      </c>
      <c r="AD42">
        <v>3612</v>
      </c>
      <c r="AE42">
        <v>3644</v>
      </c>
    </row>
    <row r="43" spans="1:31" x14ac:dyDescent="0.3">
      <c r="A43" t="s">
        <v>278</v>
      </c>
      <c r="B43" t="s">
        <v>204</v>
      </c>
      <c r="C43" t="s">
        <v>0</v>
      </c>
      <c r="D43" t="s">
        <v>205</v>
      </c>
      <c r="E43" t="s">
        <v>123</v>
      </c>
      <c r="F43">
        <v>1580</v>
      </c>
      <c r="G43">
        <v>1691</v>
      </c>
      <c r="H43">
        <v>1794</v>
      </c>
      <c r="I43">
        <v>1919</v>
      </c>
      <c r="J43">
        <v>2038</v>
      </c>
      <c r="K43">
        <v>2236</v>
      </c>
      <c r="L43">
        <v>2430</v>
      </c>
      <c r="M43">
        <v>2685</v>
      </c>
      <c r="N43">
        <v>2775</v>
      </c>
      <c r="O43">
        <v>2936</v>
      </c>
      <c r="P43">
        <v>3090</v>
      </c>
      <c r="Q43">
        <v>3230</v>
      </c>
      <c r="R43">
        <v>3304</v>
      </c>
      <c r="S43">
        <v>3488</v>
      </c>
      <c r="T43">
        <v>3622</v>
      </c>
      <c r="U43">
        <v>3682</v>
      </c>
      <c r="V43">
        <v>3721</v>
      </c>
      <c r="W43">
        <v>3804</v>
      </c>
      <c r="X43">
        <v>3836</v>
      </c>
      <c r="Y43">
        <v>3756</v>
      </c>
      <c r="Z43">
        <v>3699</v>
      </c>
      <c r="AA43">
        <v>3651</v>
      </c>
      <c r="AB43">
        <v>3504</v>
      </c>
      <c r="AC43">
        <v>3488</v>
      </c>
      <c r="AD43">
        <v>3643</v>
      </c>
      <c r="AE43">
        <v>3686</v>
      </c>
    </row>
    <row r="44" spans="1:31" x14ac:dyDescent="0.3">
      <c r="A44" t="s">
        <v>278</v>
      </c>
      <c r="B44" t="s">
        <v>206</v>
      </c>
      <c r="C44" t="s">
        <v>0</v>
      </c>
      <c r="D44" t="s">
        <v>207</v>
      </c>
      <c r="E44" t="s">
        <v>123</v>
      </c>
      <c r="F44">
        <v>6559</v>
      </c>
      <c r="G44">
        <v>7270</v>
      </c>
      <c r="H44">
        <v>8032</v>
      </c>
      <c r="I44">
        <v>9091</v>
      </c>
      <c r="J44">
        <v>10348</v>
      </c>
      <c r="K44">
        <v>12178</v>
      </c>
      <c r="L44">
        <v>13864</v>
      </c>
      <c r="M44">
        <v>15271</v>
      </c>
      <c r="N44">
        <v>16358</v>
      </c>
      <c r="O44">
        <v>17723</v>
      </c>
      <c r="P44">
        <v>19096</v>
      </c>
      <c r="Q44">
        <v>20119</v>
      </c>
      <c r="R44">
        <v>21473</v>
      </c>
      <c r="S44">
        <v>23919</v>
      </c>
      <c r="T44">
        <v>25260</v>
      </c>
      <c r="U44">
        <v>25981</v>
      </c>
      <c r="V44">
        <v>26519</v>
      </c>
      <c r="W44">
        <v>26551</v>
      </c>
      <c r="X44">
        <v>26301</v>
      </c>
      <c r="Y44">
        <v>25528</v>
      </c>
      <c r="Z44">
        <v>24643</v>
      </c>
      <c r="AA44">
        <v>23853</v>
      </c>
      <c r="AB44">
        <v>22731</v>
      </c>
      <c r="AC44">
        <v>22025</v>
      </c>
      <c r="AD44">
        <v>22307</v>
      </c>
      <c r="AE44">
        <v>22146</v>
      </c>
    </row>
    <row r="45" spans="1:31" x14ac:dyDescent="0.3">
      <c r="A45" t="s">
        <v>278</v>
      </c>
      <c r="B45" t="s">
        <v>208</v>
      </c>
      <c r="C45" t="s">
        <v>0</v>
      </c>
      <c r="D45" t="s">
        <v>209</v>
      </c>
      <c r="E45" t="s">
        <v>123</v>
      </c>
      <c r="F45">
        <v>6549</v>
      </c>
      <c r="G45">
        <v>7261</v>
      </c>
      <c r="H45">
        <v>8025</v>
      </c>
      <c r="I45">
        <v>9082</v>
      </c>
      <c r="J45">
        <v>10338</v>
      </c>
      <c r="K45">
        <v>12168</v>
      </c>
      <c r="L45">
        <v>13856</v>
      </c>
      <c r="M45">
        <v>15263</v>
      </c>
      <c r="N45">
        <v>16351</v>
      </c>
      <c r="O45">
        <v>17718</v>
      </c>
      <c r="P45">
        <v>19091</v>
      </c>
      <c r="Q45">
        <v>20115</v>
      </c>
      <c r="R45">
        <v>21470</v>
      </c>
      <c r="S45">
        <v>23916</v>
      </c>
      <c r="T45">
        <v>25257</v>
      </c>
      <c r="U45">
        <v>25976</v>
      </c>
      <c r="V45">
        <v>26510</v>
      </c>
      <c r="W45">
        <v>26541</v>
      </c>
      <c r="X45">
        <v>26293</v>
      </c>
      <c r="Y45">
        <v>25519</v>
      </c>
      <c r="Z45">
        <v>24635</v>
      </c>
      <c r="AA45">
        <v>23844</v>
      </c>
      <c r="AB45">
        <v>22719</v>
      </c>
      <c r="AC45">
        <v>22004</v>
      </c>
      <c r="AD45">
        <v>22275</v>
      </c>
      <c r="AE45">
        <v>22107</v>
      </c>
    </row>
    <row r="46" spans="1:31" x14ac:dyDescent="0.3">
      <c r="A46" t="s">
        <v>278</v>
      </c>
      <c r="B46" t="s">
        <v>210</v>
      </c>
      <c r="C46" t="s">
        <v>0</v>
      </c>
      <c r="D46" t="s">
        <v>211</v>
      </c>
      <c r="E46" t="s">
        <v>123</v>
      </c>
      <c r="F46">
        <v>5</v>
      </c>
      <c r="G46">
        <v>6</v>
      </c>
      <c r="H46">
        <v>8</v>
      </c>
      <c r="I46">
        <v>9</v>
      </c>
      <c r="J46">
        <v>10</v>
      </c>
      <c r="K46">
        <v>9</v>
      </c>
      <c r="L46">
        <v>9</v>
      </c>
      <c r="M46">
        <v>13</v>
      </c>
      <c r="N46">
        <v>14</v>
      </c>
      <c r="O46">
        <v>20</v>
      </c>
      <c r="P46">
        <v>25</v>
      </c>
      <c r="Q46">
        <v>30</v>
      </c>
      <c r="R46">
        <v>32</v>
      </c>
      <c r="S46">
        <v>28</v>
      </c>
      <c r="T46">
        <v>23</v>
      </c>
      <c r="U46">
        <v>22</v>
      </c>
      <c r="V46">
        <v>21</v>
      </c>
      <c r="W46">
        <v>22</v>
      </c>
      <c r="X46">
        <v>20</v>
      </c>
      <c r="Y46">
        <v>25</v>
      </c>
      <c r="Z46">
        <v>25</v>
      </c>
      <c r="AA46">
        <v>34</v>
      </c>
      <c r="AB46">
        <v>33</v>
      </c>
      <c r="AC46">
        <v>33</v>
      </c>
      <c r="AD46">
        <v>31</v>
      </c>
      <c r="AE46">
        <v>42</v>
      </c>
    </row>
    <row r="47" spans="1:31" x14ac:dyDescent="0.3">
      <c r="A47" t="s">
        <v>278</v>
      </c>
      <c r="B47" t="s">
        <v>212</v>
      </c>
      <c r="C47" t="s">
        <v>0</v>
      </c>
      <c r="D47" t="s">
        <v>213</v>
      </c>
      <c r="E47" t="s">
        <v>123</v>
      </c>
      <c r="F47">
        <v>126</v>
      </c>
      <c r="G47">
        <v>132</v>
      </c>
      <c r="H47">
        <v>137</v>
      </c>
      <c r="I47">
        <v>149</v>
      </c>
      <c r="J47">
        <v>165</v>
      </c>
      <c r="K47">
        <v>183</v>
      </c>
      <c r="L47">
        <v>192</v>
      </c>
      <c r="M47">
        <v>208</v>
      </c>
      <c r="N47">
        <v>215</v>
      </c>
      <c r="O47">
        <v>225</v>
      </c>
      <c r="P47">
        <v>234</v>
      </c>
      <c r="Q47">
        <v>252</v>
      </c>
      <c r="R47">
        <v>247</v>
      </c>
      <c r="S47">
        <v>251</v>
      </c>
      <c r="T47">
        <v>264</v>
      </c>
      <c r="U47">
        <v>265</v>
      </c>
      <c r="V47">
        <v>261</v>
      </c>
      <c r="W47">
        <v>281</v>
      </c>
      <c r="X47">
        <v>284</v>
      </c>
      <c r="Y47">
        <v>276</v>
      </c>
      <c r="Z47">
        <v>271</v>
      </c>
      <c r="AA47">
        <v>298</v>
      </c>
      <c r="AB47">
        <v>332</v>
      </c>
      <c r="AC47">
        <v>362</v>
      </c>
      <c r="AD47">
        <v>395</v>
      </c>
      <c r="AE47">
        <v>414</v>
      </c>
    </row>
    <row r="48" spans="1:31" x14ac:dyDescent="0.3">
      <c r="A48" t="s">
        <v>278</v>
      </c>
      <c r="B48" t="s">
        <v>214</v>
      </c>
      <c r="C48" t="s">
        <v>0</v>
      </c>
      <c r="D48" t="s">
        <v>215</v>
      </c>
      <c r="E48" t="s">
        <v>123</v>
      </c>
      <c r="F48">
        <v>1793</v>
      </c>
      <c r="G48">
        <v>2024</v>
      </c>
      <c r="H48">
        <v>2326</v>
      </c>
      <c r="I48">
        <v>2510</v>
      </c>
      <c r="J48">
        <v>2718</v>
      </c>
      <c r="K48">
        <v>2936</v>
      </c>
      <c r="L48">
        <v>3197</v>
      </c>
      <c r="M48">
        <v>3481</v>
      </c>
      <c r="N48">
        <v>3695</v>
      </c>
      <c r="O48">
        <v>3970</v>
      </c>
      <c r="P48">
        <v>4231</v>
      </c>
      <c r="Q48">
        <v>4436</v>
      </c>
      <c r="R48">
        <v>4671</v>
      </c>
      <c r="S48">
        <v>5023</v>
      </c>
      <c r="T48">
        <v>5329</v>
      </c>
      <c r="U48">
        <v>5604</v>
      </c>
      <c r="V48">
        <v>5866</v>
      </c>
      <c r="W48">
        <v>6135</v>
      </c>
      <c r="X48">
        <v>6283</v>
      </c>
      <c r="Y48">
        <v>6367</v>
      </c>
      <c r="Z48">
        <v>6321</v>
      </c>
      <c r="AA48">
        <v>6470</v>
      </c>
      <c r="AB48">
        <v>6578</v>
      </c>
      <c r="AC48">
        <v>6706</v>
      </c>
      <c r="AD48">
        <v>7094</v>
      </c>
      <c r="AE48">
        <v>7285</v>
      </c>
    </row>
    <row r="49" spans="1:31" x14ac:dyDescent="0.3">
      <c r="A49" t="s">
        <v>278</v>
      </c>
      <c r="B49" t="s">
        <v>216</v>
      </c>
      <c r="C49" t="s">
        <v>0</v>
      </c>
      <c r="D49" t="s">
        <v>217</v>
      </c>
      <c r="E49" t="s">
        <v>123</v>
      </c>
      <c r="F49">
        <v>1659</v>
      </c>
      <c r="G49">
        <v>1882</v>
      </c>
      <c r="H49">
        <v>2178</v>
      </c>
      <c r="I49">
        <v>2347</v>
      </c>
      <c r="J49">
        <v>2536</v>
      </c>
      <c r="K49">
        <v>2733</v>
      </c>
      <c r="L49">
        <v>2982</v>
      </c>
      <c r="M49">
        <v>3249</v>
      </c>
      <c r="N49">
        <v>3455</v>
      </c>
      <c r="O49">
        <v>3718</v>
      </c>
      <c r="P49">
        <v>3970</v>
      </c>
      <c r="Q49">
        <v>4155</v>
      </c>
      <c r="R49">
        <v>4393</v>
      </c>
      <c r="S49">
        <v>4738</v>
      </c>
      <c r="T49">
        <v>5028</v>
      </c>
      <c r="U49">
        <v>5297</v>
      </c>
      <c r="V49">
        <v>5561</v>
      </c>
      <c r="W49">
        <v>5804</v>
      </c>
      <c r="X49">
        <v>5946</v>
      </c>
      <c r="Y49">
        <v>6034</v>
      </c>
      <c r="Z49">
        <v>5996</v>
      </c>
      <c r="AA49">
        <v>6116</v>
      </c>
      <c r="AB49">
        <v>6190</v>
      </c>
      <c r="AC49">
        <v>6279</v>
      </c>
      <c r="AD49">
        <v>6625</v>
      </c>
      <c r="AE49">
        <v>6788</v>
      </c>
    </row>
    <row r="50" spans="1:31" x14ac:dyDescent="0.3">
      <c r="A50" t="s">
        <v>278</v>
      </c>
      <c r="B50" t="s">
        <v>218</v>
      </c>
      <c r="C50" t="s">
        <v>0</v>
      </c>
      <c r="D50" t="s">
        <v>219</v>
      </c>
      <c r="E50" t="s">
        <v>123</v>
      </c>
      <c r="F50">
        <v>8</v>
      </c>
      <c r="G50">
        <v>10</v>
      </c>
      <c r="H50">
        <v>11</v>
      </c>
      <c r="I50">
        <v>14</v>
      </c>
      <c r="J50">
        <v>17</v>
      </c>
      <c r="K50">
        <v>20</v>
      </c>
      <c r="L50">
        <v>23</v>
      </c>
      <c r="M50">
        <v>24</v>
      </c>
      <c r="N50">
        <v>25</v>
      </c>
      <c r="O50">
        <v>27</v>
      </c>
      <c r="P50">
        <v>27</v>
      </c>
      <c r="Q50">
        <v>29</v>
      </c>
      <c r="R50">
        <v>31</v>
      </c>
      <c r="S50">
        <v>34</v>
      </c>
      <c r="T50">
        <v>37</v>
      </c>
      <c r="U50">
        <v>42</v>
      </c>
      <c r="V50">
        <v>44</v>
      </c>
      <c r="W50">
        <v>50</v>
      </c>
      <c r="X50">
        <v>53</v>
      </c>
      <c r="Y50">
        <v>57</v>
      </c>
      <c r="Z50">
        <v>54</v>
      </c>
      <c r="AA50">
        <v>56</v>
      </c>
      <c r="AB50">
        <v>56</v>
      </c>
      <c r="AC50">
        <v>65</v>
      </c>
      <c r="AD50">
        <v>74</v>
      </c>
      <c r="AE50">
        <v>83</v>
      </c>
    </row>
    <row r="51" spans="1:31" x14ac:dyDescent="0.3">
      <c r="A51" t="s">
        <v>278</v>
      </c>
      <c r="B51" t="s">
        <v>220</v>
      </c>
      <c r="C51" t="s">
        <v>0</v>
      </c>
      <c r="D51" t="s">
        <v>221</v>
      </c>
      <c r="E51" t="s">
        <v>123</v>
      </c>
      <c r="F51">
        <v>8</v>
      </c>
      <c r="G51">
        <v>9</v>
      </c>
      <c r="H51">
        <v>9</v>
      </c>
      <c r="I51">
        <v>12</v>
      </c>
      <c r="J51">
        <v>14</v>
      </c>
      <c r="K51">
        <v>17</v>
      </c>
      <c r="L51">
        <v>19</v>
      </c>
      <c r="M51">
        <v>19</v>
      </c>
      <c r="N51">
        <v>19</v>
      </c>
      <c r="O51">
        <v>20</v>
      </c>
      <c r="P51">
        <v>20</v>
      </c>
      <c r="Q51">
        <v>21</v>
      </c>
      <c r="R51">
        <v>23</v>
      </c>
      <c r="S51">
        <v>25</v>
      </c>
      <c r="T51">
        <v>28</v>
      </c>
      <c r="U51">
        <v>30</v>
      </c>
      <c r="V51">
        <v>30</v>
      </c>
      <c r="W51">
        <v>33</v>
      </c>
      <c r="X51">
        <v>33</v>
      </c>
      <c r="Y51">
        <v>34</v>
      </c>
      <c r="Z51">
        <v>28</v>
      </c>
      <c r="AA51">
        <v>27</v>
      </c>
      <c r="AB51">
        <v>26</v>
      </c>
      <c r="AC51">
        <v>34</v>
      </c>
      <c r="AD51">
        <v>38</v>
      </c>
      <c r="AE51">
        <v>43</v>
      </c>
    </row>
    <row r="52" spans="1:31" x14ac:dyDescent="0.3">
      <c r="A52" t="s">
        <v>278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</v>
      </c>
      <c r="H52">
        <v>2</v>
      </c>
      <c r="I52">
        <v>2</v>
      </c>
      <c r="J52">
        <v>3</v>
      </c>
      <c r="K52">
        <v>3</v>
      </c>
      <c r="L52">
        <v>4</v>
      </c>
      <c r="M52">
        <v>5</v>
      </c>
      <c r="N52">
        <v>6</v>
      </c>
      <c r="O52">
        <v>7</v>
      </c>
      <c r="P52">
        <v>7</v>
      </c>
      <c r="Q52">
        <v>8</v>
      </c>
      <c r="R52">
        <v>8</v>
      </c>
      <c r="S52">
        <v>9</v>
      </c>
      <c r="T52">
        <v>9</v>
      </c>
      <c r="U52">
        <v>12</v>
      </c>
      <c r="V52">
        <v>14</v>
      </c>
      <c r="W52">
        <v>17</v>
      </c>
      <c r="X52">
        <v>20</v>
      </c>
      <c r="Y52">
        <v>23</v>
      </c>
      <c r="Z52">
        <v>26</v>
      </c>
      <c r="AA52">
        <v>29</v>
      </c>
      <c r="AB52">
        <v>30</v>
      </c>
      <c r="AC52">
        <v>31</v>
      </c>
      <c r="AD52">
        <v>36</v>
      </c>
      <c r="AE52">
        <v>40</v>
      </c>
    </row>
    <row r="53" spans="1:31" x14ac:dyDescent="0.3">
      <c r="A53" t="s">
        <v>278</v>
      </c>
      <c r="B53" t="s">
        <v>224</v>
      </c>
      <c r="C53" t="s">
        <v>0</v>
      </c>
      <c r="D53" t="s">
        <v>225</v>
      </c>
      <c r="E53" t="s">
        <v>123</v>
      </c>
      <c r="F53">
        <v>6</v>
      </c>
      <c r="G53">
        <v>7</v>
      </c>
      <c r="H53">
        <v>8</v>
      </c>
      <c r="I53">
        <v>10</v>
      </c>
      <c r="J53">
        <v>11</v>
      </c>
      <c r="K53">
        <v>13</v>
      </c>
      <c r="L53">
        <v>14</v>
      </c>
      <c r="M53">
        <v>13</v>
      </c>
      <c r="N53">
        <v>13</v>
      </c>
      <c r="O53">
        <v>14</v>
      </c>
      <c r="P53">
        <v>14</v>
      </c>
      <c r="Q53">
        <v>14</v>
      </c>
      <c r="R53">
        <v>17</v>
      </c>
      <c r="S53">
        <v>19</v>
      </c>
      <c r="T53">
        <v>24</v>
      </c>
      <c r="U53">
        <v>30</v>
      </c>
      <c r="V53">
        <v>35</v>
      </c>
      <c r="W53">
        <v>43</v>
      </c>
      <c r="X53">
        <v>47</v>
      </c>
      <c r="Y53">
        <v>55</v>
      </c>
      <c r="Z53">
        <v>60</v>
      </c>
      <c r="AA53">
        <v>57</v>
      </c>
      <c r="AB53">
        <v>67</v>
      </c>
      <c r="AC53">
        <v>75</v>
      </c>
      <c r="AD53">
        <v>85</v>
      </c>
      <c r="AE53">
        <v>90</v>
      </c>
    </row>
    <row r="54" spans="1:31" x14ac:dyDescent="0.3">
      <c r="A54" t="s">
        <v>278</v>
      </c>
      <c r="B54" t="s">
        <v>226</v>
      </c>
      <c r="C54" t="s">
        <v>0</v>
      </c>
      <c r="D54" t="s">
        <v>227</v>
      </c>
      <c r="E54" t="s">
        <v>123</v>
      </c>
      <c r="F54">
        <v>27</v>
      </c>
      <c r="G54">
        <v>30</v>
      </c>
      <c r="H54">
        <v>31</v>
      </c>
      <c r="I54">
        <v>33</v>
      </c>
      <c r="J54">
        <v>33</v>
      </c>
      <c r="K54">
        <v>39</v>
      </c>
      <c r="L54">
        <v>44</v>
      </c>
      <c r="M54">
        <v>45</v>
      </c>
      <c r="N54">
        <v>48</v>
      </c>
      <c r="O54">
        <v>54</v>
      </c>
      <c r="P54">
        <v>55</v>
      </c>
      <c r="Q54">
        <v>55</v>
      </c>
      <c r="R54">
        <v>56</v>
      </c>
      <c r="S54">
        <v>56</v>
      </c>
      <c r="T54">
        <v>59</v>
      </c>
      <c r="U54">
        <v>64</v>
      </c>
      <c r="V54">
        <v>67</v>
      </c>
      <c r="W54">
        <v>77</v>
      </c>
      <c r="X54">
        <v>79</v>
      </c>
      <c r="Y54">
        <v>87</v>
      </c>
      <c r="Z54">
        <v>93</v>
      </c>
      <c r="AA54">
        <v>92</v>
      </c>
      <c r="AB54">
        <v>102</v>
      </c>
      <c r="AC54">
        <v>111</v>
      </c>
      <c r="AD54">
        <v>123</v>
      </c>
      <c r="AE54">
        <v>129</v>
      </c>
    </row>
    <row r="55" spans="1:31" x14ac:dyDescent="0.3">
      <c r="A55" t="s">
        <v>278</v>
      </c>
      <c r="B55" t="s">
        <v>228</v>
      </c>
      <c r="C55" t="s">
        <v>0</v>
      </c>
      <c r="D55" t="s">
        <v>229</v>
      </c>
      <c r="E55" t="s">
        <v>123</v>
      </c>
      <c r="F55">
        <v>21</v>
      </c>
      <c r="G55">
        <v>23</v>
      </c>
      <c r="H55">
        <v>23</v>
      </c>
      <c r="I55">
        <v>23</v>
      </c>
      <c r="J55">
        <v>22</v>
      </c>
      <c r="K55">
        <v>26</v>
      </c>
      <c r="L55">
        <v>30</v>
      </c>
      <c r="M55">
        <v>32</v>
      </c>
      <c r="N55">
        <v>35</v>
      </c>
      <c r="O55">
        <v>40</v>
      </c>
      <c r="P55">
        <v>41</v>
      </c>
      <c r="Q55">
        <v>41</v>
      </c>
      <c r="R55">
        <v>39</v>
      </c>
      <c r="S55">
        <v>37</v>
      </c>
      <c r="T55">
        <v>35</v>
      </c>
      <c r="U55">
        <v>34</v>
      </c>
      <c r="V55">
        <v>32</v>
      </c>
      <c r="W55">
        <v>34</v>
      </c>
      <c r="X55">
        <v>32</v>
      </c>
      <c r="Y55">
        <v>32</v>
      </c>
      <c r="Z55">
        <v>33</v>
      </c>
      <c r="AA55">
        <v>35</v>
      </c>
      <c r="AB55">
        <v>35</v>
      </c>
      <c r="AC55">
        <v>36</v>
      </c>
      <c r="AD55">
        <v>38</v>
      </c>
      <c r="AE55">
        <v>39</v>
      </c>
    </row>
    <row r="56" spans="1:31" x14ac:dyDescent="0.3">
      <c r="A56" t="s">
        <v>278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278</v>
      </c>
      <c r="B57" t="s">
        <v>232</v>
      </c>
      <c r="C57" t="s">
        <v>0</v>
      </c>
      <c r="D57" t="s">
        <v>233</v>
      </c>
      <c r="E57" t="s">
        <v>123</v>
      </c>
      <c r="F57">
        <v>8360</v>
      </c>
      <c r="G57">
        <v>9303</v>
      </c>
      <c r="H57">
        <v>10368</v>
      </c>
      <c r="I57">
        <v>11610</v>
      </c>
      <c r="J57">
        <v>13075</v>
      </c>
      <c r="K57">
        <v>15124</v>
      </c>
      <c r="L57">
        <v>17071</v>
      </c>
      <c r="M57">
        <v>18760</v>
      </c>
      <c r="N57">
        <v>20060</v>
      </c>
      <c r="O57">
        <v>21698</v>
      </c>
      <c r="P57">
        <v>23331</v>
      </c>
      <c r="Q57">
        <v>24559</v>
      </c>
      <c r="R57">
        <v>26147</v>
      </c>
      <c r="S57">
        <v>28944</v>
      </c>
      <c r="T57">
        <v>30591</v>
      </c>
      <c r="U57">
        <v>31590</v>
      </c>
      <c r="V57">
        <v>32392</v>
      </c>
      <c r="W57">
        <v>32695</v>
      </c>
      <c r="X57">
        <v>32593</v>
      </c>
      <c r="Y57">
        <v>31902</v>
      </c>
      <c r="Z57">
        <v>30972</v>
      </c>
      <c r="AA57">
        <v>30332</v>
      </c>
      <c r="AB57">
        <v>29318</v>
      </c>
      <c r="AC57">
        <v>28740</v>
      </c>
      <c r="AD57">
        <v>29410</v>
      </c>
      <c r="AE57">
        <v>29441</v>
      </c>
    </row>
    <row r="58" spans="1:31" x14ac:dyDescent="0.3">
      <c r="A58" t="s">
        <v>278</v>
      </c>
      <c r="B58" t="s">
        <v>234</v>
      </c>
      <c r="C58" t="s">
        <v>0</v>
      </c>
      <c r="D58" t="s">
        <v>235</v>
      </c>
      <c r="E58" t="s">
        <v>123</v>
      </c>
      <c r="F58">
        <v>8360</v>
      </c>
      <c r="G58">
        <v>9303</v>
      </c>
      <c r="H58">
        <v>10368</v>
      </c>
      <c r="I58">
        <v>11610</v>
      </c>
      <c r="J58">
        <v>13075</v>
      </c>
      <c r="K58">
        <v>15124</v>
      </c>
      <c r="L58">
        <v>17071</v>
      </c>
      <c r="M58">
        <v>18760</v>
      </c>
      <c r="N58">
        <v>20060</v>
      </c>
      <c r="O58">
        <v>21698</v>
      </c>
      <c r="P58">
        <v>23331</v>
      </c>
      <c r="Q58">
        <v>24559</v>
      </c>
      <c r="R58">
        <v>26147</v>
      </c>
      <c r="S58">
        <v>28944</v>
      </c>
      <c r="T58">
        <v>30591</v>
      </c>
      <c r="U58">
        <v>31590</v>
      </c>
      <c r="V58">
        <v>32392</v>
      </c>
      <c r="W58">
        <v>32695</v>
      </c>
      <c r="X58">
        <v>32593</v>
      </c>
      <c r="Y58">
        <v>31902</v>
      </c>
      <c r="Z58">
        <v>30972</v>
      </c>
      <c r="AA58">
        <v>30332</v>
      </c>
      <c r="AB58">
        <v>29318</v>
      </c>
      <c r="AC58">
        <v>28740</v>
      </c>
      <c r="AD58">
        <v>29410</v>
      </c>
      <c r="AE58">
        <v>29441</v>
      </c>
    </row>
    <row r="59" spans="1:31" x14ac:dyDescent="0.3">
      <c r="A59" t="s">
        <v>278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279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279</v>
      </c>
      <c r="B3" t="s">
        <v>124</v>
      </c>
      <c r="C3" t="s">
        <v>0</v>
      </c>
      <c r="D3" t="s">
        <v>125</v>
      </c>
      <c r="E3" t="s">
        <v>123</v>
      </c>
      <c r="F3">
        <v>118</v>
      </c>
      <c r="G3">
        <v>117</v>
      </c>
      <c r="H3">
        <v>114</v>
      </c>
      <c r="I3">
        <v>116</v>
      </c>
      <c r="J3">
        <v>121</v>
      </c>
      <c r="K3">
        <v>129</v>
      </c>
      <c r="L3">
        <v>154</v>
      </c>
      <c r="M3">
        <v>165</v>
      </c>
      <c r="N3">
        <v>173</v>
      </c>
      <c r="O3">
        <v>170</v>
      </c>
      <c r="P3">
        <v>177</v>
      </c>
      <c r="Q3">
        <v>182</v>
      </c>
      <c r="R3">
        <v>204</v>
      </c>
      <c r="S3">
        <v>234</v>
      </c>
      <c r="T3">
        <v>242</v>
      </c>
      <c r="U3">
        <v>254</v>
      </c>
      <c r="V3">
        <v>283</v>
      </c>
      <c r="W3">
        <v>317</v>
      </c>
      <c r="X3">
        <v>308</v>
      </c>
      <c r="Y3">
        <v>285</v>
      </c>
      <c r="Z3">
        <v>263</v>
      </c>
      <c r="AA3">
        <v>246</v>
      </c>
      <c r="AB3">
        <v>258</v>
      </c>
      <c r="AC3">
        <v>280</v>
      </c>
      <c r="AD3">
        <v>287</v>
      </c>
      <c r="AE3">
        <v>294</v>
      </c>
    </row>
    <row r="4" spans="1:31" x14ac:dyDescent="0.3">
      <c r="A4" t="s">
        <v>279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279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279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279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279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279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279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279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279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279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279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279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279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279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279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279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279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279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279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279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279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279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279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279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279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279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279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279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279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279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279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279</v>
      </c>
      <c r="B35" t="s">
        <v>188</v>
      </c>
      <c r="C35" t="s">
        <v>0</v>
      </c>
      <c r="D35" t="s">
        <v>189</v>
      </c>
      <c r="E35" t="s">
        <v>123</v>
      </c>
      <c r="F35">
        <v>777</v>
      </c>
      <c r="G35">
        <v>784</v>
      </c>
      <c r="H35">
        <v>805</v>
      </c>
      <c r="I35">
        <v>837</v>
      </c>
      <c r="J35">
        <v>844</v>
      </c>
      <c r="K35">
        <v>879</v>
      </c>
      <c r="L35">
        <v>945</v>
      </c>
      <c r="M35">
        <v>951</v>
      </c>
      <c r="N35">
        <v>935</v>
      </c>
      <c r="O35">
        <v>949</v>
      </c>
      <c r="P35">
        <v>970</v>
      </c>
      <c r="Q35">
        <v>1001</v>
      </c>
      <c r="R35">
        <v>1033</v>
      </c>
      <c r="S35">
        <v>1048</v>
      </c>
      <c r="T35">
        <v>1082</v>
      </c>
      <c r="U35">
        <v>1145</v>
      </c>
      <c r="V35">
        <v>1223</v>
      </c>
      <c r="W35">
        <v>1293</v>
      </c>
      <c r="X35">
        <v>1338</v>
      </c>
      <c r="Y35">
        <v>1362</v>
      </c>
      <c r="Z35">
        <v>1370</v>
      </c>
      <c r="AA35">
        <v>1452</v>
      </c>
      <c r="AB35">
        <v>1519</v>
      </c>
      <c r="AC35">
        <v>1583</v>
      </c>
      <c r="AD35">
        <v>1642</v>
      </c>
      <c r="AE35">
        <v>1694</v>
      </c>
    </row>
    <row r="36" spans="1:31" x14ac:dyDescent="0.3">
      <c r="A36" t="s">
        <v>279</v>
      </c>
      <c r="B36" t="s">
        <v>190</v>
      </c>
      <c r="C36" t="s">
        <v>0</v>
      </c>
      <c r="D36" t="s">
        <v>191</v>
      </c>
      <c r="E36" t="s">
        <v>123</v>
      </c>
      <c r="F36">
        <v>777</v>
      </c>
      <c r="G36">
        <v>784</v>
      </c>
      <c r="H36">
        <v>805</v>
      </c>
      <c r="I36">
        <v>837</v>
      </c>
      <c r="J36">
        <v>844</v>
      </c>
      <c r="K36">
        <v>879</v>
      </c>
      <c r="L36">
        <v>945</v>
      </c>
      <c r="M36">
        <v>951</v>
      </c>
      <c r="N36">
        <v>935</v>
      </c>
      <c r="O36">
        <v>949</v>
      </c>
      <c r="P36">
        <v>970</v>
      </c>
      <c r="Q36">
        <v>1001</v>
      </c>
      <c r="R36">
        <v>1033</v>
      </c>
      <c r="S36">
        <v>1048</v>
      </c>
      <c r="T36">
        <v>1082</v>
      </c>
      <c r="U36">
        <v>1145</v>
      </c>
      <c r="V36">
        <v>1223</v>
      </c>
      <c r="W36">
        <v>1293</v>
      </c>
      <c r="X36">
        <v>1338</v>
      </c>
      <c r="Y36">
        <v>1362</v>
      </c>
      <c r="Z36">
        <v>1370</v>
      </c>
      <c r="AA36">
        <v>1452</v>
      </c>
      <c r="AB36">
        <v>1519</v>
      </c>
      <c r="AC36">
        <v>1583</v>
      </c>
      <c r="AD36">
        <v>1642</v>
      </c>
      <c r="AE36">
        <v>1694</v>
      </c>
    </row>
    <row r="37" spans="1:31" x14ac:dyDescent="0.3">
      <c r="A37" t="s">
        <v>279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279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279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279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279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279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279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279</v>
      </c>
      <c r="B44" t="s">
        <v>206</v>
      </c>
      <c r="C44" t="s">
        <v>0</v>
      </c>
      <c r="D44" t="s">
        <v>207</v>
      </c>
      <c r="E44" t="s">
        <v>123</v>
      </c>
      <c r="F44">
        <v>998</v>
      </c>
      <c r="G44">
        <v>1003</v>
      </c>
      <c r="H44">
        <v>1022</v>
      </c>
      <c r="I44">
        <v>1059</v>
      </c>
      <c r="J44">
        <v>1072</v>
      </c>
      <c r="K44">
        <v>1121</v>
      </c>
      <c r="L44">
        <v>1219</v>
      </c>
      <c r="M44">
        <v>1237</v>
      </c>
      <c r="N44">
        <v>1229</v>
      </c>
      <c r="O44">
        <v>1245</v>
      </c>
      <c r="P44">
        <v>1279</v>
      </c>
      <c r="Q44">
        <v>1322</v>
      </c>
      <c r="R44">
        <v>1383</v>
      </c>
      <c r="S44">
        <v>1434</v>
      </c>
      <c r="T44">
        <v>1495</v>
      </c>
      <c r="U44">
        <v>1594</v>
      </c>
      <c r="V44">
        <v>1732</v>
      </c>
      <c r="W44">
        <v>1859</v>
      </c>
      <c r="X44">
        <v>1911</v>
      </c>
      <c r="Y44">
        <v>1923</v>
      </c>
      <c r="Z44">
        <v>1901</v>
      </c>
      <c r="AA44">
        <v>1984</v>
      </c>
      <c r="AB44">
        <v>2082</v>
      </c>
      <c r="AC44">
        <v>2198</v>
      </c>
      <c r="AD44">
        <v>2282</v>
      </c>
      <c r="AE44">
        <v>2363</v>
      </c>
    </row>
    <row r="45" spans="1:31" x14ac:dyDescent="0.3">
      <c r="A45" t="s">
        <v>279</v>
      </c>
      <c r="B45" t="s">
        <v>208</v>
      </c>
      <c r="C45" t="s">
        <v>0</v>
      </c>
      <c r="D45" t="s">
        <v>209</v>
      </c>
      <c r="E45" t="s">
        <v>123</v>
      </c>
      <c r="F45">
        <v>998</v>
      </c>
      <c r="G45">
        <v>1003</v>
      </c>
      <c r="H45">
        <v>1022</v>
      </c>
      <c r="I45">
        <v>1059</v>
      </c>
      <c r="J45">
        <v>1072</v>
      </c>
      <c r="K45">
        <v>1121</v>
      </c>
      <c r="L45">
        <v>1219</v>
      </c>
      <c r="M45">
        <v>1237</v>
      </c>
      <c r="N45">
        <v>1229</v>
      </c>
      <c r="O45">
        <v>1245</v>
      </c>
      <c r="P45">
        <v>1279</v>
      </c>
      <c r="Q45">
        <v>1322</v>
      </c>
      <c r="R45">
        <v>1383</v>
      </c>
      <c r="S45">
        <v>1434</v>
      </c>
      <c r="T45">
        <v>1495</v>
      </c>
      <c r="U45">
        <v>1594</v>
      </c>
      <c r="V45">
        <v>1732</v>
      </c>
      <c r="W45">
        <v>1859</v>
      </c>
      <c r="X45">
        <v>1911</v>
      </c>
      <c r="Y45">
        <v>1923</v>
      </c>
      <c r="Z45">
        <v>1901</v>
      </c>
      <c r="AA45">
        <v>1984</v>
      </c>
      <c r="AB45">
        <v>2082</v>
      </c>
      <c r="AC45">
        <v>2198</v>
      </c>
      <c r="AD45">
        <v>2282</v>
      </c>
      <c r="AE45">
        <v>2363</v>
      </c>
    </row>
    <row r="46" spans="1:31" x14ac:dyDescent="0.3">
      <c r="A46" t="s">
        <v>279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279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279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279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279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279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279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279</v>
      </c>
      <c r="B53" t="s">
        <v>224</v>
      </c>
      <c r="C53" t="s">
        <v>0</v>
      </c>
      <c r="D53" t="s">
        <v>225</v>
      </c>
      <c r="E53" t="s">
        <v>123</v>
      </c>
      <c r="F53">
        <v>103</v>
      </c>
      <c r="G53">
        <v>102</v>
      </c>
      <c r="H53">
        <v>103</v>
      </c>
      <c r="I53">
        <v>106</v>
      </c>
      <c r="J53">
        <v>107</v>
      </c>
      <c r="K53">
        <v>113</v>
      </c>
      <c r="L53">
        <v>120</v>
      </c>
      <c r="M53">
        <v>121</v>
      </c>
      <c r="N53">
        <v>121</v>
      </c>
      <c r="O53">
        <v>126</v>
      </c>
      <c r="P53">
        <v>132</v>
      </c>
      <c r="Q53">
        <v>139</v>
      </c>
      <c r="R53">
        <v>146</v>
      </c>
      <c r="S53">
        <v>152</v>
      </c>
      <c r="T53">
        <v>171</v>
      </c>
      <c r="U53">
        <v>195</v>
      </c>
      <c r="V53">
        <v>226</v>
      </c>
      <c r="W53">
        <v>249</v>
      </c>
      <c r="X53">
        <v>265</v>
      </c>
      <c r="Y53">
        <v>276</v>
      </c>
      <c r="Z53">
        <v>268</v>
      </c>
      <c r="AA53">
        <v>286</v>
      </c>
      <c r="AB53">
        <v>305</v>
      </c>
      <c r="AC53">
        <v>335</v>
      </c>
      <c r="AD53">
        <v>353</v>
      </c>
      <c r="AE53">
        <v>375</v>
      </c>
    </row>
    <row r="54" spans="1:31" x14ac:dyDescent="0.3">
      <c r="A54" t="s">
        <v>279</v>
      </c>
      <c r="B54" t="s">
        <v>226</v>
      </c>
      <c r="C54" t="s">
        <v>0</v>
      </c>
      <c r="D54" t="s">
        <v>227</v>
      </c>
      <c r="E54" t="s">
        <v>123</v>
      </c>
      <c r="F54">
        <v>103</v>
      </c>
      <c r="G54">
        <v>102</v>
      </c>
      <c r="H54">
        <v>103</v>
      </c>
      <c r="I54">
        <v>106</v>
      </c>
      <c r="J54">
        <v>107</v>
      </c>
      <c r="K54">
        <v>113</v>
      </c>
      <c r="L54">
        <v>120</v>
      </c>
      <c r="M54">
        <v>121</v>
      </c>
      <c r="N54">
        <v>121</v>
      </c>
      <c r="O54">
        <v>126</v>
      </c>
      <c r="P54">
        <v>132</v>
      </c>
      <c r="Q54">
        <v>139</v>
      </c>
      <c r="R54">
        <v>146</v>
      </c>
      <c r="S54">
        <v>152</v>
      </c>
      <c r="T54">
        <v>171</v>
      </c>
      <c r="U54">
        <v>195</v>
      </c>
      <c r="V54">
        <v>226</v>
      </c>
      <c r="W54">
        <v>249</v>
      </c>
      <c r="X54">
        <v>265</v>
      </c>
      <c r="Y54">
        <v>276</v>
      </c>
      <c r="Z54">
        <v>268</v>
      </c>
      <c r="AA54">
        <v>286</v>
      </c>
      <c r="AB54">
        <v>305</v>
      </c>
      <c r="AC54">
        <v>335</v>
      </c>
      <c r="AD54">
        <v>353</v>
      </c>
      <c r="AE54">
        <v>375</v>
      </c>
    </row>
    <row r="55" spans="1:31" x14ac:dyDescent="0.3">
      <c r="A55" t="s">
        <v>279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279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279</v>
      </c>
      <c r="B57" t="s">
        <v>232</v>
      </c>
      <c r="C57" t="s">
        <v>0</v>
      </c>
      <c r="D57" t="s">
        <v>233</v>
      </c>
      <c r="E57" t="s">
        <v>123</v>
      </c>
      <c r="F57">
        <v>998</v>
      </c>
      <c r="G57">
        <v>1003</v>
      </c>
      <c r="H57">
        <v>1022</v>
      </c>
      <c r="I57">
        <v>1059</v>
      </c>
      <c r="J57">
        <v>1072</v>
      </c>
      <c r="K57">
        <v>1121</v>
      </c>
      <c r="L57">
        <v>1219</v>
      </c>
      <c r="M57">
        <v>1237</v>
      </c>
      <c r="N57">
        <v>1229</v>
      </c>
      <c r="O57">
        <v>1245</v>
      </c>
      <c r="P57">
        <v>1279</v>
      </c>
      <c r="Q57">
        <v>1322</v>
      </c>
      <c r="R57">
        <v>1383</v>
      </c>
      <c r="S57">
        <v>1434</v>
      </c>
      <c r="T57">
        <v>1495</v>
      </c>
      <c r="U57">
        <v>1595</v>
      </c>
      <c r="V57">
        <v>1732</v>
      </c>
      <c r="W57">
        <v>1859</v>
      </c>
      <c r="X57">
        <v>1911</v>
      </c>
      <c r="Y57">
        <v>1923</v>
      </c>
      <c r="Z57">
        <v>1901</v>
      </c>
      <c r="AA57">
        <v>1984</v>
      </c>
      <c r="AB57">
        <v>2082</v>
      </c>
      <c r="AC57">
        <v>2198</v>
      </c>
      <c r="AD57">
        <v>2282</v>
      </c>
      <c r="AE57">
        <v>2363</v>
      </c>
    </row>
    <row r="58" spans="1:31" x14ac:dyDescent="0.3">
      <c r="A58" t="s">
        <v>279</v>
      </c>
      <c r="B58" t="s">
        <v>234</v>
      </c>
      <c r="C58" t="s">
        <v>0</v>
      </c>
      <c r="D58" t="s">
        <v>235</v>
      </c>
      <c r="E58" t="s">
        <v>123</v>
      </c>
      <c r="F58">
        <v>998</v>
      </c>
      <c r="G58">
        <v>1003</v>
      </c>
      <c r="H58">
        <v>1022</v>
      </c>
      <c r="I58">
        <v>1059</v>
      </c>
      <c r="J58">
        <v>1072</v>
      </c>
      <c r="K58">
        <v>1121</v>
      </c>
      <c r="L58">
        <v>1219</v>
      </c>
      <c r="M58">
        <v>1237</v>
      </c>
      <c r="N58">
        <v>1229</v>
      </c>
      <c r="O58">
        <v>1245</v>
      </c>
      <c r="P58">
        <v>1279</v>
      </c>
      <c r="Q58">
        <v>1322</v>
      </c>
      <c r="R58">
        <v>1383</v>
      </c>
      <c r="S58">
        <v>1434</v>
      </c>
      <c r="T58">
        <v>1495</v>
      </c>
      <c r="U58">
        <v>1595</v>
      </c>
      <c r="V58">
        <v>1732</v>
      </c>
      <c r="W58">
        <v>1859</v>
      </c>
      <c r="X58">
        <v>1911</v>
      </c>
      <c r="Y58">
        <v>1923</v>
      </c>
      <c r="Z58">
        <v>1901</v>
      </c>
      <c r="AA58">
        <v>1984</v>
      </c>
      <c r="AB58">
        <v>2082</v>
      </c>
      <c r="AC58">
        <v>2198</v>
      </c>
      <c r="AD58">
        <v>2282</v>
      </c>
      <c r="AE58">
        <v>2363</v>
      </c>
    </row>
    <row r="59" spans="1:31" x14ac:dyDescent="0.3">
      <c r="A59" t="s">
        <v>279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E59"/>
  <sheetViews>
    <sheetView tabSelected="1"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280</v>
      </c>
      <c r="B2" t="s">
        <v>121</v>
      </c>
      <c r="C2" t="s">
        <v>0</v>
      </c>
      <c r="D2" t="s">
        <v>122</v>
      </c>
      <c r="E2" t="s">
        <v>123</v>
      </c>
      <c r="F2">
        <v>12884</v>
      </c>
      <c r="G2">
        <v>12478</v>
      </c>
      <c r="H2">
        <v>12851</v>
      </c>
      <c r="I2">
        <v>12981</v>
      </c>
      <c r="J2">
        <v>13276</v>
      </c>
      <c r="K2">
        <v>13879</v>
      </c>
      <c r="L2">
        <v>14329</v>
      </c>
      <c r="M2">
        <v>14778</v>
      </c>
      <c r="N2">
        <v>15135</v>
      </c>
      <c r="O2">
        <v>15482</v>
      </c>
      <c r="P2">
        <v>16024</v>
      </c>
      <c r="Q2">
        <v>16801</v>
      </c>
      <c r="R2">
        <v>18165</v>
      </c>
      <c r="S2">
        <v>18638</v>
      </c>
      <c r="T2">
        <v>19103</v>
      </c>
      <c r="U2">
        <v>18742</v>
      </c>
      <c r="V2">
        <v>19148</v>
      </c>
      <c r="W2">
        <v>19905</v>
      </c>
      <c r="X2">
        <v>20259</v>
      </c>
      <c r="Y2">
        <v>20128</v>
      </c>
      <c r="Z2">
        <v>19882</v>
      </c>
      <c r="AA2">
        <v>19836</v>
      </c>
      <c r="AB2">
        <v>19934</v>
      </c>
      <c r="AC2">
        <v>20826</v>
      </c>
      <c r="AD2">
        <v>21327</v>
      </c>
      <c r="AE2">
        <v>21444</v>
      </c>
    </row>
    <row r="3" spans="1:31" x14ac:dyDescent="0.3">
      <c r="A3" t="s">
        <v>280</v>
      </c>
      <c r="B3" t="s">
        <v>124</v>
      </c>
      <c r="C3" t="s">
        <v>0</v>
      </c>
      <c r="D3" t="s">
        <v>125</v>
      </c>
      <c r="E3" t="s">
        <v>123</v>
      </c>
      <c r="F3">
        <v>810</v>
      </c>
      <c r="G3">
        <v>813</v>
      </c>
      <c r="H3">
        <v>797</v>
      </c>
      <c r="I3">
        <v>805</v>
      </c>
      <c r="J3">
        <v>835</v>
      </c>
      <c r="K3">
        <v>879</v>
      </c>
      <c r="L3">
        <v>941</v>
      </c>
      <c r="M3">
        <v>962</v>
      </c>
      <c r="N3">
        <v>1029</v>
      </c>
      <c r="O3">
        <v>1039</v>
      </c>
      <c r="P3">
        <v>1082</v>
      </c>
      <c r="Q3">
        <v>1143</v>
      </c>
      <c r="R3">
        <v>1429</v>
      </c>
      <c r="S3">
        <v>2055</v>
      </c>
      <c r="T3">
        <v>2237</v>
      </c>
      <c r="U3">
        <v>2338</v>
      </c>
      <c r="V3">
        <v>2665</v>
      </c>
      <c r="W3">
        <v>2963</v>
      </c>
      <c r="X3">
        <v>3075</v>
      </c>
      <c r="Y3">
        <v>3109</v>
      </c>
      <c r="Z3">
        <v>3210</v>
      </c>
      <c r="AA3">
        <v>3211</v>
      </c>
      <c r="AB3">
        <v>3325</v>
      </c>
      <c r="AC3">
        <v>3524</v>
      </c>
      <c r="AD3">
        <v>3671</v>
      </c>
      <c r="AE3">
        <v>3857</v>
      </c>
    </row>
    <row r="4" spans="1:31" x14ac:dyDescent="0.3">
      <c r="A4" t="s">
        <v>280</v>
      </c>
      <c r="B4" t="s">
        <v>126</v>
      </c>
      <c r="C4" t="s">
        <v>0</v>
      </c>
      <c r="D4" t="s">
        <v>127</v>
      </c>
      <c r="E4" t="s">
        <v>123</v>
      </c>
      <c r="F4">
        <v>40556</v>
      </c>
      <c r="G4">
        <v>41993</v>
      </c>
      <c r="H4">
        <v>43504</v>
      </c>
      <c r="I4">
        <v>45490</v>
      </c>
      <c r="J4">
        <v>47228</v>
      </c>
      <c r="K4">
        <v>49469</v>
      </c>
      <c r="L4">
        <v>52402</v>
      </c>
      <c r="M4">
        <v>53151</v>
      </c>
      <c r="N4">
        <v>53738</v>
      </c>
      <c r="O4">
        <v>54972</v>
      </c>
      <c r="P4">
        <v>56786</v>
      </c>
      <c r="Q4">
        <v>58055</v>
      </c>
      <c r="R4">
        <v>60906</v>
      </c>
      <c r="S4">
        <v>64289</v>
      </c>
      <c r="T4">
        <v>64359</v>
      </c>
      <c r="U4">
        <v>62453</v>
      </c>
      <c r="V4">
        <v>62453</v>
      </c>
      <c r="W4">
        <v>62573</v>
      </c>
      <c r="X4">
        <v>61308</v>
      </c>
      <c r="Y4">
        <v>59619</v>
      </c>
      <c r="Z4">
        <v>58578</v>
      </c>
      <c r="AA4">
        <v>57939</v>
      </c>
      <c r="AB4">
        <v>58105</v>
      </c>
      <c r="AC4">
        <v>58274</v>
      </c>
      <c r="AD4">
        <v>58948</v>
      </c>
      <c r="AE4">
        <v>58523</v>
      </c>
    </row>
    <row r="5" spans="1:31" x14ac:dyDescent="0.3">
      <c r="A5" t="s">
        <v>280</v>
      </c>
      <c r="B5" t="s">
        <v>128</v>
      </c>
      <c r="C5" t="s">
        <v>0</v>
      </c>
      <c r="D5" t="s">
        <v>129</v>
      </c>
      <c r="E5" t="s">
        <v>123</v>
      </c>
      <c r="F5">
        <v>4284</v>
      </c>
      <c r="G5">
        <v>4319</v>
      </c>
      <c r="H5">
        <v>4328</v>
      </c>
      <c r="I5">
        <v>4404</v>
      </c>
      <c r="J5">
        <v>4468</v>
      </c>
      <c r="K5">
        <v>4527</v>
      </c>
      <c r="L5">
        <v>4693</v>
      </c>
      <c r="M5">
        <v>4721</v>
      </c>
      <c r="N5">
        <v>4734</v>
      </c>
      <c r="O5">
        <v>4719</v>
      </c>
      <c r="P5">
        <v>4860</v>
      </c>
      <c r="Q5">
        <v>4923</v>
      </c>
      <c r="R5">
        <v>5145</v>
      </c>
      <c r="S5">
        <v>5352</v>
      </c>
      <c r="T5">
        <v>5260</v>
      </c>
      <c r="U5">
        <v>4971</v>
      </c>
      <c r="V5">
        <v>4984</v>
      </c>
      <c r="W5">
        <v>5127</v>
      </c>
      <c r="X5">
        <v>5163</v>
      </c>
      <c r="Y5">
        <v>5216</v>
      </c>
      <c r="Z5">
        <v>5256</v>
      </c>
      <c r="AA5">
        <v>5396</v>
      </c>
      <c r="AB5">
        <v>5567</v>
      </c>
      <c r="AC5">
        <v>5640</v>
      </c>
      <c r="AD5">
        <v>5677</v>
      </c>
      <c r="AE5">
        <v>5706</v>
      </c>
    </row>
    <row r="6" spans="1:31" x14ac:dyDescent="0.3">
      <c r="A6" t="s">
        <v>280</v>
      </c>
      <c r="B6" t="s">
        <v>130</v>
      </c>
      <c r="C6" t="s">
        <v>0</v>
      </c>
      <c r="D6" t="s">
        <v>131</v>
      </c>
      <c r="E6" t="s">
        <v>123</v>
      </c>
      <c r="F6">
        <v>744</v>
      </c>
      <c r="G6">
        <v>708</v>
      </c>
      <c r="H6">
        <v>696</v>
      </c>
      <c r="I6">
        <v>686</v>
      </c>
      <c r="J6">
        <v>665</v>
      </c>
      <c r="K6">
        <v>648</v>
      </c>
      <c r="L6">
        <v>649</v>
      </c>
      <c r="M6">
        <v>613</v>
      </c>
      <c r="N6">
        <v>582</v>
      </c>
      <c r="O6">
        <v>551</v>
      </c>
      <c r="P6">
        <v>534</v>
      </c>
      <c r="Q6">
        <v>519</v>
      </c>
      <c r="R6">
        <v>510</v>
      </c>
      <c r="S6">
        <v>496</v>
      </c>
      <c r="T6">
        <v>451</v>
      </c>
      <c r="U6">
        <v>402</v>
      </c>
      <c r="V6">
        <v>376</v>
      </c>
      <c r="W6">
        <v>368</v>
      </c>
      <c r="X6">
        <v>337</v>
      </c>
      <c r="Y6">
        <v>316</v>
      </c>
      <c r="Z6">
        <v>310</v>
      </c>
      <c r="AA6">
        <v>313</v>
      </c>
      <c r="AB6">
        <v>312</v>
      </c>
      <c r="AC6">
        <v>324</v>
      </c>
      <c r="AD6">
        <v>327</v>
      </c>
      <c r="AE6">
        <v>327</v>
      </c>
    </row>
    <row r="7" spans="1:31" x14ac:dyDescent="0.3">
      <c r="A7" t="s">
        <v>280</v>
      </c>
      <c r="B7" t="s">
        <v>132</v>
      </c>
      <c r="C7" t="s">
        <v>0</v>
      </c>
      <c r="D7" t="s">
        <v>133</v>
      </c>
      <c r="E7" t="s">
        <v>123</v>
      </c>
      <c r="F7">
        <v>14951</v>
      </c>
      <c r="G7">
        <v>15534</v>
      </c>
      <c r="H7">
        <v>15695</v>
      </c>
      <c r="I7">
        <v>15980</v>
      </c>
      <c r="J7">
        <v>15995</v>
      </c>
      <c r="K7">
        <v>16119</v>
      </c>
      <c r="L7">
        <v>16838</v>
      </c>
      <c r="M7">
        <v>16403</v>
      </c>
      <c r="N7">
        <v>16155</v>
      </c>
      <c r="O7">
        <v>15947</v>
      </c>
      <c r="P7">
        <v>16015</v>
      </c>
      <c r="Q7">
        <v>15891</v>
      </c>
      <c r="R7">
        <v>16052</v>
      </c>
      <c r="S7">
        <v>16319</v>
      </c>
      <c r="T7">
        <v>15442</v>
      </c>
      <c r="U7">
        <v>14384</v>
      </c>
      <c r="V7">
        <v>13997</v>
      </c>
      <c r="W7">
        <v>13807</v>
      </c>
      <c r="X7">
        <v>13428</v>
      </c>
      <c r="Y7">
        <v>12844</v>
      </c>
      <c r="Z7">
        <v>12431</v>
      </c>
      <c r="AA7">
        <v>12499</v>
      </c>
      <c r="AB7">
        <v>12929</v>
      </c>
      <c r="AC7">
        <v>12916</v>
      </c>
      <c r="AD7">
        <v>12942</v>
      </c>
      <c r="AE7">
        <v>12686</v>
      </c>
    </row>
    <row r="8" spans="1:31" x14ac:dyDescent="0.3">
      <c r="A8" t="s">
        <v>280</v>
      </c>
      <c r="B8" t="s">
        <v>134</v>
      </c>
      <c r="C8" t="s">
        <v>0</v>
      </c>
      <c r="D8" t="s">
        <v>135</v>
      </c>
      <c r="E8" t="s">
        <v>123</v>
      </c>
      <c r="F8">
        <v>1294</v>
      </c>
      <c r="G8">
        <v>1279</v>
      </c>
      <c r="H8">
        <v>1373</v>
      </c>
      <c r="I8">
        <v>1342</v>
      </c>
      <c r="J8">
        <v>1349</v>
      </c>
      <c r="K8">
        <v>1345</v>
      </c>
      <c r="L8">
        <v>1398</v>
      </c>
      <c r="M8">
        <v>1334</v>
      </c>
      <c r="N8">
        <v>1339</v>
      </c>
      <c r="O8">
        <v>1328</v>
      </c>
      <c r="P8">
        <v>1480</v>
      </c>
      <c r="Q8">
        <v>1644</v>
      </c>
      <c r="R8">
        <v>2372</v>
      </c>
      <c r="S8">
        <v>2438</v>
      </c>
      <c r="T8">
        <v>2461</v>
      </c>
      <c r="U8">
        <v>2452</v>
      </c>
      <c r="V8">
        <v>2436</v>
      </c>
      <c r="W8">
        <v>2490</v>
      </c>
      <c r="X8">
        <v>2496</v>
      </c>
      <c r="Y8">
        <v>2496</v>
      </c>
      <c r="Z8">
        <v>2663</v>
      </c>
      <c r="AA8">
        <v>2562</v>
      </c>
      <c r="AB8">
        <v>2886</v>
      </c>
      <c r="AC8">
        <v>2986</v>
      </c>
      <c r="AD8">
        <v>2993</v>
      </c>
      <c r="AE8">
        <v>2898</v>
      </c>
    </row>
    <row r="9" spans="1:31" x14ac:dyDescent="0.3">
      <c r="A9" t="s">
        <v>280</v>
      </c>
      <c r="B9" t="s">
        <v>136</v>
      </c>
      <c r="C9" t="s">
        <v>0</v>
      </c>
      <c r="D9" t="s">
        <v>137</v>
      </c>
      <c r="E9" t="s">
        <v>123</v>
      </c>
      <c r="F9">
        <v>3032</v>
      </c>
      <c r="G9">
        <v>3091</v>
      </c>
      <c r="H9">
        <v>3239</v>
      </c>
      <c r="I9">
        <v>3351</v>
      </c>
      <c r="J9">
        <v>3471</v>
      </c>
      <c r="K9">
        <v>3535</v>
      </c>
      <c r="L9">
        <v>3645</v>
      </c>
      <c r="M9">
        <v>3779</v>
      </c>
      <c r="N9">
        <v>3768</v>
      </c>
      <c r="O9">
        <v>3863</v>
      </c>
      <c r="P9">
        <v>3910</v>
      </c>
      <c r="Q9">
        <v>3969</v>
      </c>
      <c r="R9">
        <v>4197</v>
      </c>
      <c r="S9">
        <v>4419</v>
      </c>
      <c r="T9">
        <v>4553</v>
      </c>
      <c r="U9">
        <v>4355</v>
      </c>
      <c r="V9">
        <v>4366</v>
      </c>
      <c r="W9">
        <v>4440</v>
      </c>
      <c r="X9">
        <v>4524</v>
      </c>
      <c r="Y9">
        <v>4420</v>
      </c>
      <c r="Z9">
        <v>4473</v>
      </c>
      <c r="AA9">
        <v>4559</v>
      </c>
      <c r="AB9">
        <v>4828</v>
      </c>
      <c r="AC9">
        <v>4964</v>
      </c>
      <c r="AD9">
        <v>5082</v>
      </c>
      <c r="AE9">
        <v>5064</v>
      </c>
    </row>
    <row r="10" spans="1:31" x14ac:dyDescent="0.3">
      <c r="A10" t="s">
        <v>280</v>
      </c>
      <c r="B10" t="s">
        <v>138</v>
      </c>
      <c r="C10" t="s">
        <v>0</v>
      </c>
      <c r="D10" t="s">
        <v>139</v>
      </c>
      <c r="E10" t="s">
        <v>123</v>
      </c>
      <c r="F10">
        <v>4021</v>
      </c>
      <c r="G10">
        <v>4113</v>
      </c>
      <c r="H10">
        <v>4287</v>
      </c>
      <c r="I10">
        <v>4456</v>
      </c>
      <c r="J10">
        <v>4613</v>
      </c>
      <c r="K10">
        <v>4764</v>
      </c>
      <c r="L10">
        <v>4962</v>
      </c>
      <c r="M10">
        <v>5229</v>
      </c>
      <c r="N10">
        <v>5266</v>
      </c>
      <c r="O10">
        <v>5410</v>
      </c>
      <c r="P10">
        <v>5505</v>
      </c>
      <c r="Q10">
        <v>5601</v>
      </c>
      <c r="R10">
        <v>5918</v>
      </c>
      <c r="S10">
        <v>6272</v>
      </c>
      <c r="T10">
        <v>6489</v>
      </c>
      <c r="U10">
        <v>6309</v>
      </c>
      <c r="V10">
        <v>6368</v>
      </c>
      <c r="W10">
        <v>6575</v>
      </c>
      <c r="X10">
        <v>6818</v>
      </c>
      <c r="Y10">
        <v>6802</v>
      </c>
      <c r="Z10">
        <v>6922</v>
      </c>
      <c r="AA10">
        <v>7090</v>
      </c>
      <c r="AB10">
        <v>7420</v>
      </c>
      <c r="AC10">
        <v>7597</v>
      </c>
      <c r="AD10">
        <v>7779</v>
      </c>
      <c r="AE10">
        <v>7806</v>
      </c>
    </row>
    <row r="11" spans="1:31" x14ac:dyDescent="0.3">
      <c r="A11" t="s">
        <v>280</v>
      </c>
      <c r="B11" t="s">
        <v>140</v>
      </c>
      <c r="C11" t="s">
        <v>0</v>
      </c>
      <c r="D11" t="s">
        <v>141</v>
      </c>
      <c r="E11" t="s">
        <v>123</v>
      </c>
      <c r="F11">
        <v>989</v>
      </c>
      <c r="G11">
        <v>1022</v>
      </c>
      <c r="H11">
        <v>1048</v>
      </c>
      <c r="I11">
        <v>1105</v>
      </c>
      <c r="J11">
        <v>1142</v>
      </c>
      <c r="K11">
        <v>1229</v>
      </c>
      <c r="L11">
        <v>1317</v>
      </c>
      <c r="M11">
        <v>1450</v>
      </c>
      <c r="N11">
        <v>1498</v>
      </c>
      <c r="O11">
        <v>1547</v>
      </c>
      <c r="P11">
        <v>1595</v>
      </c>
      <c r="Q11">
        <v>1632</v>
      </c>
      <c r="R11">
        <v>1721</v>
      </c>
      <c r="S11">
        <v>1853</v>
      </c>
      <c r="T11">
        <v>1936</v>
      </c>
      <c r="U11">
        <v>1954</v>
      </c>
      <c r="V11">
        <v>2002</v>
      </c>
      <c r="W11">
        <v>2135</v>
      </c>
      <c r="X11">
        <v>2294</v>
      </c>
      <c r="Y11">
        <v>2382</v>
      </c>
      <c r="Z11">
        <v>2449</v>
      </c>
      <c r="AA11">
        <v>2531</v>
      </c>
      <c r="AB11">
        <v>2592</v>
      </c>
      <c r="AC11">
        <v>2633</v>
      </c>
      <c r="AD11">
        <v>2697</v>
      </c>
      <c r="AE11">
        <v>2742</v>
      </c>
    </row>
    <row r="12" spans="1:31" x14ac:dyDescent="0.3">
      <c r="A12" t="s">
        <v>280</v>
      </c>
      <c r="B12" t="s">
        <v>142</v>
      </c>
      <c r="C12" t="s">
        <v>0</v>
      </c>
      <c r="D12" t="s">
        <v>143</v>
      </c>
      <c r="E12" t="s">
        <v>123</v>
      </c>
      <c r="F12">
        <v>2413</v>
      </c>
      <c r="G12">
        <v>2423</v>
      </c>
      <c r="H12">
        <v>2474</v>
      </c>
      <c r="I12">
        <v>2616</v>
      </c>
      <c r="J12">
        <v>2750</v>
      </c>
      <c r="K12">
        <v>2864</v>
      </c>
      <c r="L12">
        <v>2948</v>
      </c>
      <c r="M12">
        <v>2944</v>
      </c>
      <c r="N12">
        <v>2956</v>
      </c>
      <c r="O12">
        <v>2999</v>
      </c>
      <c r="P12">
        <v>3091</v>
      </c>
      <c r="Q12">
        <v>3198</v>
      </c>
      <c r="R12">
        <v>3272</v>
      </c>
      <c r="S12">
        <v>3385</v>
      </c>
      <c r="T12">
        <v>3344</v>
      </c>
      <c r="U12">
        <v>3174</v>
      </c>
      <c r="V12">
        <v>3183</v>
      </c>
      <c r="W12">
        <v>3198</v>
      </c>
      <c r="X12">
        <v>3147</v>
      </c>
      <c r="Y12">
        <v>3078</v>
      </c>
      <c r="Z12">
        <v>3108</v>
      </c>
      <c r="AA12">
        <v>3151</v>
      </c>
      <c r="AB12">
        <v>3189</v>
      </c>
      <c r="AC12">
        <v>3318</v>
      </c>
      <c r="AD12">
        <v>3463</v>
      </c>
      <c r="AE12">
        <v>3578</v>
      </c>
    </row>
    <row r="13" spans="1:31" x14ac:dyDescent="0.3">
      <c r="A13" t="s">
        <v>280</v>
      </c>
      <c r="B13" t="s">
        <v>144</v>
      </c>
      <c r="C13" t="s">
        <v>0</v>
      </c>
      <c r="D13" t="s">
        <v>145</v>
      </c>
      <c r="E13" t="s">
        <v>123</v>
      </c>
      <c r="F13">
        <v>4074</v>
      </c>
      <c r="G13">
        <v>4311</v>
      </c>
      <c r="H13">
        <v>4659</v>
      </c>
      <c r="I13">
        <v>4943</v>
      </c>
      <c r="J13">
        <v>5019</v>
      </c>
      <c r="K13">
        <v>5228</v>
      </c>
      <c r="L13">
        <v>5440</v>
      </c>
      <c r="M13">
        <v>5777</v>
      </c>
      <c r="N13">
        <v>5839</v>
      </c>
      <c r="O13">
        <v>6191</v>
      </c>
      <c r="P13">
        <v>6294</v>
      </c>
      <c r="Q13">
        <v>6308</v>
      </c>
      <c r="R13">
        <v>6590</v>
      </c>
      <c r="S13">
        <v>6977</v>
      </c>
      <c r="T13">
        <v>7101</v>
      </c>
      <c r="U13">
        <v>6895</v>
      </c>
      <c r="V13">
        <v>6952</v>
      </c>
      <c r="W13">
        <v>7376</v>
      </c>
      <c r="X13">
        <v>7184</v>
      </c>
      <c r="Y13">
        <v>7046</v>
      </c>
      <c r="Z13">
        <v>6996</v>
      </c>
      <c r="AA13">
        <v>6910</v>
      </c>
      <c r="AB13">
        <v>6879</v>
      </c>
      <c r="AC13">
        <v>7002</v>
      </c>
      <c r="AD13">
        <v>7230</v>
      </c>
      <c r="AE13">
        <v>7171</v>
      </c>
    </row>
    <row r="14" spans="1:31" x14ac:dyDescent="0.3">
      <c r="A14" t="s">
        <v>280</v>
      </c>
      <c r="B14" t="s">
        <v>146</v>
      </c>
      <c r="C14" t="s">
        <v>0</v>
      </c>
      <c r="D14" t="s">
        <v>147</v>
      </c>
      <c r="E14" t="s">
        <v>123</v>
      </c>
      <c r="F14">
        <v>2798</v>
      </c>
      <c r="G14">
        <v>3196</v>
      </c>
      <c r="H14">
        <v>3686</v>
      </c>
      <c r="I14">
        <v>4477</v>
      </c>
      <c r="J14">
        <v>5578</v>
      </c>
      <c r="K14">
        <v>6939</v>
      </c>
      <c r="L14">
        <v>8125</v>
      </c>
      <c r="M14">
        <v>8773</v>
      </c>
      <c r="N14">
        <v>9475</v>
      </c>
      <c r="O14">
        <v>10426</v>
      </c>
      <c r="P14">
        <v>11458</v>
      </c>
      <c r="Q14">
        <v>12270</v>
      </c>
      <c r="R14">
        <v>13025</v>
      </c>
      <c r="S14">
        <v>14499</v>
      </c>
      <c r="T14">
        <v>15135</v>
      </c>
      <c r="U14">
        <v>15436</v>
      </c>
      <c r="V14">
        <v>15604</v>
      </c>
      <c r="W14">
        <v>14762</v>
      </c>
      <c r="X14">
        <v>13861</v>
      </c>
      <c r="Y14">
        <v>12954</v>
      </c>
      <c r="Z14">
        <v>11933</v>
      </c>
      <c r="AA14">
        <v>10908</v>
      </c>
      <c r="AB14">
        <v>9972</v>
      </c>
      <c r="AC14">
        <v>9092</v>
      </c>
      <c r="AD14">
        <v>8687</v>
      </c>
      <c r="AE14">
        <v>8192</v>
      </c>
    </row>
    <row r="15" spans="1:31" x14ac:dyDescent="0.3">
      <c r="A15" t="s">
        <v>280</v>
      </c>
      <c r="B15" t="s">
        <v>148</v>
      </c>
      <c r="C15" t="s">
        <v>0</v>
      </c>
      <c r="D15" t="s">
        <v>149</v>
      </c>
      <c r="E15" t="s">
        <v>123</v>
      </c>
      <c r="F15">
        <v>3611</v>
      </c>
      <c r="G15">
        <v>4044</v>
      </c>
      <c r="H15">
        <v>4567</v>
      </c>
      <c r="I15">
        <v>5409</v>
      </c>
      <c r="J15">
        <v>6535</v>
      </c>
      <c r="K15">
        <v>7921</v>
      </c>
      <c r="L15">
        <v>9139</v>
      </c>
      <c r="M15">
        <v>9780</v>
      </c>
      <c r="N15">
        <v>10504</v>
      </c>
      <c r="O15">
        <v>11478</v>
      </c>
      <c r="P15">
        <v>12548</v>
      </c>
      <c r="Q15">
        <v>13381</v>
      </c>
      <c r="R15">
        <v>14221</v>
      </c>
      <c r="S15">
        <v>15870</v>
      </c>
      <c r="T15">
        <v>16603</v>
      </c>
      <c r="U15">
        <v>16986</v>
      </c>
      <c r="V15">
        <v>17233</v>
      </c>
      <c r="W15">
        <v>16500</v>
      </c>
      <c r="X15">
        <v>15594</v>
      </c>
      <c r="Y15">
        <v>14735</v>
      </c>
      <c r="Z15">
        <v>13797</v>
      </c>
      <c r="AA15">
        <v>12820</v>
      </c>
      <c r="AB15">
        <v>11608</v>
      </c>
      <c r="AC15">
        <v>10771</v>
      </c>
      <c r="AD15">
        <v>10487</v>
      </c>
      <c r="AE15">
        <v>10021</v>
      </c>
    </row>
    <row r="16" spans="1:31" x14ac:dyDescent="0.3">
      <c r="A16" t="s">
        <v>280</v>
      </c>
      <c r="B16" t="s">
        <v>150</v>
      </c>
      <c r="C16" t="s">
        <v>0</v>
      </c>
      <c r="D16" t="s">
        <v>151</v>
      </c>
      <c r="E16" t="s">
        <v>123</v>
      </c>
      <c r="F16">
        <v>813</v>
      </c>
      <c r="G16">
        <v>848</v>
      </c>
      <c r="H16">
        <v>881</v>
      </c>
      <c r="I16">
        <v>932</v>
      </c>
      <c r="J16">
        <v>957</v>
      </c>
      <c r="K16">
        <v>982</v>
      </c>
      <c r="L16">
        <v>1014</v>
      </c>
      <c r="M16">
        <v>1007</v>
      </c>
      <c r="N16">
        <v>1029</v>
      </c>
      <c r="O16">
        <v>1052</v>
      </c>
      <c r="P16">
        <v>1090</v>
      </c>
      <c r="Q16">
        <v>1111</v>
      </c>
      <c r="R16">
        <v>1196</v>
      </c>
      <c r="S16">
        <v>1371</v>
      </c>
      <c r="T16">
        <v>1468</v>
      </c>
      <c r="U16">
        <v>1550</v>
      </c>
      <c r="V16">
        <v>1629</v>
      </c>
      <c r="W16">
        <v>1738</v>
      </c>
      <c r="X16">
        <v>1733</v>
      </c>
      <c r="Y16">
        <v>1781</v>
      </c>
      <c r="Z16">
        <v>1864</v>
      </c>
      <c r="AA16">
        <v>1912</v>
      </c>
      <c r="AB16">
        <v>1636</v>
      </c>
      <c r="AC16">
        <v>1679</v>
      </c>
      <c r="AD16">
        <v>1800</v>
      </c>
      <c r="AE16">
        <v>1829</v>
      </c>
    </row>
    <row r="17" spans="1:31" x14ac:dyDescent="0.3">
      <c r="A17" t="s">
        <v>280</v>
      </c>
      <c r="B17" t="s">
        <v>152</v>
      </c>
      <c r="C17" t="s">
        <v>0</v>
      </c>
      <c r="D17" t="s">
        <v>153</v>
      </c>
      <c r="E17" t="s">
        <v>123</v>
      </c>
      <c r="F17">
        <v>2214</v>
      </c>
      <c r="G17">
        <v>2299</v>
      </c>
      <c r="H17">
        <v>2405</v>
      </c>
      <c r="I17">
        <v>2506</v>
      </c>
      <c r="J17">
        <v>2574</v>
      </c>
      <c r="K17">
        <v>2664</v>
      </c>
      <c r="L17">
        <v>2789</v>
      </c>
      <c r="M17">
        <v>2794</v>
      </c>
      <c r="N17">
        <v>2843</v>
      </c>
      <c r="O17">
        <v>2830</v>
      </c>
      <c r="P17">
        <v>2890</v>
      </c>
      <c r="Q17">
        <v>2960</v>
      </c>
      <c r="R17">
        <v>3101</v>
      </c>
      <c r="S17">
        <v>3473</v>
      </c>
      <c r="T17">
        <v>3690</v>
      </c>
      <c r="U17">
        <v>3639</v>
      </c>
      <c r="V17">
        <v>3770</v>
      </c>
      <c r="W17">
        <v>4001</v>
      </c>
      <c r="X17">
        <v>4121</v>
      </c>
      <c r="Y17">
        <v>4252</v>
      </c>
      <c r="Z17">
        <v>4391</v>
      </c>
      <c r="AA17">
        <v>4508</v>
      </c>
      <c r="AB17">
        <v>4601</v>
      </c>
      <c r="AC17">
        <v>4867</v>
      </c>
      <c r="AD17">
        <v>5172</v>
      </c>
      <c r="AE17">
        <v>5389</v>
      </c>
    </row>
    <row r="18" spans="1:31" x14ac:dyDescent="0.3">
      <c r="A18" t="s">
        <v>280</v>
      </c>
      <c r="B18" t="s">
        <v>154</v>
      </c>
      <c r="C18" t="s">
        <v>0</v>
      </c>
      <c r="D18" t="s">
        <v>155</v>
      </c>
      <c r="E18" t="s">
        <v>123</v>
      </c>
      <c r="F18">
        <v>1524</v>
      </c>
      <c r="G18">
        <v>1495</v>
      </c>
      <c r="H18">
        <v>1466</v>
      </c>
      <c r="I18">
        <v>1484</v>
      </c>
      <c r="J18">
        <v>1489</v>
      </c>
      <c r="K18">
        <v>1484</v>
      </c>
      <c r="L18">
        <v>1520</v>
      </c>
      <c r="M18">
        <v>1469</v>
      </c>
      <c r="N18">
        <v>1421</v>
      </c>
      <c r="O18">
        <v>1414</v>
      </c>
      <c r="P18">
        <v>1436</v>
      </c>
      <c r="Q18">
        <v>1478</v>
      </c>
      <c r="R18">
        <v>1506</v>
      </c>
      <c r="S18">
        <v>1552</v>
      </c>
      <c r="T18">
        <v>1535</v>
      </c>
      <c r="U18">
        <v>1443</v>
      </c>
      <c r="V18">
        <v>1456</v>
      </c>
      <c r="W18">
        <v>1509</v>
      </c>
      <c r="X18">
        <v>1525</v>
      </c>
      <c r="Y18">
        <v>1446</v>
      </c>
      <c r="Z18">
        <v>1384</v>
      </c>
      <c r="AA18">
        <v>1369</v>
      </c>
      <c r="AB18">
        <v>1435</v>
      </c>
      <c r="AC18">
        <v>1555</v>
      </c>
      <c r="AD18">
        <v>1558</v>
      </c>
      <c r="AE18">
        <v>1582</v>
      </c>
    </row>
    <row r="19" spans="1:31" x14ac:dyDescent="0.3">
      <c r="A19" t="s">
        <v>280</v>
      </c>
      <c r="B19" t="s">
        <v>156</v>
      </c>
      <c r="C19" t="s">
        <v>0</v>
      </c>
      <c r="D19" t="s">
        <v>157</v>
      </c>
      <c r="E19" t="s">
        <v>123</v>
      </c>
      <c r="F19">
        <v>1426</v>
      </c>
      <c r="G19">
        <v>1468</v>
      </c>
      <c r="H19">
        <v>1554</v>
      </c>
      <c r="I19">
        <v>1664</v>
      </c>
      <c r="J19">
        <v>1771</v>
      </c>
      <c r="K19">
        <v>1905</v>
      </c>
      <c r="L19">
        <v>2026</v>
      </c>
      <c r="M19">
        <v>2087</v>
      </c>
      <c r="N19">
        <v>2099</v>
      </c>
      <c r="O19">
        <v>2105</v>
      </c>
      <c r="P19">
        <v>2133</v>
      </c>
      <c r="Q19">
        <v>2152</v>
      </c>
      <c r="R19">
        <v>2219</v>
      </c>
      <c r="S19">
        <v>2155</v>
      </c>
      <c r="T19">
        <v>1983</v>
      </c>
      <c r="U19">
        <v>1798</v>
      </c>
      <c r="V19">
        <v>1698</v>
      </c>
      <c r="W19">
        <v>1622</v>
      </c>
      <c r="X19">
        <v>1495</v>
      </c>
      <c r="Y19">
        <v>1388</v>
      </c>
      <c r="Z19">
        <v>1320</v>
      </c>
      <c r="AA19">
        <v>1321</v>
      </c>
      <c r="AB19">
        <v>1279</v>
      </c>
      <c r="AC19">
        <v>1298</v>
      </c>
      <c r="AD19">
        <v>1320</v>
      </c>
      <c r="AE19">
        <v>1359</v>
      </c>
    </row>
    <row r="20" spans="1:31" x14ac:dyDescent="0.3">
      <c r="A20" t="s">
        <v>280</v>
      </c>
      <c r="B20" t="s">
        <v>158</v>
      </c>
      <c r="C20" t="s">
        <v>0</v>
      </c>
      <c r="D20" t="s">
        <v>159</v>
      </c>
      <c r="E20" t="s">
        <v>123</v>
      </c>
      <c r="F20">
        <v>13316</v>
      </c>
      <c r="G20">
        <v>13375</v>
      </c>
      <c r="H20">
        <v>13777</v>
      </c>
      <c r="I20">
        <v>13849</v>
      </c>
      <c r="J20">
        <v>13938</v>
      </c>
      <c r="K20">
        <v>14408</v>
      </c>
      <c r="L20">
        <v>14832</v>
      </c>
      <c r="M20">
        <v>14915</v>
      </c>
      <c r="N20">
        <v>15011</v>
      </c>
      <c r="O20">
        <v>15674</v>
      </c>
      <c r="P20">
        <v>16400</v>
      </c>
      <c r="Q20">
        <v>17132</v>
      </c>
      <c r="R20">
        <v>18154</v>
      </c>
      <c r="S20">
        <v>19737</v>
      </c>
      <c r="T20">
        <v>20258</v>
      </c>
      <c r="U20">
        <v>20742</v>
      </c>
      <c r="V20">
        <v>22023</v>
      </c>
      <c r="W20">
        <v>23383</v>
      </c>
      <c r="X20">
        <v>24309</v>
      </c>
      <c r="Y20">
        <v>25473</v>
      </c>
      <c r="Z20">
        <v>26628</v>
      </c>
      <c r="AA20">
        <v>28027</v>
      </c>
      <c r="AB20">
        <v>29921</v>
      </c>
      <c r="AC20">
        <v>31378</v>
      </c>
      <c r="AD20">
        <v>32557</v>
      </c>
      <c r="AE20">
        <v>33027</v>
      </c>
    </row>
    <row r="21" spans="1:31" x14ac:dyDescent="0.3">
      <c r="A21" t="s">
        <v>280</v>
      </c>
      <c r="B21" t="s">
        <v>160</v>
      </c>
      <c r="C21" t="s">
        <v>0</v>
      </c>
      <c r="D21" t="s">
        <v>161</v>
      </c>
      <c r="E21" t="s">
        <v>123</v>
      </c>
      <c r="F21">
        <v>17868</v>
      </c>
      <c r="G21">
        <v>17963</v>
      </c>
      <c r="H21">
        <v>18539</v>
      </c>
      <c r="I21">
        <v>18749</v>
      </c>
      <c r="J21">
        <v>19028</v>
      </c>
      <c r="K21">
        <v>19811</v>
      </c>
      <c r="L21">
        <v>20454</v>
      </c>
      <c r="M21">
        <v>20656</v>
      </c>
      <c r="N21">
        <v>20941</v>
      </c>
      <c r="O21">
        <v>21840</v>
      </c>
      <c r="P21">
        <v>22931</v>
      </c>
      <c r="Q21">
        <v>24154</v>
      </c>
      <c r="R21">
        <v>25781</v>
      </c>
      <c r="S21">
        <v>28085</v>
      </c>
      <c r="T21">
        <v>28639</v>
      </c>
      <c r="U21">
        <v>29359</v>
      </c>
      <c r="V21">
        <v>31141</v>
      </c>
      <c r="W21">
        <v>33024</v>
      </c>
      <c r="X21">
        <v>34070</v>
      </c>
      <c r="Y21">
        <v>35315</v>
      </c>
      <c r="Z21">
        <v>36315</v>
      </c>
      <c r="AA21">
        <v>37729</v>
      </c>
      <c r="AB21">
        <v>39912</v>
      </c>
      <c r="AC21">
        <v>41825</v>
      </c>
      <c r="AD21">
        <v>43258</v>
      </c>
      <c r="AE21">
        <v>43927</v>
      </c>
    </row>
    <row r="22" spans="1:31" x14ac:dyDescent="0.3">
      <c r="A22" t="s">
        <v>280</v>
      </c>
      <c r="B22" t="s">
        <v>162</v>
      </c>
      <c r="C22" t="s">
        <v>0</v>
      </c>
      <c r="D22" t="s">
        <v>163</v>
      </c>
      <c r="E22" t="s">
        <v>123</v>
      </c>
      <c r="F22">
        <v>4552</v>
      </c>
      <c r="G22">
        <v>4588</v>
      </c>
      <c r="H22">
        <v>4762</v>
      </c>
      <c r="I22">
        <v>4900</v>
      </c>
      <c r="J22">
        <v>5090</v>
      </c>
      <c r="K22">
        <v>5403</v>
      </c>
      <c r="L22">
        <v>5622</v>
      </c>
      <c r="M22">
        <v>5741</v>
      </c>
      <c r="N22">
        <v>5930</v>
      </c>
      <c r="O22">
        <v>6166</v>
      </c>
      <c r="P22">
        <v>6531</v>
      </c>
      <c r="Q22">
        <v>7022</v>
      </c>
      <c r="R22">
        <v>7627</v>
      </c>
      <c r="S22">
        <v>8348</v>
      </c>
      <c r="T22">
        <v>8381</v>
      </c>
      <c r="U22">
        <v>8617</v>
      </c>
      <c r="V22">
        <v>9118</v>
      </c>
      <c r="W22">
        <v>9641</v>
      </c>
      <c r="X22">
        <v>9761</v>
      </c>
      <c r="Y22">
        <v>9842</v>
      </c>
      <c r="Z22">
        <v>9687</v>
      </c>
      <c r="AA22">
        <v>9702</v>
      </c>
      <c r="AB22">
        <v>9991</v>
      </c>
      <c r="AC22">
        <v>10447</v>
      </c>
      <c r="AD22">
        <v>10701</v>
      </c>
      <c r="AE22">
        <v>10900</v>
      </c>
    </row>
    <row r="23" spans="1:31" x14ac:dyDescent="0.3">
      <c r="A23" t="s">
        <v>280</v>
      </c>
      <c r="B23" t="s">
        <v>164</v>
      </c>
      <c r="C23" t="s">
        <v>0</v>
      </c>
      <c r="D23" t="s">
        <v>165</v>
      </c>
      <c r="E23" t="s">
        <v>123</v>
      </c>
      <c r="F23">
        <v>2089</v>
      </c>
      <c r="G23">
        <v>2108</v>
      </c>
      <c r="H23">
        <v>2184</v>
      </c>
      <c r="I23">
        <v>2250</v>
      </c>
      <c r="J23">
        <v>2434</v>
      </c>
      <c r="K23">
        <v>2675</v>
      </c>
      <c r="L23">
        <v>2849</v>
      </c>
      <c r="M23">
        <v>2934</v>
      </c>
      <c r="N23">
        <v>3062</v>
      </c>
      <c r="O23">
        <v>3209</v>
      </c>
      <c r="P23">
        <v>3439</v>
      </c>
      <c r="Q23">
        <v>3695</v>
      </c>
      <c r="R23">
        <v>4068</v>
      </c>
      <c r="S23">
        <v>4501</v>
      </c>
      <c r="T23">
        <v>4542</v>
      </c>
      <c r="U23">
        <v>4536</v>
      </c>
      <c r="V23">
        <v>4734</v>
      </c>
      <c r="W23">
        <v>5033</v>
      </c>
      <c r="X23">
        <v>5132</v>
      </c>
      <c r="Y23">
        <v>5177</v>
      </c>
      <c r="Z23">
        <v>5278</v>
      </c>
      <c r="AA23">
        <v>5454</v>
      </c>
      <c r="AB23">
        <v>5721</v>
      </c>
      <c r="AC23">
        <v>6083</v>
      </c>
      <c r="AD23">
        <v>6532</v>
      </c>
      <c r="AE23">
        <v>6889</v>
      </c>
    </row>
    <row r="24" spans="1:31" x14ac:dyDescent="0.3">
      <c r="A24" t="s">
        <v>280</v>
      </c>
      <c r="B24" t="s">
        <v>166</v>
      </c>
      <c r="C24" t="s">
        <v>0</v>
      </c>
      <c r="D24" t="s">
        <v>167</v>
      </c>
      <c r="E24" t="s">
        <v>123</v>
      </c>
      <c r="F24">
        <v>12878</v>
      </c>
      <c r="G24">
        <v>12645</v>
      </c>
      <c r="H24">
        <v>12596</v>
      </c>
      <c r="I24">
        <v>12874</v>
      </c>
      <c r="J24">
        <v>13307</v>
      </c>
      <c r="K24">
        <v>13700</v>
      </c>
      <c r="L24">
        <v>14165</v>
      </c>
      <c r="M24">
        <v>13791</v>
      </c>
      <c r="N24">
        <v>13612</v>
      </c>
      <c r="O24">
        <v>13643</v>
      </c>
      <c r="P24">
        <v>13808</v>
      </c>
      <c r="Q24">
        <v>13606</v>
      </c>
      <c r="R24">
        <v>14140</v>
      </c>
      <c r="S24">
        <v>14687</v>
      </c>
      <c r="T24">
        <v>14415</v>
      </c>
      <c r="U24">
        <v>13648</v>
      </c>
      <c r="V24">
        <v>13785</v>
      </c>
      <c r="W24">
        <v>14605</v>
      </c>
      <c r="X24">
        <v>14691</v>
      </c>
      <c r="Y24">
        <v>14665</v>
      </c>
      <c r="Z24">
        <v>14389</v>
      </c>
      <c r="AA24">
        <v>14673</v>
      </c>
      <c r="AB24">
        <v>14991</v>
      </c>
      <c r="AC24">
        <v>15629</v>
      </c>
      <c r="AD24">
        <v>16091</v>
      </c>
      <c r="AE24">
        <v>16205</v>
      </c>
    </row>
    <row r="25" spans="1:31" x14ac:dyDescent="0.3">
      <c r="A25" t="s">
        <v>280</v>
      </c>
      <c r="B25" t="s">
        <v>168</v>
      </c>
      <c r="C25" t="s">
        <v>0</v>
      </c>
      <c r="D25" t="s">
        <v>169</v>
      </c>
      <c r="E25" t="s">
        <v>123</v>
      </c>
      <c r="F25">
        <v>1740</v>
      </c>
      <c r="G25">
        <v>1680</v>
      </c>
      <c r="H25">
        <v>1661</v>
      </c>
      <c r="I25">
        <v>1690</v>
      </c>
      <c r="J25">
        <v>1742</v>
      </c>
      <c r="K25">
        <v>1770</v>
      </c>
      <c r="L25">
        <v>1815</v>
      </c>
      <c r="M25">
        <v>1768</v>
      </c>
      <c r="N25">
        <v>1734</v>
      </c>
      <c r="O25">
        <v>1745</v>
      </c>
      <c r="P25">
        <v>1780</v>
      </c>
      <c r="Q25">
        <v>1838</v>
      </c>
      <c r="R25">
        <v>1878</v>
      </c>
      <c r="S25">
        <v>1961</v>
      </c>
      <c r="T25">
        <v>1919</v>
      </c>
      <c r="U25">
        <v>1855</v>
      </c>
      <c r="V25">
        <v>1889</v>
      </c>
      <c r="W25">
        <v>1963</v>
      </c>
      <c r="X25">
        <v>1933</v>
      </c>
      <c r="Y25">
        <v>1909</v>
      </c>
      <c r="Z25">
        <v>1873</v>
      </c>
      <c r="AA25">
        <v>1923</v>
      </c>
      <c r="AB25">
        <v>1908</v>
      </c>
      <c r="AC25">
        <v>1978</v>
      </c>
      <c r="AD25">
        <v>2072</v>
      </c>
      <c r="AE25">
        <v>2100</v>
      </c>
    </row>
    <row r="26" spans="1:31" x14ac:dyDescent="0.3">
      <c r="A26" t="s">
        <v>280</v>
      </c>
      <c r="B26" t="s">
        <v>170</v>
      </c>
      <c r="C26" t="s">
        <v>0</v>
      </c>
      <c r="D26" t="s">
        <v>171</v>
      </c>
      <c r="E26" t="s">
        <v>123</v>
      </c>
      <c r="F26">
        <v>6738</v>
      </c>
      <c r="G26">
        <v>6668</v>
      </c>
      <c r="H26">
        <v>6654</v>
      </c>
      <c r="I26">
        <v>6788</v>
      </c>
      <c r="J26">
        <v>6984</v>
      </c>
      <c r="K26">
        <v>7186</v>
      </c>
      <c r="L26">
        <v>7440</v>
      </c>
      <c r="M26">
        <v>7163</v>
      </c>
      <c r="N26">
        <v>6909</v>
      </c>
      <c r="O26">
        <v>6771</v>
      </c>
      <c r="P26">
        <v>6764</v>
      </c>
      <c r="Q26">
        <v>6508</v>
      </c>
      <c r="R26">
        <v>6759</v>
      </c>
      <c r="S26">
        <v>7001</v>
      </c>
      <c r="T26">
        <v>6758</v>
      </c>
      <c r="U26">
        <v>6267</v>
      </c>
      <c r="V26">
        <v>6324</v>
      </c>
      <c r="W26">
        <v>6694</v>
      </c>
      <c r="X26">
        <v>6687</v>
      </c>
      <c r="Y26">
        <v>6689</v>
      </c>
      <c r="Z26">
        <v>6412</v>
      </c>
      <c r="AA26">
        <v>6520</v>
      </c>
      <c r="AB26">
        <v>6729</v>
      </c>
      <c r="AC26">
        <v>7072</v>
      </c>
      <c r="AD26">
        <v>7200</v>
      </c>
      <c r="AE26">
        <v>7144</v>
      </c>
    </row>
    <row r="27" spans="1:31" x14ac:dyDescent="0.3">
      <c r="A27" t="s">
        <v>280</v>
      </c>
      <c r="B27" t="s">
        <v>172</v>
      </c>
      <c r="C27" t="s">
        <v>0</v>
      </c>
      <c r="D27" t="s">
        <v>173</v>
      </c>
      <c r="E27" t="s">
        <v>123</v>
      </c>
      <c r="F27">
        <v>4400</v>
      </c>
      <c r="G27">
        <v>4297</v>
      </c>
      <c r="H27">
        <v>4281</v>
      </c>
      <c r="I27">
        <v>4396</v>
      </c>
      <c r="J27">
        <v>4581</v>
      </c>
      <c r="K27">
        <v>4744</v>
      </c>
      <c r="L27">
        <v>4910</v>
      </c>
      <c r="M27">
        <v>4860</v>
      </c>
      <c r="N27">
        <v>4969</v>
      </c>
      <c r="O27">
        <v>5127</v>
      </c>
      <c r="P27">
        <v>5264</v>
      </c>
      <c r="Q27">
        <v>5260</v>
      </c>
      <c r="R27">
        <v>5503</v>
      </c>
      <c r="S27">
        <v>5725</v>
      </c>
      <c r="T27">
        <v>5738</v>
      </c>
      <c r="U27">
        <v>5526</v>
      </c>
      <c r="V27">
        <v>5572</v>
      </c>
      <c r="W27">
        <v>5948</v>
      </c>
      <c r="X27">
        <v>6071</v>
      </c>
      <c r="Y27">
        <v>6067</v>
      </c>
      <c r="Z27">
        <v>6104</v>
      </c>
      <c r="AA27">
        <v>6230</v>
      </c>
      <c r="AB27">
        <v>6354</v>
      </c>
      <c r="AC27">
        <v>6579</v>
      </c>
      <c r="AD27">
        <v>6819</v>
      </c>
      <c r="AE27">
        <v>6961</v>
      </c>
    </row>
    <row r="28" spans="1:31" x14ac:dyDescent="0.3">
      <c r="A28" t="s">
        <v>280</v>
      </c>
      <c r="B28" t="s">
        <v>174</v>
      </c>
      <c r="C28" t="s">
        <v>0</v>
      </c>
      <c r="D28" t="s">
        <v>175</v>
      </c>
      <c r="E28" t="s">
        <v>123</v>
      </c>
      <c r="F28">
        <v>11404</v>
      </c>
      <c r="G28">
        <v>11406</v>
      </c>
      <c r="H28">
        <v>11919</v>
      </c>
      <c r="I28">
        <v>12491</v>
      </c>
      <c r="J28">
        <v>13010</v>
      </c>
      <c r="K28">
        <v>13671</v>
      </c>
      <c r="L28">
        <v>14273</v>
      </c>
      <c r="M28">
        <v>14071</v>
      </c>
      <c r="N28">
        <v>13884</v>
      </c>
      <c r="O28">
        <v>14252</v>
      </c>
      <c r="P28">
        <v>14475</v>
      </c>
      <c r="Q28">
        <v>14877</v>
      </c>
      <c r="R28">
        <v>15421</v>
      </c>
      <c r="S28">
        <v>15815</v>
      </c>
      <c r="T28">
        <v>15925</v>
      </c>
      <c r="U28">
        <v>15604</v>
      </c>
      <c r="V28">
        <v>15998</v>
      </c>
      <c r="W28">
        <v>16488</v>
      </c>
      <c r="X28">
        <v>16431</v>
      </c>
      <c r="Y28">
        <v>16367</v>
      </c>
      <c r="Z28">
        <v>16419</v>
      </c>
      <c r="AA28">
        <v>16698</v>
      </c>
      <c r="AB28">
        <v>17180</v>
      </c>
      <c r="AC28">
        <v>16576</v>
      </c>
      <c r="AD28">
        <v>18511</v>
      </c>
      <c r="AE28">
        <v>18492</v>
      </c>
    </row>
    <row r="29" spans="1:31" x14ac:dyDescent="0.3">
      <c r="A29" t="s">
        <v>280</v>
      </c>
      <c r="B29" t="s">
        <v>176</v>
      </c>
      <c r="C29" t="s">
        <v>0</v>
      </c>
      <c r="D29" t="s">
        <v>177</v>
      </c>
      <c r="E29" t="s">
        <v>123</v>
      </c>
      <c r="F29">
        <v>3404</v>
      </c>
      <c r="G29">
        <v>3521</v>
      </c>
      <c r="H29">
        <v>3717</v>
      </c>
      <c r="I29">
        <v>3917</v>
      </c>
      <c r="J29">
        <v>4107</v>
      </c>
      <c r="K29">
        <v>4348</v>
      </c>
      <c r="L29">
        <v>4545</v>
      </c>
      <c r="M29">
        <v>4533</v>
      </c>
      <c r="N29">
        <v>4584</v>
      </c>
      <c r="O29">
        <v>4694</v>
      </c>
      <c r="P29">
        <v>4815</v>
      </c>
      <c r="Q29">
        <v>4834</v>
      </c>
      <c r="R29">
        <v>4817</v>
      </c>
      <c r="S29">
        <v>4962</v>
      </c>
      <c r="T29">
        <v>4914</v>
      </c>
      <c r="U29">
        <v>4815</v>
      </c>
      <c r="V29">
        <v>4972</v>
      </c>
      <c r="W29">
        <v>4952</v>
      </c>
      <c r="X29">
        <v>4769</v>
      </c>
      <c r="Y29">
        <v>4785</v>
      </c>
      <c r="Z29">
        <v>4833</v>
      </c>
      <c r="AA29">
        <v>4991</v>
      </c>
      <c r="AB29">
        <v>5216</v>
      </c>
      <c r="AC29">
        <v>4303</v>
      </c>
      <c r="AD29">
        <v>5606</v>
      </c>
      <c r="AE29">
        <v>5667</v>
      </c>
    </row>
    <row r="30" spans="1:31" x14ac:dyDescent="0.3">
      <c r="A30" t="s">
        <v>280</v>
      </c>
      <c r="B30" t="s">
        <v>178</v>
      </c>
      <c r="C30" t="s">
        <v>0</v>
      </c>
      <c r="D30" t="s">
        <v>179</v>
      </c>
      <c r="E30" t="s">
        <v>123</v>
      </c>
      <c r="F30">
        <v>3510</v>
      </c>
      <c r="G30">
        <v>3329</v>
      </c>
      <c r="H30">
        <v>3505</v>
      </c>
      <c r="I30">
        <v>3552</v>
      </c>
      <c r="J30">
        <v>3503</v>
      </c>
      <c r="K30">
        <v>3577</v>
      </c>
      <c r="L30">
        <v>3691</v>
      </c>
      <c r="M30">
        <v>3547</v>
      </c>
      <c r="N30">
        <v>3260</v>
      </c>
      <c r="O30">
        <v>3369</v>
      </c>
      <c r="P30">
        <v>3269</v>
      </c>
      <c r="Q30">
        <v>3240</v>
      </c>
      <c r="R30">
        <v>3347</v>
      </c>
      <c r="S30">
        <v>3094</v>
      </c>
      <c r="T30">
        <v>2985</v>
      </c>
      <c r="U30">
        <v>2815</v>
      </c>
      <c r="V30">
        <v>2878</v>
      </c>
      <c r="W30">
        <v>3088</v>
      </c>
      <c r="X30">
        <v>3214</v>
      </c>
      <c r="Y30">
        <v>3010</v>
      </c>
      <c r="Z30">
        <v>2840</v>
      </c>
      <c r="AA30">
        <v>2702</v>
      </c>
      <c r="AB30">
        <v>2474</v>
      </c>
      <c r="AC30">
        <v>2460</v>
      </c>
      <c r="AD30">
        <v>2394</v>
      </c>
      <c r="AE30">
        <v>2294</v>
      </c>
    </row>
    <row r="31" spans="1:31" x14ac:dyDescent="0.3">
      <c r="A31" t="s">
        <v>280</v>
      </c>
      <c r="B31" t="s">
        <v>180</v>
      </c>
      <c r="C31" t="s">
        <v>0</v>
      </c>
      <c r="D31" t="s">
        <v>181</v>
      </c>
      <c r="E31" t="s">
        <v>123</v>
      </c>
      <c r="F31">
        <v>1033</v>
      </c>
      <c r="G31">
        <v>1042</v>
      </c>
      <c r="H31">
        <v>1019</v>
      </c>
      <c r="I31">
        <v>1040</v>
      </c>
      <c r="J31">
        <v>1208</v>
      </c>
      <c r="K31">
        <v>1289</v>
      </c>
      <c r="L31">
        <v>1404</v>
      </c>
      <c r="M31">
        <v>1321</v>
      </c>
      <c r="N31">
        <v>1207</v>
      </c>
      <c r="O31">
        <v>1182</v>
      </c>
      <c r="P31">
        <v>1264</v>
      </c>
      <c r="Q31">
        <v>1391</v>
      </c>
      <c r="R31">
        <v>1493</v>
      </c>
      <c r="S31">
        <v>1519</v>
      </c>
      <c r="T31">
        <v>1719</v>
      </c>
      <c r="U31">
        <v>1641</v>
      </c>
      <c r="V31">
        <v>1548</v>
      </c>
      <c r="W31">
        <v>1557</v>
      </c>
      <c r="X31">
        <v>1570</v>
      </c>
      <c r="Y31">
        <v>1616</v>
      </c>
      <c r="Z31">
        <v>1858</v>
      </c>
      <c r="AA31">
        <v>1954</v>
      </c>
      <c r="AB31">
        <v>2056</v>
      </c>
      <c r="AC31">
        <v>2036</v>
      </c>
      <c r="AD31">
        <v>2263</v>
      </c>
      <c r="AE31">
        <v>2146</v>
      </c>
    </row>
    <row r="32" spans="1:31" x14ac:dyDescent="0.3">
      <c r="A32" t="s">
        <v>280</v>
      </c>
      <c r="B32" t="s">
        <v>182</v>
      </c>
      <c r="C32" t="s">
        <v>0</v>
      </c>
      <c r="D32" t="s">
        <v>183</v>
      </c>
      <c r="E32" t="s">
        <v>123</v>
      </c>
      <c r="F32">
        <v>2975</v>
      </c>
      <c r="G32">
        <v>3023</v>
      </c>
      <c r="H32">
        <v>3161</v>
      </c>
      <c r="I32">
        <v>3407</v>
      </c>
      <c r="J32">
        <v>3570</v>
      </c>
      <c r="K32">
        <v>3789</v>
      </c>
      <c r="L32">
        <v>3938</v>
      </c>
      <c r="M32">
        <v>3990</v>
      </c>
      <c r="N32">
        <v>4165</v>
      </c>
      <c r="O32">
        <v>4350</v>
      </c>
      <c r="P32">
        <v>4484</v>
      </c>
      <c r="Q32">
        <v>4759</v>
      </c>
      <c r="R32">
        <v>5117</v>
      </c>
      <c r="S32">
        <v>5560</v>
      </c>
      <c r="T32">
        <v>5607</v>
      </c>
      <c r="U32">
        <v>5660</v>
      </c>
      <c r="V32">
        <v>5937</v>
      </c>
      <c r="W32">
        <v>6194</v>
      </c>
      <c r="X32">
        <v>6200</v>
      </c>
      <c r="Y32">
        <v>6282</v>
      </c>
      <c r="Z32">
        <v>6312</v>
      </c>
      <c r="AA32">
        <v>6537</v>
      </c>
      <c r="AB32">
        <v>6936</v>
      </c>
      <c r="AC32">
        <v>7294</v>
      </c>
      <c r="AD32">
        <v>7788</v>
      </c>
      <c r="AE32">
        <v>7938</v>
      </c>
    </row>
    <row r="33" spans="1:31" x14ac:dyDescent="0.3">
      <c r="A33" t="s">
        <v>280</v>
      </c>
      <c r="B33" t="s">
        <v>184</v>
      </c>
      <c r="C33" t="s">
        <v>0</v>
      </c>
      <c r="D33" t="s">
        <v>185</v>
      </c>
      <c r="E33" t="s">
        <v>123</v>
      </c>
      <c r="F33">
        <v>482</v>
      </c>
      <c r="G33">
        <v>491</v>
      </c>
      <c r="H33">
        <v>517</v>
      </c>
      <c r="I33">
        <v>575</v>
      </c>
      <c r="J33">
        <v>622</v>
      </c>
      <c r="K33">
        <v>668</v>
      </c>
      <c r="L33">
        <v>695</v>
      </c>
      <c r="M33">
        <v>680</v>
      </c>
      <c r="N33">
        <v>668</v>
      </c>
      <c r="O33">
        <v>657</v>
      </c>
      <c r="P33">
        <v>643</v>
      </c>
      <c r="Q33">
        <v>653</v>
      </c>
      <c r="R33">
        <v>647</v>
      </c>
      <c r="S33">
        <v>680</v>
      </c>
      <c r="T33">
        <v>700</v>
      </c>
      <c r="U33">
        <v>673</v>
      </c>
      <c r="V33">
        <v>663</v>
      </c>
      <c r="W33">
        <v>697</v>
      </c>
      <c r="X33">
        <v>678</v>
      </c>
      <c r="Y33">
        <v>674</v>
      </c>
      <c r="Z33">
        <v>576</v>
      </c>
      <c r="AA33">
        <v>514</v>
      </c>
      <c r="AB33">
        <v>498</v>
      </c>
      <c r="AC33">
        <v>483</v>
      </c>
      <c r="AD33">
        <v>460</v>
      </c>
      <c r="AE33">
        <v>447</v>
      </c>
    </row>
    <row r="34" spans="1:31" x14ac:dyDescent="0.3">
      <c r="A34" t="s">
        <v>280</v>
      </c>
      <c r="B34" t="s">
        <v>186</v>
      </c>
      <c r="C34" t="s">
        <v>0</v>
      </c>
      <c r="D34" t="s">
        <v>187</v>
      </c>
      <c r="E34" t="s">
        <v>123</v>
      </c>
      <c r="F34">
        <v>1632</v>
      </c>
      <c r="G34">
        <v>1621</v>
      </c>
      <c r="H34">
        <v>1638</v>
      </c>
      <c r="I34">
        <v>1703</v>
      </c>
      <c r="J34">
        <v>1771</v>
      </c>
      <c r="K34">
        <v>1813</v>
      </c>
      <c r="L34">
        <v>1861</v>
      </c>
      <c r="M34">
        <v>1846</v>
      </c>
      <c r="N34">
        <v>1824</v>
      </c>
      <c r="O34">
        <v>1846</v>
      </c>
      <c r="P34">
        <v>1911</v>
      </c>
      <c r="Q34">
        <v>2002</v>
      </c>
      <c r="R34">
        <v>2114</v>
      </c>
      <c r="S34">
        <v>2233</v>
      </c>
      <c r="T34">
        <v>2228</v>
      </c>
      <c r="U34">
        <v>2149</v>
      </c>
      <c r="V34">
        <v>2187</v>
      </c>
      <c r="W34">
        <v>2303</v>
      </c>
      <c r="X34">
        <v>2292</v>
      </c>
      <c r="Y34">
        <v>2272</v>
      </c>
      <c r="Z34">
        <v>2282</v>
      </c>
      <c r="AA34">
        <v>2360</v>
      </c>
      <c r="AB34">
        <v>2431</v>
      </c>
      <c r="AC34">
        <v>2577</v>
      </c>
      <c r="AD34">
        <v>2709</v>
      </c>
      <c r="AE34">
        <v>2802</v>
      </c>
    </row>
    <row r="35" spans="1:31" x14ac:dyDescent="0.3">
      <c r="A35" t="s">
        <v>280</v>
      </c>
      <c r="B35" t="s">
        <v>188</v>
      </c>
      <c r="C35" t="s">
        <v>0</v>
      </c>
      <c r="D35" t="s">
        <v>189</v>
      </c>
      <c r="E35" t="s">
        <v>123</v>
      </c>
      <c r="F35">
        <v>6085</v>
      </c>
      <c r="G35">
        <v>6336</v>
      </c>
      <c r="H35">
        <v>6738</v>
      </c>
      <c r="I35">
        <v>7122</v>
      </c>
      <c r="J35">
        <v>7663</v>
      </c>
      <c r="K35">
        <v>8439</v>
      </c>
      <c r="L35">
        <v>9139</v>
      </c>
      <c r="M35">
        <v>9492</v>
      </c>
      <c r="N35">
        <v>9591</v>
      </c>
      <c r="O35">
        <v>9583</v>
      </c>
      <c r="P35">
        <v>9703</v>
      </c>
      <c r="Q35">
        <v>9755</v>
      </c>
      <c r="R35">
        <v>9991</v>
      </c>
      <c r="S35">
        <v>10216</v>
      </c>
      <c r="T35">
        <v>9820</v>
      </c>
      <c r="U35">
        <v>9693</v>
      </c>
      <c r="V35">
        <v>9835</v>
      </c>
      <c r="W35">
        <v>10029</v>
      </c>
      <c r="X35">
        <v>10133</v>
      </c>
      <c r="Y35">
        <v>10347</v>
      </c>
      <c r="Z35">
        <v>10518</v>
      </c>
      <c r="AA35">
        <v>10633</v>
      </c>
      <c r="AB35">
        <v>10891</v>
      </c>
      <c r="AC35">
        <v>11606</v>
      </c>
      <c r="AD35">
        <v>11727</v>
      </c>
      <c r="AE35">
        <v>12153</v>
      </c>
    </row>
    <row r="36" spans="1:31" x14ac:dyDescent="0.3">
      <c r="A36" t="s">
        <v>280</v>
      </c>
      <c r="B36" t="s">
        <v>190</v>
      </c>
      <c r="C36" t="s">
        <v>0</v>
      </c>
      <c r="D36" t="s">
        <v>191</v>
      </c>
      <c r="E36" t="s">
        <v>123</v>
      </c>
      <c r="F36">
        <v>1615</v>
      </c>
      <c r="G36">
        <v>1626</v>
      </c>
      <c r="H36">
        <v>1706</v>
      </c>
      <c r="I36">
        <v>1789</v>
      </c>
      <c r="J36">
        <v>1788</v>
      </c>
      <c r="K36">
        <v>1852</v>
      </c>
      <c r="L36">
        <v>1946</v>
      </c>
      <c r="M36">
        <v>1922</v>
      </c>
      <c r="N36">
        <v>1890</v>
      </c>
      <c r="O36">
        <v>1905</v>
      </c>
      <c r="P36">
        <v>1947</v>
      </c>
      <c r="Q36">
        <v>1973</v>
      </c>
      <c r="R36">
        <v>2041</v>
      </c>
      <c r="S36">
        <v>2069</v>
      </c>
      <c r="T36">
        <v>2107</v>
      </c>
      <c r="U36">
        <v>2207</v>
      </c>
      <c r="V36">
        <v>2348</v>
      </c>
      <c r="W36">
        <v>2485</v>
      </c>
      <c r="X36">
        <v>2566</v>
      </c>
      <c r="Y36">
        <v>2490</v>
      </c>
      <c r="Z36">
        <v>2535</v>
      </c>
      <c r="AA36">
        <v>2630</v>
      </c>
      <c r="AB36">
        <v>2773</v>
      </c>
      <c r="AC36">
        <v>2918</v>
      </c>
      <c r="AD36">
        <v>3043</v>
      </c>
      <c r="AE36">
        <v>3164</v>
      </c>
    </row>
    <row r="37" spans="1:31" x14ac:dyDescent="0.3">
      <c r="A37" t="s">
        <v>280</v>
      </c>
      <c r="B37" t="s">
        <v>192</v>
      </c>
      <c r="C37" t="s">
        <v>0</v>
      </c>
      <c r="D37" t="s">
        <v>193</v>
      </c>
      <c r="E37" t="s">
        <v>123</v>
      </c>
      <c r="F37">
        <v>3960</v>
      </c>
      <c r="G37">
        <v>4181</v>
      </c>
      <c r="H37">
        <v>4473</v>
      </c>
      <c r="I37">
        <v>4710</v>
      </c>
      <c r="J37">
        <v>5141</v>
      </c>
      <c r="K37">
        <v>5719</v>
      </c>
      <c r="L37">
        <v>6184</v>
      </c>
      <c r="M37">
        <v>6429</v>
      </c>
      <c r="N37">
        <v>6454</v>
      </c>
      <c r="O37">
        <v>6433</v>
      </c>
      <c r="P37">
        <v>6392</v>
      </c>
      <c r="Q37">
        <v>6346</v>
      </c>
      <c r="R37">
        <v>6322</v>
      </c>
      <c r="S37">
        <v>6404</v>
      </c>
      <c r="T37">
        <v>6044</v>
      </c>
      <c r="U37">
        <v>5838</v>
      </c>
      <c r="V37">
        <v>5802</v>
      </c>
      <c r="W37">
        <v>5727</v>
      </c>
      <c r="X37">
        <v>5541</v>
      </c>
      <c r="Y37">
        <v>5288</v>
      </c>
      <c r="Z37">
        <v>5063</v>
      </c>
      <c r="AA37">
        <v>4957</v>
      </c>
      <c r="AB37">
        <v>4939</v>
      </c>
      <c r="AC37">
        <v>4962</v>
      </c>
      <c r="AD37">
        <v>4850</v>
      </c>
      <c r="AE37">
        <v>4855</v>
      </c>
    </row>
    <row r="38" spans="1:31" x14ac:dyDescent="0.3">
      <c r="A38" t="s">
        <v>280</v>
      </c>
      <c r="B38" t="s">
        <v>194</v>
      </c>
      <c r="C38" t="s">
        <v>0</v>
      </c>
      <c r="D38" t="s">
        <v>195</v>
      </c>
      <c r="E38" t="s">
        <v>123</v>
      </c>
      <c r="F38">
        <v>510</v>
      </c>
      <c r="G38">
        <v>529</v>
      </c>
      <c r="H38">
        <v>559</v>
      </c>
      <c r="I38">
        <v>623</v>
      </c>
      <c r="J38">
        <v>734</v>
      </c>
      <c r="K38">
        <v>868</v>
      </c>
      <c r="L38">
        <v>1009</v>
      </c>
      <c r="M38">
        <v>1141</v>
      </c>
      <c r="N38">
        <v>1247</v>
      </c>
      <c r="O38">
        <v>1245</v>
      </c>
      <c r="P38">
        <v>1364</v>
      </c>
      <c r="Q38">
        <v>1436</v>
      </c>
      <c r="R38">
        <v>1628</v>
      </c>
      <c r="S38">
        <v>1743</v>
      </c>
      <c r="T38">
        <v>1669</v>
      </c>
      <c r="U38">
        <v>1648</v>
      </c>
      <c r="V38">
        <v>1685</v>
      </c>
      <c r="W38">
        <v>1817</v>
      </c>
      <c r="X38">
        <v>2026</v>
      </c>
      <c r="Y38">
        <v>2569</v>
      </c>
      <c r="Z38">
        <v>2920</v>
      </c>
      <c r="AA38">
        <v>3046</v>
      </c>
      <c r="AB38">
        <v>3179</v>
      </c>
      <c r="AC38">
        <v>3726</v>
      </c>
      <c r="AD38">
        <v>3834</v>
      </c>
      <c r="AE38">
        <v>4134</v>
      </c>
    </row>
    <row r="39" spans="1:31" x14ac:dyDescent="0.3">
      <c r="A39" t="s">
        <v>280</v>
      </c>
      <c r="B39" t="s">
        <v>196</v>
      </c>
      <c r="C39" t="s">
        <v>0</v>
      </c>
      <c r="D39" t="s">
        <v>197</v>
      </c>
      <c r="E39" t="s">
        <v>123</v>
      </c>
      <c r="F39">
        <v>2464</v>
      </c>
      <c r="G39">
        <v>2303</v>
      </c>
      <c r="H39">
        <v>2116</v>
      </c>
      <c r="I39">
        <v>2020</v>
      </c>
      <c r="J39">
        <v>1953</v>
      </c>
      <c r="K39">
        <v>1923</v>
      </c>
      <c r="L39">
        <v>1895</v>
      </c>
      <c r="M39">
        <v>1821</v>
      </c>
      <c r="N39">
        <v>1671</v>
      </c>
      <c r="O39">
        <v>1530</v>
      </c>
      <c r="P39">
        <v>1491</v>
      </c>
      <c r="Q39">
        <v>1482</v>
      </c>
      <c r="R39">
        <v>1666</v>
      </c>
      <c r="S39">
        <v>1841</v>
      </c>
      <c r="T39">
        <v>1914</v>
      </c>
      <c r="U39">
        <v>1791</v>
      </c>
      <c r="V39">
        <v>1774</v>
      </c>
      <c r="W39">
        <v>1751</v>
      </c>
      <c r="X39">
        <v>1723</v>
      </c>
      <c r="Y39">
        <v>1761</v>
      </c>
      <c r="Z39">
        <v>1761</v>
      </c>
      <c r="AA39">
        <v>1776</v>
      </c>
      <c r="AB39">
        <v>2187</v>
      </c>
      <c r="AC39">
        <v>2129</v>
      </c>
      <c r="AD39">
        <v>2195</v>
      </c>
      <c r="AE39">
        <v>2112</v>
      </c>
    </row>
    <row r="40" spans="1:31" x14ac:dyDescent="0.3">
      <c r="A40" t="s">
        <v>280</v>
      </c>
      <c r="B40" t="s">
        <v>198</v>
      </c>
      <c r="C40" t="s">
        <v>0</v>
      </c>
      <c r="D40" t="s">
        <v>199</v>
      </c>
      <c r="E40" t="s">
        <v>123</v>
      </c>
      <c r="F40">
        <v>143225</v>
      </c>
      <c r="G40">
        <v>143669</v>
      </c>
      <c r="H40">
        <v>150978</v>
      </c>
      <c r="I40">
        <v>163396</v>
      </c>
      <c r="J40">
        <v>176310</v>
      </c>
      <c r="K40">
        <v>193946</v>
      </c>
      <c r="L40">
        <v>208405</v>
      </c>
      <c r="M40">
        <v>209056</v>
      </c>
      <c r="N40">
        <v>215701</v>
      </c>
      <c r="O40">
        <v>227133</v>
      </c>
      <c r="P40">
        <v>246222</v>
      </c>
      <c r="Q40">
        <v>263678</v>
      </c>
      <c r="R40">
        <v>290629</v>
      </c>
      <c r="S40">
        <v>315018</v>
      </c>
      <c r="T40">
        <v>311626</v>
      </c>
      <c r="U40">
        <v>305881</v>
      </c>
      <c r="V40">
        <v>323560</v>
      </c>
      <c r="W40">
        <v>349037</v>
      </c>
      <c r="X40">
        <v>361974</v>
      </c>
      <c r="Y40">
        <v>369356</v>
      </c>
      <c r="Z40">
        <v>376391</v>
      </c>
      <c r="AA40">
        <v>392670</v>
      </c>
      <c r="AB40">
        <v>412035</v>
      </c>
      <c r="AC40">
        <v>438466</v>
      </c>
      <c r="AD40">
        <v>467249</v>
      </c>
      <c r="AE40">
        <v>483514</v>
      </c>
    </row>
    <row r="41" spans="1:31" x14ac:dyDescent="0.3">
      <c r="A41" t="s">
        <v>280</v>
      </c>
      <c r="B41" t="s">
        <v>200</v>
      </c>
      <c r="C41" t="s">
        <v>0</v>
      </c>
      <c r="D41" t="s">
        <v>201</v>
      </c>
      <c r="E41" t="s">
        <v>123</v>
      </c>
      <c r="F41">
        <v>79863</v>
      </c>
      <c r="G41">
        <v>80387</v>
      </c>
      <c r="H41">
        <v>85500</v>
      </c>
      <c r="I41">
        <v>93176</v>
      </c>
      <c r="J41">
        <v>99785</v>
      </c>
      <c r="K41">
        <v>110306</v>
      </c>
      <c r="L41">
        <v>117536</v>
      </c>
      <c r="M41">
        <v>117734</v>
      </c>
      <c r="N41">
        <v>121151</v>
      </c>
      <c r="O41">
        <v>128253</v>
      </c>
      <c r="P41">
        <v>139691</v>
      </c>
      <c r="Q41">
        <v>150361</v>
      </c>
      <c r="R41">
        <v>165766</v>
      </c>
      <c r="S41">
        <v>178959</v>
      </c>
      <c r="T41">
        <v>176766</v>
      </c>
      <c r="U41">
        <v>175628</v>
      </c>
      <c r="V41">
        <v>187388</v>
      </c>
      <c r="W41">
        <v>202198</v>
      </c>
      <c r="X41">
        <v>211344</v>
      </c>
      <c r="Y41">
        <v>217029</v>
      </c>
      <c r="Z41">
        <v>222060</v>
      </c>
      <c r="AA41">
        <v>232545</v>
      </c>
      <c r="AB41">
        <v>245704</v>
      </c>
      <c r="AC41">
        <v>262103</v>
      </c>
      <c r="AD41">
        <v>279307</v>
      </c>
      <c r="AE41">
        <v>289340</v>
      </c>
    </row>
    <row r="42" spans="1:31" x14ac:dyDescent="0.3">
      <c r="A42" t="s">
        <v>280</v>
      </c>
      <c r="B42" t="s">
        <v>202</v>
      </c>
      <c r="C42" t="s">
        <v>0</v>
      </c>
      <c r="D42" t="s">
        <v>203</v>
      </c>
      <c r="E42" t="s">
        <v>123</v>
      </c>
      <c r="F42">
        <v>3047</v>
      </c>
      <c r="G42">
        <v>3194</v>
      </c>
      <c r="H42">
        <v>3376</v>
      </c>
      <c r="I42">
        <v>3600</v>
      </c>
      <c r="J42">
        <v>3837</v>
      </c>
      <c r="K42">
        <v>4160</v>
      </c>
      <c r="L42">
        <v>4444</v>
      </c>
      <c r="M42">
        <v>4733</v>
      </c>
      <c r="N42">
        <v>4862</v>
      </c>
      <c r="O42">
        <v>5086</v>
      </c>
      <c r="P42">
        <v>5328</v>
      </c>
      <c r="Q42">
        <v>5510</v>
      </c>
      <c r="R42">
        <v>5821</v>
      </c>
      <c r="S42">
        <v>6194</v>
      </c>
      <c r="T42">
        <v>6221</v>
      </c>
      <c r="U42">
        <v>6282</v>
      </c>
      <c r="V42">
        <v>6551</v>
      </c>
      <c r="W42">
        <v>6737</v>
      </c>
      <c r="X42">
        <v>6747</v>
      </c>
      <c r="Y42">
        <v>6680</v>
      </c>
      <c r="Z42">
        <v>6652</v>
      </c>
      <c r="AA42">
        <v>6602</v>
      </c>
      <c r="AB42">
        <v>6521</v>
      </c>
      <c r="AC42">
        <v>6606</v>
      </c>
      <c r="AD42">
        <v>7008</v>
      </c>
      <c r="AE42">
        <v>7193</v>
      </c>
    </row>
    <row r="43" spans="1:31" x14ac:dyDescent="0.3">
      <c r="A43" t="s">
        <v>280</v>
      </c>
      <c r="B43" t="s">
        <v>204</v>
      </c>
      <c r="C43" t="s">
        <v>0</v>
      </c>
      <c r="D43" t="s">
        <v>205</v>
      </c>
      <c r="E43" t="s">
        <v>123</v>
      </c>
      <c r="F43">
        <v>4022</v>
      </c>
      <c r="G43">
        <v>4286</v>
      </c>
      <c r="H43">
        <v>4526</v>
      </c>
      <c r="I43">
        <v>4858</v>
      </c>
      <c r="J43">
        <v>5189</v>
      </c>
      <c r="K43">
        <v>5695</v>
      </c>
      <c r="L43">
        <v>6139</v>
      </c>
      <c r="M43">
        <v>6621</v>
      </c>
      <c r="N43">
        <v>6913</v>
      </c>
      <c r="O43">
        <v>7284</v>
      </c>
      <c r="P43">
        <v>7675</v>
      </c>
      <c r="Q43">
        <v>8114</v>
      </c>
      <c r="R43">
        <v>8665</v>
      </c>
      <c r="S43">
        <v>9348</v>
      </c>
      <c r="T43">
        <v>9363</v>
      </c>
      <c r="U43">
        <v>9399</v>
      </c>
      <c r="V43">
        <v>9805</v>
      </c>
      <c r="W43">
        <v>10177</v>
      </c>
      <c r="X43">
        <v>10254</v>
      </c>
      <c r="Y43">
        <v>10262</v>
      </c>
      <c r="Z43">
        <v>10067</v>
      </c>
      <c r="AA43">
        <v>10125</v>
      </c>
      <c r="AB43">
        <v>10231</v>
      </c>
      <c r="AC43">
        <v>10527</v>
      </c>
      <c r="AD43">
        <v>11140</v>
      </c>
      <c r="AE43">
        <v>11434</v>
      </c>
    </row>
    <row r="44" spans="1:31" x14ac:dyDescent="0.3">
      <c r="A44" t="s">
        <v>280</v>
      </c>
      <c r="B44" t="s">
        <v>206</v>
      </c>
      <c r="C44" t="s">
        <v>0</v>
      </c>
      <c r="D44" t="s">
        <v>207</v>
      </c>
      <c r="E44" t="s">
        <v>123</v>
      </c>
      <c r="F44">
        <v>121042</v>
      </c>
      <c r="G44">
        <v>122366</v>
      </c>
      <c r="H44">
        <v>126070</v>
      </c>
      <c r="I44">
        <v>130383</v>
      </c>
      <c r="J44">
        <v>135182</v>
      </c>
      <c r="K44">
        <v>141946</v>
      </c>
      <c r="L44">
        <v>149051</v>
      </c>
      <c r="M44">
        <v>150766</v>
      </c>
      <c r="N44">
        <v>152253</v>
      </c>
      <c r="O44">
        <v>155996</v>
      </c>
      <c r="P44">
        <v>161253</v>
      </c>
      <c r="Q44">
        <v>166252</v>
      </c>
      <c r="R44">
        <v>175823</v>
      </c>
      <c r="S44">
        <v>186116</v>
      </c>
      <c r="T44">
        <v>186918</v>
      </c>
      <c r="U44">
        <v>183796</v>
      </c>
      <c r="V44">
        <v>188141</v>
      </c>
      <c r="W44">
        <v>194237</v>
      </c>
      <c r="X44">
        <v>195103</v>
      </c>
      <c r="Y44">
        <v>194843</v>
      </c>
      <c r="Z44">
        <v>194508</v>
      </c>
      <c r="AA44">
        <v>196315</v>
      </c>
      <c r="AB44">
        <v>201564</v>
      </c>
      <c r="AC44">
        <v>207033</v>
      </c>
      <c r="AD44">
        <v>214392</v>
      </c>
      <c r="AE44">
        <v>216360</v>
      </c>
    </row>
    <row r="45" spans="1:31" x14ac:dyDescent="0.3">
      <c r="A45" t="s">
        <v>280</v>
      </c>
      <c r="B45" t="s">
        <v>208</v>
      </c>
      <c r="C45" t="s">
        <v>0</v>
      </c>
      <c r="D45" t="s">
        <v>209</v>
      </c>
      <c r="E45" t="s">
        <v>123</v>
      </c>
      <c r="F45">
        <v>108158</v>
      </c>
      <c r="G45">
        <v>109888</v>
      </c>
      <c r="H45">
        <v>113219</v>
      </c>
      <c r="I45">
        <v>117402</v>
      </c>
      <c r="J45">
        <v>121906</v>
      </c>
      <c r="K45">
        <v>128067</v>
      </c>
      <c r="L45">
        <v>134722</v>
      </c>
      <c r="M45">
        <v>135988</v>
      </c>
      <c r="N45">
        <v>137118</v>
      </c>
      <c r="O45">
        <v>140514</v>
      </c>
      <c r="P45">
        <v>145229</v>
      </c>
      <c r="Q45">
        <v>149451</v>
      </c>
      <c r="R45">
        <v>157658</v>
      </c>
      <c r="S45">
        <v>167478</v>
      </c>
      <c r="T45">
        <v>167815</v>
      </c>
      <c r="U45">
        <v>165054</v>
      </c>
      <c r="V45">
        <v>168993</v>
      </c>
      <c r="W45">
        <v>174332</v>
      </c>
      <c r="X45">
        <v>174844</v>
      </c>
      <c r="Y45">
        <v>174715</v>
      </c>
      <c r="Z45">
        <v>174626</v>
      </c>
      <c r="AA45">
        <v>176479</v>
      </c>
      <c r="AB45">
        <v>181630</v>
      </c>
      <c r="AC45">
        <v>186207</v>
      </c>
      <c r="AD45">
        <v>193065</v>
      </c>
      <c r="AE45">
        <v>194916</v>
      </c>
    </row>
    <row r="46" spans="1:31" x14ac:dyDescent="0.3">
      <c r="A46" t="s">
        <v>280</v>
      </c>
      <c r="B46" t="s">
        <v>210</v>
      </c>
      <c r="C46" t="s">
        <v>0</v>
      </c>
      <c r="D46" t="s">
        <v>211</v>
      </c>
      <c r="E46" t="s">
        <v>123</v>
      </c>
      <c r="F46">
        <v>975</v>
      </c>
      <c r="G46">
        <v>1092</v>
      </c>
      <c r="H46">
        <v>1150</v>
      </c>
      <c r="I46">
        <v>1258</v>
      </c>
      <c r="J46">
        <v>1352</v>
      </c>
      <c r="K46">
        <v>1535</v>
      </c>
      <c r="L46">
        <v>1695</v>
      </c>
      <c r="M46">
        <v>1888</v>
      </c>
      <c r="N46">
        <v>2051</v>
      </c>
      <c r="O46">
        <v>2198</v>
      </c>
      <c r="P46">
        <v>2347</v>
      </c>
      <c r="Q46">
        <v>2604</v>
      </c>
      <c r="R46">
        <v>2844</v>
      </c>
      <c r="S46">
        <v>3154</v>
      </c>
      <c r="T46">
        <v>3142</v>
      </c>
      <c r="U46">
        <v>3117</v>
      </c>
      <c r="V46">
        <v>3254</v>
      </c>
      <c r="W46">
        <v>3440</v>
      </c>
      <c r="X46">
        <v>3507</v>
      </c>
      <c r="Y46">
        <v>3582</v>
      </c>
      <c r="Z46">
        <v>3415</v>
      </c>
      <c r="AA46">
        <v>3523</v>
      </c>
      <c r="AB46">
        <v>3710</v>
      </c>
      <c r="AC46">
        <v>3921</v>
      </c>
      <c r="AD46">
        <v>4132</v>
      </c>
      <c r="AE46">
        <v>4241</v>
      </c>
    </row>
    <row r="47" spans="1:31" x14ac:dyDescent="0.3">
      <c r="A47" t="s">
        <v>280</v>
      </c>
      <c r="B47" t="s">
        <v>212</v>
      </c>
      <c r="C47" t="s">
        <v>0</v>
      </c>
      <c r="D47" t="s">
        <v>213</v>
      </c>
      <c r="E47" t="s">
        <v>123</v>
      </c>
      <c r="F47">
        <v>37157</v>
      </c>
      <c r="G47">
        <v>37602</v>
      </c>
      <c r="H47">
        <v>39064</v>
      </c>
      <c r="I47">
        <v>40291</v>
      </c>
      <c r="J47">
        <v>41894</v>
      </c>
      <c r="K47">
        <v>44033</v>
      </c>
      <c r="L47">
        <v>44941</v>
      </c>
      <c r="M47">
        <v>45044</v>
      </c>
      <c r="N47">
        <v>44320</v>
      </c>
      <c r="O47">
        <v>46398</v>
      </c>
      <c r="P47">
        <v>48980</v>
      </c>
      <c r="Q47">
        <v>51592</v>
      </c>
      <c r="R47">
        <v>54821</v>
      </c>
      <c r="S47">
        <v>58893</v>
      </c>
      <c r="T47">
        <v>58524</v>
      </c>
      <c r="U47">
        <v>59266</v>
      </c>
      <c r="V47">
        <v>62235</v>
      </c>
      <c r="W47">
        <v>65204</v>
      </c>
      <c r="X47">
        <v>66604</v>
      </c>
      <c r="Y47">
        <v>67732</v>
      </c>
      <c r="Z47">
        <v>67330</v>
      </c>
      <c r="AA47">
        <v>66913</v>
      </c>
      <c r="AB47">
        <v>69175</v>
      </c>
      <c r="AC47">
        <v>71510</v>
      </c>
      <c r="AD47">
        <v>73075</v>
      </c>
      <c r="AE47">
        <v>72928</v>
      </c>
    </row>
    <row r="48" spans="1:31" x14ac:dyDescent="0.3">
      <c r="A48" t="s">
        <v>280</v>
      </c>
      <c r="B48" t="s">
        <v>214</v>
      </c>
      <c r="C48" t="s">
        <v>0</v>
      </c>
      <c r="D48" t="s">
        <v>215</v>
      </c>
      <c r="E48" t="s">
        <v>123</v>
      </c>
      <c r="F48">
        <v>57275</v>
      </c>
      <c r="G48">
        <v>58040</v>
      </c>
      <c r="H48">
        <v>59946</v>
      </c>
      <c r="I48">
        <v>62194</v>
      </c>
      <c r="J48">
        <v>63234</v>
      </c>
      <c r="K48">
        <v>66427</v>
      </c>
      <c r="L48">
        <v>69111</v>
      </c>
      <c r="M48">
        <v>69819</v>
      </c>
      <c r="N48">
        <v>69799</v>
      </c>
      <c r="O48">
        <v>73145</v>
      </c>
      <c r="P48">
        <v>77370</v>
      </c>
      <c r="Q48">
        <v>81534</v>
      </c>
      <c r="R48">
        <v>87083</v>
      </c>
      <c r="S48">
        <v>93564</v>
      </c>
      <c r="T48">
        <v>93678</v>
      </c>
      <c r="U48">
        <v>93541</v>
      </c>
      <c r="V48">
        <v>98034</v>
      </c>
      <c r="W48">
        <v>103326</v>
      </c>
      <c r="X48">
        <v>106219</v>
      </c>
      <c r="Y48">
        <v>108251</v>
      </c>
      <c r="Z48">
        <v>108544</v>
      </c>
      <c r="AA48">
        <v>109852</v>
      </c>
      <c r="AB48">
        <v>114125</v>
      </c>
      <c r="AC48">
        <v>118648</v>
      </c>
      <c r="AD48">
        <v>123545</v>
      </c>
      <c r="AE48">
        <v>125703</v>
      </c>
    </row>
    <row r="49" spans="1:31" x14ac:dyDescent="0.3">
      <c r="A49" t="s">
        <v>280</v>
      </c>
      <c r="B49" t="s">
        <v>216</v>
      </c>
      <c r="C49" t="s">
        <v>0</v>
      </c>
      <c r="D49" t="s">
        <v>217</v>
      </c>
      <c r="E49" t="s">
        <v>123</v>
      </c>
      <c r="F49">
        <v>11273</v>
      </c>
      <c r="G49">
        <v>11557</v>
      </c>
      <c r="H49">
        <v>11975</v>
      </c>
      <c r="I49">
        <v>12637</v>
      </c>
      <c r="J49">
        <v>11537</v>
      </c>
      <c r="K49">
        <v>12164</v>
      </c>
      <c r="L49">
        <v>13169</v>
      </c>
      <c r="M49">
        <v>13667</v>
      </c>
      <c r="N49">
        <v>14194</v>
      </c>
      <c r="O49">
        <v>15014</v>
      </c>
      <c r="P49">
        <v>15945</v>
      </c>
      <c r="Q49">
        <v>16741</v>
      </c>
      <c r="R49">
        <v>17919</v>
      </c>
      <c r="S49">
        <v>19204</v>
      </c>
      <c r="T49">
        <v>19466</v>
      </c>
      <c r="U49">
        <v>19148</v>
      </c>
      <c r="V49">
        <v>20011</v>
      </c>
      <c r="W49">
        <v>21068</v>
      </c>
      <c r="X49">
        <v>21678</v>
      </c>
      <c r="Y49">
        <v>22029</v>
      </c>
      <c r="Z49">
        <v>22423</v>
      </c>
      <c r="AA49">
        <v>23279</v>
      </c>
      <c r="AB49">
        <v>24139</v>
      </c>
      <c r="AC49">
        <v>25078</v>
      </c>
      <c r="AD49">
        <v>26795</v>
      </c>
      <c r="AE49">
        <v>27991</v>
      </c>
    </row>
    <row r="50" spans="1:31" x14ac:dyDescent="0.3">
      <c r="A50" t="s">
        <v>280</v>
      </c>
      <c r="B50" t="s">
        <v>218</v>
      </c>
      <c r="C50" t="s">
        <v>0</v>
      </c>
      <c r="D50" t="s">
        <v>219</v>
      </c>
      <c r="E50" t="s">
        <v>123</v>
      </c>
      <c r="F50">
        <v>8845</v>
      </c>
      <c r="G50">
        <v>8881</v>
      </c>
      <c r="H50">
        <v>8907</v>
      </c>
      <c r="I50">
        <v>9266</v>
      </c>
      <c r="J50">
        <v>9803</v>
      </c>
      <c r="K50">
        <v>10230</v>
      </c>
      <c r="L50">
        <v>11001</v>
      </c>
      <c r="M50">
        <v>11108</v>
      </c>
      <c r="N50">
        <v>11285</v>
      </c>
      <c r="O50">
        <v>11733</v>
      </c>
      <c r="P50">
        <v>12445</v>
      </c>
      <c r="Q50">
        <v>13201</v>
      </c>
      <c r="R50">
        <v>14343</v>
      </c>
      <c r="S50">
        <v>15467</v>
      </c>
      <c r="T50">
        <v>15688</v>
      </c>
      <c r="U50">
        <v>15127</v>
      </c>
      <c r="V50">
        <v>15788</v>
      </c>
      <c r="W50">
        <v>17054</v>
      </c>
      <c r="X50">
        <v>17937</v>
      </c>
      <c r="Y50">
        <v>18490</v>
      </c>
      <c r="Z50">
        <v>18791</v>
      </c>
      <c r="AA50">
        <v>19660</v>
      </c>
      <c r="AB50">
        <v>20811</v>
      </c>
      <c r="AC50">
        <v>22060</v>
      </c>
      <c r="AD50">
        <v>23675</v>
      </c>
      <c r="AE50">
        <v>24784</v>
      </c>
    </row>
    <row r="51" spans="1:31" x14ac:dyDescent="0.3">
      <c r="A51" t="s">
        <v>280</v>
      </c>
      <c r="B51" t="s">
        <v>220</v>
      </c>
      <c r="C51" t="s">
        <v>0</v>
      </c>
      <c r="D51" t="s">
        <v>221</v>
      </c>
      <c r="E51" t="s">
        <v>123</v>
      </c>
      <c r="F51">
        <v>5236</v>
      </c>
      <c r="G51">
        <v>5227</v>
      </c>
      <c r="H51">
        <v>5238</v>
      </c>
      <c r="I51">
        <v>5425</v>
      </c>
      <c r="J51">
        <v>5697</v>
      </c>
      <c r="K51">
        <v>5913</v>
      </c>
      <c r="L51">
        <v>6318</v>
      </c>
      <c r="M51">
        <v>6412</v>
      </c>
      <c r="N51">
        <v>6513</v>
      </c>
      <c r="O51">
        <v>6753</v>
      </c>
      <c r="P51">
        <v>7165</v>
      </c>
      <c r="Q51">
        <v>7622</v>
      </c>
      <c r="R51">
        <v>8235</v>
      </c>
      <c r="S51">
        <v>8819</v>
      </c>
      <c r="T51">
        <v>8961</v>
      </c>
      <c r="U51">
        <v>8652</v>
      </c>
      <c r="V51">
        <v>9036</v>
      </c>
      <c r="W51">
        <v>9775</v>
      </c>
      <c r="X51">
        <v>10329</v>
      </c>
      <c r="Y51">
        <v>10670</v>
      </c>
      <c r="Z51">
        <v>10833</v>
      </c>
      <c r="AA51">
        <v>11355</v>
      </c>
      <c r="AB51">
        <v>12132</v>
      </c>
      <c r="AC51">
        <v>12986</v>
      </c>
      <c r="AD51">
        <v>14042</v>
      </c>
      <c r="AE51">
        <v>14825</v>
      </c>
    </row>
    <row r="52" spans="1:31" x14ac:dyDescent="0.3">
      <c r="A52" t="s">
        <v>280</v>
      </c>
      <c r="B52" t="s">
        <v>222</v>
      </c>
      <c r="C52" t="s">
        <v>0</v>
      </c>
      <c r="D52" t="s">
        <v>223</v>
      </c>
      <c r="E52" t="s">
        <v>123</v>
      </c>
      <c r="F52">
        <v>3609</v>
      </c>
      <c r="G52">
        <v>3654</v>
      </c>
      <c r="H52">
        <v>3669</v>
      </c>
      <c r="I52">
        <v>3841</v>
      </c>
      <c r="J52">
        <v>4106</v>
      </c>
      <c r="K52">
        <v>4317</v>
      </c>
      <c r="L52">
        <v>4683</v>
      </c>
      <c r="M52">
        <v>4696</v>
      </c>
      <c r="N52">
        <v>4772</v>
      </c>
      <c r="O52">
        <v>4980</v>
      </c>
      <c r="P52">
        <v>5280</v>
      </c>
      <c r="Q52">
        <v>5579</v>
      </c>
      <c r="R52">
        <v>6108</v>
      </c>
      <c r="S52">
        <v>6648</v>
      </c>
      <c r="T52">
        <v>6727</v>
      </c>
      <c r="U52">
        <v>6475</v>
      </c>
      <c r="V52">
        <v>6752</v>
      </c>
      <c r="W52">
        <v>7279</v>
      </c>
      <c r="X52">
        <v>7608</v>
      </c>
      <c r="Y52">
        <v>7820</v>
      </c>
      <c r="Z52">
        <v>7958</v>
      </c>
      <c r="AA52">
        <v>8305</v>
      </c>
      <c r="AB52">
        <v>8679</v>
      </c>
      <c r="AC52">
        <v>9074</v>
      </c>
      <c r="AD52">
        <v>9633</v>
      </c>
      <c r="AE52">
        <v>9959</v>
      </c>
    </row>
    <row r="53" spans="1:31" x14ac:dyDescent="0.3">
      <c r="A53" t="s">
        <v>280</v>
      </c>
      <c r="B53" t="s">
        <v>224</v>
      </c>
      <c r="C53" t="s">
        <v>0</v>
      </c>
      <c r="D53" t="s">
        <v>225</v>
      </c>
      <c r="E53" t="s">
        <v>123</v>
      </c>
      <c r="F53">
        <v>6002</v>
      </c>
      <c r="G53">
        <v>6067</v>
      </c>
      <c r="H53">
        <v>6297</v>
      </c>
      <c r="I53">
        <v>6550</v>
      </c>
      <c r="J53">
        <v>6815</v>
      </c>
      <c r="K53">
        <v>7207</v>
      </c>
      <c r="L53">
        <v>7644</v>
      </c>
      <c r="M53">
        <v>7704</v>
      </c>
      <c r="N53">
        <v>7891</v>
      </c>
      <c r="O53">
        <v>8228</v>
      </c>
      <c r="P53">
        <v>8662</v>
      </c>
      <c r="Q53">
        <v>9182</v>
      </c>
      <c r="R53">
        <v>9850</v>
      </c>
      <c r="S53">
        <v>10559</v>
      </c>
      <c r="T53">
        <v>10475</v>
      </c>
      <c r="U53">
        <v>10297</v>
      </c>
      <c r="V53">
        <v>10729</v>
      </c>
      <c r="W53">
        <v>11324</v>
      </c>
      <c r="X53">
        <v>11601</v>
      </c>
      <c r="Y53">
        <v>11694</v>
      </c>
      <c r="Z53">
        <v>11684</v>
      </c>
      <c r="AA53">
        <v>11705</v>
      </c>
      <c r="AB53">
        <v>12410</v>
      </c>
      <c r="AC53">
        <v>13136</v>
      </c>
      <c r="AD53">
        <v>13840</v>
      </c>
      <c r="AE53">
        <v>14055</v>
      </c>
    </row>
    <row r="54" spans="1:31" x14ac:dyDescent="0.3">
      <c r="A54" t="s">
        <v>280</v>
      </c>
      <c r="B54" t="s">
        <v>226</v>
      </c>
      <c r="C54" t="s">
        <v>0</v>
      </c>
      <c r="D54" t="s">
        <v>227</v>
      </c>
      <c r="E54" t="s">
        <v>123</v>
      </c>
      <c r="F54">
        <v>8350</v>
      </c>
      <c r="G54">
        <v>8414</v>
      </c>
      <c r="H54">
        <v>8662</v>
      </c>
      <c r="I54">
        <v>9040</v>
      </c>
      <c r="J54">
        <v>9488</v>
      </c>
      <c r="K54">
        <v>9992</v>
      </c>
      <c r="L54">
        <v>10604</v>
      </c>
      <c r="M54">
        <v>10643</v>
      </c>
      <c r="N54">
        <v>10853</v>
      </c>
      <c r="O54">
        <v>11316</v>
      </c>
      <c r="P54">
        <v>11928</v>
      </c>
      <c r="Q54">
        <v>12568</v>
      </c>
      <c r="R54">
        <v>13477</v>
      </c>
      <c r="S54">
        <v>14408</v>
      </c>
      <c r="T54">
        <v>14373</v>
      </c>
      <c r="U54">
        <v>14084</v>
      </c>
      <c r="V54">
        <v>14616</v>
      </c>
      <c r="W54">
        <v>15386</v>
      </c>
      <c r="X54">
        <v>15735</v>
      </c>
      <c r="Y54">
        <v>15821</v>
      </c>
      <c r="Z54">
        <v>15809</v>
      </c>
      <c r="AA54">
        <v>15881</v>
      </c>
      <c r="AB54">
        <v>16656</v>
      </c>
      <c r="AC54">
        <v>17457</v>
      </c>
      <c r="AD54">
        <v>18283</v>
      </c>
      <c r="AE54">
        <v>18522</v>
      </c>
    </row>
    <row r="55" spans="1:31" x14ac:dyDescent="0.3">
      <c r="A55" t="s">
        <v>280</v>
      </c>
      <c r="B55" t="s">
        <v>228</v>
      </c>
      <c r="C55" t="s">
        <v>0</v>
      </c>
      <c r="D55" t="s">
        <v>229</v>
      </c>
      <c r="E55" t="s">
        <v>123</v>
      </c>
      <c r="F55">
        <v>2348</v>
      </c>
      <c r="G55">
        <v>2347</v>
      </c>
      <c r="H55">
        <v>2365</v>
      </c>
      <c r="I55">
        <v>2490</v>
      </c>
      <c r="J55">
        <v>2673</v>
      </c>
      <c r="K55">
        <v>2785</v>
      </c>
      <c r="L55">
        <v>2960</v>
      </c>
      <c r="M55">
        <v>2939</v>
      </c>
      <c r="N55">
        <v>2962</v>
      </c>
      <c r="O55">
        <v>3088</v>
      </c>
      <c r="P55">
        <v>3266</v>
      </c>
      <c r="Q55">
        <v>3386</v>
      </c>
      <c r="R55">
        <v>3627</v>
      </c>
      <c r="S55">
        <v>3849</v>
      </c>
      <c r="T55">
        <v>3898</v>
      </c>
      <c r="U55">
        <v>3787</v>
      </c>
      <c r="V55">
        <v>3887</v>
      </c>
      <c r="W55">
        <v>4062</v>
      </c>
      <c r="X55">
        <v>4134</v>
      </c>
      <c r="Y55">
        <v>4127</v>
      </c>
      <c r="Z55">
        <v>4125</v>
      </c>
      <c r="AA55">
        <v>4176</v>
      </c>
      <c r="AB55">
        <v>4246</v>
      </c>
      <c r="AC55">
        <v>4321</v>
      </c>
      <c r="AD55">
        <v>4443</v>
      </c>
      <c r="AE55">
        <v>4467</v>
      </c>
    </row>
    <row r="56" spans="1:31" x14ac:dyDescent="0.3">
      <c r="A56" t="s">
        <v>280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280</v>
      </c>
      <c r="B57" t="s">
        <v>232</v>
      </c>
      <c r="C57" t="s">
        <v>0</v>
      </c>
      <c r="D57" t="s">
        <v>233</v>
      </c>
      <c r="E57" t="s">
        <v>123</v>
      </c>
      <c r="F57">
        <v>321542</v>
      </c>
      <c r="G57">
        <v>324075</v>
      </c>
      <c r="H57">
        <v>336994</v>
      </c>
      <c r="I57">
        <v>355973</v>
      </c>
      <c r="J57">
        <v>374726</v>
      </c>
      <c r="K57">
        <v>402319</v>
      </c>
      <c r="L57">
        <v>426567</v>
      </c>
      <c r="M57">
        <v>429641</v>
      </c>
      <c r="N57">
        <v>437753</v>
      </c>
      <c r="O57">
        <v>456274</v>
      </c>
      <c r="P57">
        <v>484845</v>
      </c>
      <c r="Q57">
        <v>511464</v>
      </c>
      <c r="R57">
        <v>553535</v>
      </c>
      <c r="S57">
        <v>594698</v>
      </c>
      <c r="T57">
        <v>592222</v>
      </c>
      <c r="U57">
        <v>583218</v>
      </c>
      <c r="V57">
        <v>609735</v>
      </c>
      <c r="W57">
        <v>646600</v>
      </c>
      <c r="X57">
        <v>663296</v>
      </c>
      <c r="Y57">
        <v>672450</v>
      </c>
      <c r="Z57">
        <v>679443</v>
      </c>
      <c r="AA57">
        <v>698837</v>
      </c>
      <c r="AB57">
        <v>727724</v>
      </c>
      <c r="AC57">
        <v>764147</v>
      </c>
      <c r="AD57">
        <v>805186</v>
      </c>
      <c r="AE57">
        <v>825577</v>
      </c>
    </row>
    <row r="58" spans="1:31" x14ac:dyDescent="0.3">
      <c r="A58" t="s">
        <v>280</v>
      </c>
      <c r="B58" t="s">
        <v>234</v>
      </c>
      <c r="C58" t="s">
        <v>0</v>
      </c>
      <c r="D58" t="s">
        <v>235</v>
      </c>
      <c r="E58" t="s">
        <v>123</v>
      </c>
      <c r="F58">
        <v>321542</v>
      </c>
      <c r="G58">
        <v>324075</v>
      </c>
      <c r="H58">
        <v>336994</v>
      </c>
      <c r="I58">
        <v>355973</v>
      </c>
      <c r="J58">
        <v>374726</v>
      </c>
      <c r="K58">
        <v>402319</v>
      </c>
      <c r="L58">
        <v>426567</v>
      </c>
      <c r="M58">
        <v>429641</v>
      </c>
      <c r="N58">
        <v>437753</v>
      </c>
      <c r="O58">
        <v>456274</v>
      </c>
      <c r="P58">
        <v>484845</v>
      </c>
      <c r="Q58">
        <v>511464</v>
      </c>
      <c r="R58">
        <v>553535</v>
      </c>
      <c r="S58">
        <v>594698</v>
      </c>
      <c r="T58">
        <v>592222</v>
      </c>
      <c r="U58">
        <v>583218</v>
      </c>
      <c r="V58">
        <v>609735</v>
      </c>
      <c r="W58">
        <v>646600</v>
      </c>
      <c r="X58">
        <v>663296</v>
      </c>
      <c r="Y58">
        <v>672450</v>
      </c>
      <c r="Z58">
        <v>679443</v>
      </c>
      <c r="AA58">
        <v>698837</v>
      </c>
      <c r="AB58">
        <v>727724</v>
      </c>
      <c r="AC58">
        <v>764147</v>
      </c>
      <c r="AD58">
        <v>805186</v>
      </c>
      <c r="AE58">
        <v>825577</v>
      </c>
    </row>
    <row r="59" spans="1:31" x14ac:dyDescent="0.3">
      <c r="A59" t="s">
        <v>280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281</v>
      </c>
      <c r="B2" t="s">
        <v>121</v>
      </c>
      <c r="C2" t="s">
        <v>0</v>
      </c>
      <c r="D2" t="s">
        <v>122</v>
      </c>
      <c r="E2" t="s">
        <v>123</v>
      </c>
      <c r="F2">
        <v>77</v>
      </c>
      <c r="G2">
        <v>66</v>
      </c>
      <c r="H2">
        <v>63</v>
      </c>
      <c r="I2">
        <v>68</v>
      </c>
      <c r="J2">
        <v>70</v>
      </c>
      <c r="K2">
        <v>59</v>
      </c>
      <c r="L2">
        <v>44</v>
      </c>
      <c r="M2">
        <v>37</v>
      </c>
      <c r="N2">
        <v>34</v>
      </c>
      <c r="O2">
        <v>35</v>
      </c>
      <c r="P2">
        <v>37</v>
      </c>
      <c r="Q2">
        <v>36</v>
      </c>
      <c r="R2">
        <v>36</v>
      </c>
      <c r="S2">
        <v>36</v>
      </c>
      <c r="T2">
        <v>37</v>
      </c>
      <c r="U2">
        <v>38</v>
      </c>
      <c r="V2">
        <v>39</v>
      </c>
      <c r="W2">
        <v>39</v>
      </c>
      <c r="X2">
        <v>39</v>
      </c>
      <c r="Y2">
        <v>40</v>
      </c>
      <c r="Z2">
        <v>39</v>
      </c>
      <c r="AA2">
        <v>40</v>
      </c>
      <c r="AB2">
        <v>40</v>
      </c>
      <c r="AC2">
        <v>38</v>
      </c>
      <c r="AD2">
        <v>35</v>
      </c>
      <c r="AE2">
        <v>33</v>
      </c>
    </row>
    <row r="3" spans="1:31" x14ac:dyDescent="0.3">
      <c r="A3" t="s">
        <v>281</v>
      </c>
      <c r="B3" t="s">
        <v>124</v>
      </c>
      <c r="C3" t="s">
        <v>0</v>
      </c>
      <c r="D3" t="s">
        <v>125</v>
      </c>
      <c r="E3" t="s">
        <v>123</v>
      </c>
      <c r="F3">
        <v>4</v>
      </c>
      <c r="G3">
        <v>5</v>
      </c>
      <c r="H3">
        <v>4</v>
      </c>
      <c r="I3">
        <v>4</v>
      </c>
      <c r="J3">
        <v>4</v>
      </c>
      <c r="K3">
        <v>4</v>
      </c>
      <c r="L3">
        <v>3</v>
      </c>
      <c r="M3">
        <v>3</v>
      </c>
      <c r="N3">
        <v>4</v>
      </c>
      <c r="O3">
        <v>3</v>
      </c>
      <c r="P3">
        <v>3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5</v>
      </c>
      <c r="X3">
        <v>9</v>
      </c>
      <c r="Y3">
        <v>9</v>
      </c>
      <c r="Z3">
        <v>9</v>
      </c>
      <c r="AA3">
        <v>8</v>
      </c>
      <c r="AB3">
        <v>8</v>
      </c>
      <c r="AC3">
        <v>8</v>
      </c>
      <c r="AD3">
        <v>8</v>
      </c>
      <c r="AE3">
        <v>11</v>
      </c>
    </row>
    <row r="4" spans="1:31" x14ac:dyDescent="0.3">
      <c r="A4" t="s">
        <v>281</v>
      </c>
      <c r="B4" t="s">
        <v>126</v>
      </c>
      <c r="C4" t="s">
        <v>0</v>
      </c>
      <c r="D4" t="s">
        <v>127</v>
      </c>
      <c r="E4" t="s">
        <v>123</v>
      </c>
      <c r="F4">
        <v>461</v>
      </c>
      <c r="G4">
        <v>477</v>
      </c>
      <c r="H4">
        <v>443</v>
      </c>
      <c r="I4">
        <v>486</v>
      </c>
      <c r="J4">
        <v>475</v>
      </c>
      <c r="K4">
        <v>410</v>
      </c>
      <c r="L4">
        <v>329</v>
      </c>
      <c r="M4">
        <v>265</v>
      </c>
      <c r="N4">
        <v>234</v>
      </c>
      <c r="O4">
        <v>230</v>
      </c>
      <c r="P4">
        <v>220</v>
      </c>
      <c r="Q4">
        <v>268</v>
      </c>
      <c r="R4">
        <v>345</v>
      </c>
      <c r="S4">
        <v>345</v>
      </c>
      <c r="T4">
        <v>340</v>
      </c>
      <c r="U4">
        <v>298</v>
      </c>
      <c r="V4">
        <v>278</v>
      </c>
      <c r="W4">
        <v>285</v>
      </c>
      <c r="X4">
        <v>253</v>
      </c>
      <c r="Y4">
        <v>246</v>
      </c>
      <c r="Z4">
        <v>271</v>
      </c>
      <c r="AA4">
        <v>266</v>
      </c>
      <c r="AB4">
        <v>291</v>
      </c>
      <c r="AC4">
        <v>294</v>
      </c>
      <c r="AD4">
        <v>290</v>
      </c>
      <c r="AE4">
        <v>287</v>
      </c>
    </row>
    <row r="5" spans="1:31" x14ac:dyDescent="0.3">
      <c r="A5" t="s">
        <v>281</v>
      </c>
      <c r="B5" t="s">
        <v>128</v>
      </c>
      <c r="C5" t="s">
        <v>0</v>
      </c>
      <c r="D5" t="s">
        <v>129</v>
      </c>
      <c r="E5" t="s">
        <v>123</v>
      </c>
      <c r="F5">
        <v>57</v>
      </c>
      <c r="G5">
        <v>54</v>
      </c>
      <c r="H5">
        <v>48</v>
      </c>
      <c r="I5">
        <v>55</v>
      </c>
      <c r="J5">
        <v>53</v>
      </c>
      <c r="K5">
        <v>44</v>
      </c>
      <c r="L5">
        <v>36</v>
      </c>
      <c r="M5">
        <v>31</v>
      </c>
      <c r="N5">
        <v>30</v>
      </c>
      <c r="O5">
        <v>30</v>
      </c>
      <c r="P5">
        <v>28</v>
      </c>
      <c r="Q5">
        <v>31</v>
      </c>
      <c r="R5">
        <v>36</v>
      </c>
      <c r="S5">
        <v>37</v>
      </c>
      <c r="T5">
        <v>39</v>
      </c>
      <c r="U5">
        <v>35</v>
      </c>
      <c r="V5">
        <v>32</v>
      </c>
      <c r="W5">
        <v>33</v>
      </c>
      <c r="X5">
        <v>30</v>
      </c>
      <c r="Y5">
        <v>32</v>
      </c>
      <c r="Z5">
        <v>34</v>
      </c>
      <c r="AA5">
        <v>34</v>
      </c>
      <c r="AB5">
        <v>46</v>
      </c>
      <c r="AC5">
        <v>44</v>
      </c>
      <c r="AD5">
        <v>39</v>
      </c>
      <c r="AE5">
        <v>38</v>
      </c>
    </row>
    <row r="6" spans="1:31" x14ac:dyDescent="0.3">
      <c r="A6" t="s">
        <v>281</v>
      </c>
      <c r="B6" t="s">
        <v>130</v>
      </c>
      <c r="C6" t="s">
        <v>0</v>
      </c>
      <c r="D6" t="s">
        <v>131</v>
      </c>
      <c r="E6" t="s">
        <v>123</v>
      </c>
      <c r="F6">
        <v>12</v>
      </c>
      <c r="G6">
        <v>11</v>
      </c>
      <c r="H6">
        <v>9</v>
      </c>
      <c r="I6">
        <v>10</v>
      </c>
      <c r="J6">
        <v>8</v>
      </c>
      <c r="K6">
        <v>7</v>
      </c>
      <c r="L6">
        <v>5</v>
      </c>
      <c r="M6">
        <v>5</v>
      </c>
      <c r="N6">
        <v>3</v>
      </c>
      <c r="O6">
        <v>3</v>
      </c>
      <c r="P6">
        <v>3</v>
      </c>
      <c r="Q6">
        <v>4</v>
      </c>
      <c r="R6">
        <v>4</v>
      </c>
      <c r="S6">
        <v>5</v>
      </c>
      <c r="T6">
        <v>3</v>
      </c>
      <c r="U6">
        <v>2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281</v>
      </c>
      <c r="B7" t="s">
        <v>132</v>
      </c>
      <c r="C7" t="s">
        <v>0</v>
      </c>
      <c r="D7" t="s">
        <v>133</v>
      </c>
      <c r="E7" t="s">
        <v>123</v>
      </c>
      <c r="F7">
        <v>132</v>
      </c>
      <c r="G7">
        <v>171</v>
      </c>
      <c r="H7">
        <v>152</v>
      </c>
      <c r="I7">
        <v>168</v>
      </c>
      <c r="J7">
        <v>160</v>
      </c>
      <c r="K7">
        <v>132</v>
      </c>
      <c r="L7">
        <v>109</v>
      </c>
      <c r="M7">
        <v>84</v>
      </c>
      <c r="N7">
        <v>79</v>
      </c>
      <c r="O7">
        <v>67</v>
      </c>
      <c r="P7">
        <v>63</v>
      </c>
      <c r="Q7">
        <v>67</v>
      </c>
      <c r="R7">
        <v>70</v>
      </c>
      <c r="S7">
        <v>72</v>
      </c>
      <c r="T7">
        <v>61</v>
      </c>
      <c r="U7">
        <v>51</v>
      </c>
      <c r="V7">
        <v>48</v>
      </c>
      <c r="W7">
        <v>46</v>
      </c>
      <c r="X7">
        <v>42</v>
      </c>
      <c r="Y7">
        <v>39</v>
      </c>
      <c r="Z7">
        <v>42</v>
      </c>
      <c r="AA7">
        <v>47</v>
      </c>
      <c r="AB7">
        <v>67</v>
      </c>
      <c r="AC7">
        <v>64</v>
      </c>
      <c r="AD7">
        <v>63</v>
      </c>
      <c r="AE7">
        <v>60</v>
      </c>
    </row>
    <row r="8" spans="1:31" x14ac:dyDescent="0.3">
      <c r="A8" t="s">
        <v>281</v>
      </c>
      <c r="B8" t="s">
        <v>134</v>
      </c>
      <c r="C8" t="s">
        <v>0</v>
      </c>
      <c r="D8" t="s">
        <v>135</v>
      </c>
      <c r="E8" t="s">
        <v>123</v>
      </c>
      <c r="F8">
        <v>6</v>
      </c>
      <c r="G8">
        <v>6</v>
      </c>
      <c r="H8">
        <v>11</v>
      </c>
      <c r="I8">
        <v>9</v>
      </c>
      <c r="J8">
        <v>9</v>
      </c>
      <c r="K8">
        <v>8</v>
      </c>
      <c r="L8">
        <v>8</v>
      </c>
      <c r="M8">
        <v>5</v>
      </c>
      <c r="N8">
        <v>5</v>
      </c>
      <c r="O8">
        <v>4</v>
      </c>
      <c r="P8">
        <v>8</v>
      </c>
      <c r="Q8">
        <v>14</v>
      </c>
      <c r="R8">
        <v>37</v>
      </c>
      <c r="S8">
        <v>32</v>
      </c>
      <c r="T8">
        <v>25</v>
      </c>
      <c r="U8">
        <v>24</v>
      </c>
      <c r="V8">
        <v>19</v>
      </c>
      <c r="W8">
        <v>19</v>
      </c>
      <c r="X8">
        <v>18</v>
      </c>
      <c r="Y8">
        <v>18</v>
      </c>
      <c r="Z8">
        <v>28</v>
      </c>
      <c r="AA8">
        <v>15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281</v>
      </c>
      <c r="B9" t="s">
        <v>136</v>
      </c>
      <c r="C9" t="s">
        <v>0</v>
      </c>
      <c r="D9" t="s">
        <v>137</v>
      </c>
      <c r="E9" t="s">
        <v>123</v>
      </c>
      <c r="F9">
        <v>41</v>
      </c>
      <c r="G9">
        <v>32</v>
      </c>
      <c r="H9">
        <v>29</v>
      </c>
      <c r="I9">
        <v>29</v>
      </c>
      <c r="J9">
        <v>30</v>
      </c>
      <c r="K9">
        <v>23</v>
      </c>
      <c r="L9">
        <v>18</v>
      </c>
      <c r="M9">
        <v>16</v>
      </c>
      <c r="N9">
        <v>14</v>
      </c>
      <c r="O9">
        <v>14</v>
      </c>
      <c r="P9">
        <v>14</v>
      </c>
      <c r="Q9">
        <v>15</v>
      </c>
      <c r="R9">
        <v>24</v>
      </c>
      <c r="S9">
        <v>22</v>
      </c>
      <c r="T9">
        <v>22</v>
      </c>
      <c r="U9">
        <v>17</v>
      </c>
      <c r="V9">
        <v>16</v>
      </c>
      <c r="W9">
        <v>17</v>
      </c>
      <c r="X9">
        <v>20</v>
      </c>
      <c r="Y9">
        <v>19</v>
      </c>
      <c r="Z9">
        <v>24</v>
      </c>
      <c r="AA9">
        <v>30</v>
      </c>
      <c r="AB9">
        <v>38</v>
      </c>
      <c r="AC9">
        <v>40</v>
      </c>
      <c r="AD9">
        <v>39</v>
      </c>
      <c r="AE9">
        <v>39</v>
      </c>
    </row>
    <row r="10" spans="1:31" x14ac:dyDescent="0.3">
      <c r="A10" t="s">
        <v>281</v>
      </c>
      <c r="B10" t="s">
        <v>138</v>
      </c>
      <c r="C10" t="s">
        <v>0</v>
      </c>
      <c r="D10" t="s">
        <v>139</v>
      </c>
      <c r="E10" t="s">
        <v>123</v>
      </c>
      <c r="F10">
        <v>45</v>
      </c>
      <c r="G10">
        <v>35</v>
      </c>
      <c r="H10">
        <v>32</v>
      </c>
      <c r="I10">
        <v>32</v>
      </c>
      <c r="J10">
        <v>33</v>
      </c>
      <c r="K10">
        <v>26</v>
      </c>
      <c r="L10">
        <v>20</v>
      </c>
      <c r="M10">
        <v>18</v>
      </c>
      <c r="N10">
        <v>15</v>
      </c>
      <c r="O10">
        <v>15</v>
      </c>
      <c r="P10">
        <v>14</v>
      </c>
      <c r="Q10">
        <v>16</v>
      </c>
      <c r="R10">
        <v>26</v>
      </c>
      <c r="S10">
        <v>24</v>
      </c>
      <c r="T10">
        <v>24</v>
      </c>
      <c r="U10">
        <v>19</v>
      </c>
      <c r="V10">
        <v>18</v>
      </c>
      <c r="W10">
        <v>20</v>
      </c>
      <c r="X10">
        <v>23</v>
      </c>
      <c r="Y10">
        <v>22</v>
      </c>
      <c r="Z10">
        <v>27</v>
      </c>
      <c r="AA10">
        <v>33</v>
      </c>
      <c r="AB10">
        <v>41</v>
      </c>
      <c r="AC10">
        <v>44</v>
      </c>
      <c r="AD10">
        <v>43</v>
      </c>
      <c r="AE10">
        <v>43</v>
      </c>
    </row>
    <row r="11" spans="1:31" x14ac:dyDescent="0.3">
      <c r="A11" t="s">
        <v>281</v>
      </c>
      <c r="B11" t="s">
        <v>140</v>
      </c>
      <c r="C11" t="s">
        <v>0</v>
      </c>
      <c r="D11" t="s">
        <v>141</v>
      </c>
      <c r="E11" t="s">
        <v>123</v>
      </c>
      <c r="F11">
        <v>4</v>
      </c>
      <c r="G11">
        <v>3</v>
      </c>
      <c r="H11">
        <v>3</v>
      </c>
      <c r="I11">
        <v>3</v>
      </c>
      <c r="J11">
        <v>3</v>
      </c>
      <c r="K11">
        <v>3</v>
      </c>
      <c r="L11">
        <v>2</v>
      </c>
      <c r="M11">
        <v>2</v>
      </c>
      <c r="N11">
        <v>1</v>
      </c>
      <c r="O11">
        <v>1</v>
      </c>
      <c r="P11">
        <v>0</v>
      </c>
      <c r="Q11">
        <v>1</v>
      </c>
      <c r="R11">
        <v>2</v>
      </c>
      <c r="S11">
        <v>2</v>
      </c>
      <c r="T11">
        <v>2</v>
      </c>
      <c r="U11">
        <v>2</v>
      </c>
      <c r="V11">
        <v>2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4</v>
      </c>
      <c r="AD11">
        <v>4</v>
      </c>
      <c r="AE11">
        <v>4</v>
      </c>
    </row>
    <row r="12" spans="1:31" x14ac:dyDescent="0.3">
      <c r="A12" t="s">
        <v>281</v>
      </c>
      <c r="B12" t="s">
        <v>142</v>
      </c>
      <c r="C12" t="s">
        <v>0</v>
      </c>
      <c r="D12" t="s">
        <v>143</v>
      </c>
      <c r="E12" t="s">
        <v>123</v>
      </c>
      <c r="F12">
        <v>32</v>
      </c>
      <c r="G12">
        <v>28</v>
      </c>
      <c r="H12">
        <v>26</v>
      </c>
      <c r="I12">
        <v>34</v>
      </c>
      <c r="J12">
        <v>36</v>
      </c>
      <c r="K12">
        <v>33</v>
      </c>
      <c r="L12">
        <v>25</v>
      </c>
      <c r="M12">
        <v>19</v>
      </c>
      <c r="N12">
        <v>17</v>
      </c>
      <c r="O12">
        <v>18</v>
      </c>
      <c r="P12">
        <v>19</v>
      </c>
      <c r="Q12">
        <v>23</v>
      </c>
      <c r="R12">
        <v>30</v>
      </c>
      <c r="S12">
        <v>28</v>
      </c>
      <c r="T12">
        <v>31</v>
      </c>
      <c r="U12">
        <v>26</v>
      </c>
      <c r="V12">
        <v>25</v>
      </c>
      <c r="W12">
        <v>25</v>
      </c>
      <c r="X12">
        <v>21</v>
      </c>
      <c r="Y12">
        <v>20</v>
      </c>
      <c r="Z12">
        <v>20</v>
      </c>
      <c r="AA12">
        <v>18</v>
      </c>
      <c r="AB12">
        <v>16</v>
      </c>
      <c r="AC12">
        <v>15</v>
      </c>
      <c r="AD12">
        <v>15</v>
      </c>
      <c r="AE12">
        <v>15</v>
      </c>
    </row>
    <row r="13" spans="1:31" x14ac:dyDescent="0.3">
      <c r="A13" t="s">
        <v>281</v>
      </c>
      <c r="B13" t="s">
        <v>144</v>
      </c>
      <c r="C13" t="s">
        <v>0</v>
      </c>
      <c r="D13" t="s">
        <v>145</v>
      </c>
      <c r="E13" t="s">
        <v>123</v>
      </c>
      <c r="F13">
        <v>83</v>
      </c>
      <c r="G13">
        <v>78</v>
      </c>
      <c r="H13">
        <v>77</v>
      </c>
      <c r="I13">
        <v>83</v>
      </c>
      <c r="J13">
        <v>72</v>
      </c>
      <c r="K13">
        <v>64</v>
      </c>
      <c r="L13">
        <v>50</v>
      </c>
      <c r="M13">
        <v>47</v>
      </c>
      <c r="N13">
        <v>38</v>
      </c>
      <c r="O13">
        <v>47</v>
      </c>
      <c r="P13">
        <v>41</v>
      </c>
      <c r="Q13">
        <v>41</v>
      </c>
      <c r="R13">
        <v>49</v>
      </c>
      <c r="S13">
        <v>47</v>
      </c>
      <c r="T13">
        <v>56</v>
      </c>
      <c r="U13">
        <v>51</v>
      </c>
      <c r="V13">
        <v>43</v>
      </c>
      <c r="W13">
        <v>53</v>
      </c>
      <c r="X13">
        <v>43</v>
      </c>
      <c r="Y13">
        <v>39</v>
      </c>
      <c r="Z13">
        <v>39</v>
      </c>
      <c r="AA13">
        <v>39</v>
      </c>
      <c r="AB13">
        <v>40</v>
      </c>
      <c r="AC13">
        <v>43</v>
      </c>
      <c r="AD13">
        <v>47</v>
      </c>
      <c r="AE13">
        <v>45</v>
      </c>
    </row>
    <row r="14" spans="1:31" x14ac:dyDescent="0.3">
      <c r="A14" t="s">
        <v>281</v>
      </c>
      <c r="B14" t="s">
        <v>146</v>
      </c>
      <c r="C14" t="s">
        <v>0</v>
      </c>
      <c r="D14" t="s">
        <v>147</v>
      </c>
      <c r="E14" t="s">
        <v>123</v>
      </c>
      <c r="F14">
        <v>40</v>
      </c>
      <c r="G14">
        <v>33</v>
      </c>
      <c r="H14">
        <v>30</v>
      </c>
      <c r="I14">
        <v>36</v>
      </c>
      <c r="J14">
        <v>44</v>
      </c>
      <c r="K14">
        <v>43</v>
      </c>
      <c r="L14">
        <v>34</v>
      </c>
      <c r="M14">
        <v>26</v>
      </c>
      <c r="N14">
        <v>20</v>
      </c>
      <c r="O14">
        <v>20</v>
      </c>
      <c r="P14">
        <v>19</v>
      </c>
      <c r="Q14">
        <v>43</v>
      </c>
      <c r="R14">
        <v>57</v>
      </c>
      <c r="S14">
        <v>60</v>
      </c>
      <c r="T14">
        <v>55</v>
      </c>
      <c r="U14">
        <v>53</v>
      </c>
      <c r="V14">
        <v>55</v>
      </c>
      <c r="W14">
        <v>53</v>
      </c>
      <c r="X14">
        <v>45</v>
      </c>
      <c r="Y14">
        <v>45</v>
      </c>
      <c r="Z14">
        <v>51</v>
      </c>
      <c r="AA14">
        <v>51</v>
      </c>
      <c r="AB14">
        <v>54</v>
      </c>
      <c r="AC14">
        <v>54</v>
      </c>
      <c r="AD14">
        <v>53</v>
      </c>
      <c r="AE14">
        <v>59</v>
      </c>
    </row>
    <row r="15" spans="1:31" x14ac:dyDescent="0.3">
      <c r="A15" t="s">
        <v>281</v>
      </c>
      <c r="B15" t="s">
        <v>148</v>
      </c>
      <c r="C15" t="s">
        <v>0</v>
      </c>
      <c r="D15" t="s">
        <v>149</v>
      </c>
      <c r="E15" t="s">
        <v>123</v>
      </c>
      <c r="F15">
        <v>49</v>
      </c>
      <c r="G15">
        <v>44</v>
      </c>
      <c r="H15">
        <v>40</v>
      </c>
      <c r="I15">
        <v>47</v>
      </c>
      <c r="J15">
        <v>55</v>
      </c>
      <c r="K15">
        <v>53</v>
      </c>
      <c r="L15">
        <v>42</v>
      </c>
      <c r="M15">
        <v>30</v>
      </c>
      <c r="N15">
        <v>25</v>
      </c>
      <c r="O15">
        <v>23</v>
      </c>
      <c r="P15">
        <v>23</v>
      </c>
      <c r="Q15">
        <v>48</v>
      </c>
      <c r="R15">
        <v>64</v>
      </c>
      <c r="S15">
        <v>68</v>
      </c>
      <c r="T15">
        <v>65</v>
      </c>
      <c r="U15">
        <v>62</v>
      </c>
      <c r="V15">
        <v>65</v>
      </c>
      <c r="W15">
        <v>61</v>
      </c>
      <c r="X15">
        <v>54</v>
      </c>
      <c r="Y15">
        <v>53</v>
      </c>
      <c r="Z15">
        <v>58</v>
      </c>
      <c r="AA15">
        <v>57</v>
      </c>
      <c r="AB15">
        <v>60</v>
      </c>
      <c r="AC15">
        <v>61</v>
      </c>
      <c r="AD15">
        <v>59</v>
      </c>
      <c r="AE15">
        <v>65</v>
      </c>
    </row>
    <row r="16" spans="1:31" x14ac:dyDescent="0.3">
      <c r="A16" t="s">
        <v>281</v>
      </c>
      <c r="B16" t="s">
        <v>150</v>
      </c>
      <c r="C16" t="s">
        <v>0</v>
      </c>
      <c r="D16" t="s">
        <v>151</v>
      </c>
      <c r="E16" t="s">
        <v>123</v>
      </c>
      <c r="F16">
        <v>9</v>
      </c>
      <c r="G16">
        <v>11</v>
      </c>
      <c r="H16">
        <v>10</v>
      </c>
      <c r="I16">
        <v>11</v>
      </c>
      <c r="J16">
        <v>11</v>
      </c>
      <c r="K16">
        <v>10</v>
      </c>
      <c r="L16">
        <v>8</v>
      </c>
      <c r="M16">
        <v>4</v>
      </c>
      <c r="N16">
        <v>5</v>
      </c>
      <c r="O16">
        <v>3</v>
      </c>
      <c r="P16">
        <v>4</v>
      </c>
      <c r="Q16">
        <v>5</v>
      </c>
      <c r="R16">
        <v>7</v>
      </c>
      <c r="S16">
        <v>8</v>
      </c>
      <c r="T16">
        <v>10</v>
      </c>
      <c r="U16">
        <v>9</v>
      </c>
      <c r="V16">
        <v>10</v>
      </c>
      <c r="W16">
        <v>8</v>
      </c>
      <c r="X16">
        <v>9</v>
      </c>
      <c r="Y16">
        <v>8</v>
      </c>
      <c r="Z16">
        <v>7</v>
      </c>
      <c r="AA16">
        <v>6</v>
      </c>
      <c r="AB16">
        <v>6</v>
      </c>
      <c r="AC16">
        <v>7</v>
      </c>
      <c r="AD16">
        <v>6</v>
      </c>
      <c r="AE16">
        <v>6</v>
      </c>
    </row>
    <row r="17" spans="1:31" x14ac:dyDescent="0.3">
      <c r="A17" t="s">
        <v>281</v>
      </c>
      <c r="B17" t="s">
        <v>152</v>
      </c>
      <c r="C17" t="s">
        <v>0</v>
      </c>
      <c r="D17" t="s">
        <v>153</v>
      </c>
      <c r="E17" t="s">
        <v>123</v>
      </c>
      <c r="F17">
        <v>26</v>
      </c>
      <c r="G17">
        <v>29</v>
      </c>
      <c r="H17">
        <v>27</v>
      </c>
      <c r="I17">
        <v>26</v>
      </c>
      <c r="J17">
        <v>25</v>
      </c>
      <c r="K17">
        <v>22</v>
      </c>
      <c r="L17">
        <v>16</v>
      </c>
      <c r="M17">
        <v>12</v>
      </c>
      <c r="N17">
        <v>12</v>
      </c>
      <c r="O17">
        <v>12</v>
      </c>
      <c r="P17">
        <v>11</v>
      </c>
      <c r="Q17">
        <v>13</v>
      </c>
      <c r="R17">
        <v>16</v>
      </c>
      <c r="S17">
        <v>18</v>
      </c>
      <c r="T17">
        <v>21</v>
      </c>
      <c r="U17">
        <v>15</v>
      </c>
      <c r="V17">
        <v>15</v>
      </c>
      <c r="W17">
        <v>14</v>
      </c>
      <c r="X17">
        <v>12</v>
      </c>
      <c r="Y17">
        <v>12</v>
      </c>
      <c r="Z17">
        <v>12</v>
      </c>
      <c r="AA17">
        <v>12</v>
      </c>
      <c r="AB17">
        <v>11</v>
      </c>
      <c r="AC17">
        <v>13</v>
      </c>
      <c r="AD17">
        <v>15</v>
      </c>
      <c r="AE17">
        <v>14</v>
      </c>
    </row>
    <row r="18" spans="1:31" x14ac:dyDescent="0.3">
      <c r="A18" t="s">
        <v>281</v>
      </c>
      <c r="B18" t="s">
        <v>154</v>
      </c>
      <c r="C18" t="s">
        <v>0</v>
      </c>
      <c r="D18" t="s">
        <v>155</v>
      </c>
      <c r="E18" t="s">
        <v>123</v>
      </c>
      <c r="F18">
        <v>8</v>
      </c>
      <c r="G18">
        <v>9</v>
      </c>
      <c r="H18">
        <v>7</v>
      </c>
      <c r="I18">
        <v>7</v>
      </c>
      <c r="J18">
        <v>8</v>
      </c>
      <c r="K18">
        <v>7</v>
      </c>
      <c r="L18">
        <v>7</v>
      </c>
      <c r="M18">
        <v>5</v>
      </c>
      <c r="N18">
        <v>4</v>
      </c>
      <c r="O18">
        <v>5</v>
      </c>
      <c r="P18">
        <v>5</v>
      </c>
      <c r="Q18">
        <v>5</v>
      </c>
      <c r="R18">
        <v>5</v>
      </c>
      <c r="S18">
        <v>5</v>
      </c>
      <c r="T18">
        <v>7</v>
      </c>
      <c r="U18">
        <v>6</v>
      </c>
      <c r="V18">
        <v>6</v>
      </c>
      <c r="W18">
        <v>6</v>
      </c>
      <c r="X18">
        <v>4</v>
      </c>
      <c r="Y18">
        <v>3</v>
      </c>
      <c r="Z18">
        <v>3</v>
      </c>
      <c r="AA18">
        <v>1</v>
      </c>
      <c r="AB18">
        <v>1</v>
      </c>
      <c r="AC18">
        <v>1</v>
      </c>
      <c r="AD18">
        <v>0</v>
      </c>
      <c r="AE18">
        <v>0</v>
      </c>
    </row>
    <row r="19" spans="1:31" x14ac:dyDescent="0.3">
      <c r="A19" t="s">
        <v>281</v>
      </c>
      <c r="B19" t="s">
        <v>156</v>
      </c>
      <c r="C19" t="s">
        <v>0</v>
      </c>
      <c r="D19" t="s">
        <v>157</v>
      </c>
      <c r="E19" t="s">
        <v>123</v>
      </c>
      <c r="F19">
        <v>11</v>
      </c>
      <c r="G19">
        <v>12</v>
      </c>
      <c r="H19">
        <v>14</v>
      </c>
      <c r="I19">
        <v>15</v>
      </c>
      <c r="J19">
        <v>16</v>
      </c>
      <c r="K19">
        <v>14</v>
      </c>
      <c r="L19">
        <v>11</v>
      </c>
      <c r="M19">
        <v>9</v>
      </c>
      <c r="N19">
        <v>6</v>
      </c>
      <c r="O19">
        <v>6</v>
      </c>
      <c r="P19">
        <v>5</v>
      </c>
      <c r="Q19">
        <v>6</v>
      </c>
      <c r="R19">
        <v>8</v>
      </c>
      <c r="S19">
        <v>9</v>
      </c>
      <c r="T19">
        <v>8</v>
      </c>
      <c r="U19">
        <v>7</v>
      </c>
      <c r="V19">
        <v>6</v>
      </c>
      <c r="W19">
        <v>7</v>
      </c>
      <c r="X19">
        <v>6</v>
      </c>
      <c r="Y19">
        <v>8</v>
      </c>
      <c r="Z19">
        <v>8</v>
      </c>
      <c r="AA19">
        <v>10</v>
      </c>
      <c r="AB19">
        <v>9</v>
      </c>
      <c r="AC19">
        <v>9</v>
      </c>
      <c r="AD19">
        <v>9</v>
      </c>
      <c r="AE19">
        <v>7</v>
      </c>
    </row>
    <row r="20" spans="1:31" x14ac:dyDescent="0.3">
      <c r="A20" t="s">
        <v>281</v>
      </c>
      <c r="B20" t="s">
        <v>158</v>
      </c>
      <c r="C20" t="s">
        <v>0</v>
      </c>
      <c r="D20" t="s">
        <v>159</v>
      </c>
      <c r="E20" t="s">
        <v>123</v>
      </c>
      <c r="F20">
        <v>91</v>
      </c>
      <c r="G20">
        <v>77</v>
      </c>
      <c r="H20">
        <v>77</v>
      </c>
      <c r="I20">
        <v>69</v>
      </c>
      <c r="J20">
        <v>62</v>
      </c>
      <c r="K20">
        <v>59</v>
      </c>
      <c r="L20">
        <v>45</v>
      </c>
      <c r="M20">
        <v>41</v>
      </c>
      <c r="N20">
        <v>37</v>
      </c>
      <c r="O20">
        <v>42</v>
      </c>
      <c r="P20">
        <v>45</v>
      </c>
      <c r="Q20">
        <v>41</v>
      </c>
      <c r="R20">
        <v>43</v>
      </c>
      <c r="S20">
        <v>37</v>
      </c>
      <c r="T20">
        <v>43</v>
      </c>
      <c r="U20">
        <v>36</v>
      </c>
      <c r="V20">
        <v>33</v>
      </c>
      <c r="W20">
        <v>29</v>
      </c>
      <c r="X20">
        <v>27</v>
      </c>
      <c r="Y20">
        <v>25</v>
      </c>
      <c r="Z20">
        <v>26</v>
      </c>
      <c r="AA20">
        <v>29</v>
      </c>
      <c r="AB20">
        <v>29</v>
      </c>
      <c r="AC20">
        <v>29</v>
      </c>
      <c r="AD20">
        <v>28</v>
      </c>
      <c r="AE20">
        <v>28</v>
      </c>
    </row>
    <row r="21" spans="1:31" x14ac:dyDescent="0.3">
      <c r="A21" t="s">
        <v>281</v>
      </c>
      <c r="B21" t="s">
        <v>160</v>
      </c>
      <c r="C21" t="s">
        <v>0</v>
      </c>
      <c r="D21" t="s">
        <v>161</v>
      </c>
      <c r="E21" t="s">
        <v>123</v>
      </c>
      <c r="F21">
        <v>97</v>
      </c>
      <c r="G21">
        <v>82</v>
      </c>
      <c r="H21">
        <v>81</v>
      </c>
      <c r="I21">
        <v>73</v>
      </c>
      <c r="J21">
        <v>65</v>
      </c>
      <c r="K21">
        <v>63</v>
      </c>
      <c r="L21">
        <v>48</v>
      </c>
      <c r="M21">
        <v>42</v>
      </c>
      <c r="N21">
        <v>39</v>
      </c>
      <c r="O21">
        <v>43</v>
      </c>
      <c r="P21">
        <v>48</v>
      </c>
      <c r="Q21">
        <v>44</v>
      </c>
      <c r="R21">
        <v>47</v>
      </c>
      <c r="S21">
        <v>41</v>
      </c>
      <c r="T21">
        <v>46</v>
      </c>
      <c r="U21">
        <v>40</v>
      </c>
      <c r="V21">
        <v>39</v>
      </c>
      <c r="W21">
        <v>36</v>
      </c>
      <c r="X21">
        <v>35</v>
      </c>
      <c r="Y21">
        <v>33</v>
      </c>
      <c r="Z21">
        <v>35</v>
      </c>
      <c r="AA21">
        <v>40</v>
      </c>
      <c r="AB21">
        <v>41</v>
      </c>
      <c r="AC21">
        <v>42</v>
      </c>
      <c r="AD21">
        <v>41</v>
      </c>
      <c r="AE21">
        <v>41</v>
      </c>
    </row>
    <row r="22" spans="1:31" x14ac:dyDescent="0.3">
      <c r="A22" t="s">
        <v>281</v>
      </c>
      <c r="B22" t="s">
        <v>162</v>
      </c>
      <c r="C22" t="s">
        <v>0</v>
      </c>
      <c r="D22" t="s">
        <v>163</v>
      </c>
      <c r="E22" t="s">
        <v>123</v>
      </c>
      <c r="F22">
        <v>6</v>
      </c>
      <c r="G22">
        <v>5</v>
      </c>
      <c r="H22">
        <v>4</v>
      </c>
      <c r="I22">
        <v>4</v>
      </c>
      <c r="J22">
        <v>3</v>
      </c>
      <c r="K22">
        <v>4</v>
      </c>
      <c r="L22">
        <v>3</v>
      </c>
      <c r="M22">
        <v>1</v>
      </c>
      <c r="N22">
        <v>2</v>
      </c>
      <c r="O22">
        <v>1</v>
      </c>
      <c r="P22">
        <v>3</v>
      </c>
      <c r="Q22">
        <v>3</v>
      </c>
      <c r="R22">
        <v>4</v>
      </c>
      <c r="S22">
        <v>4</v>
      </c>
      <c r="T22">
        <v>3</v>
      </c>
      <c r="U22">
        <v>4</v>
      </c>
      <c r="V22">
        <v>6</v>
      </c>
      <c r="W22">
        <v>7</v>
      </c>
      <c r="X22">
        <v>8</v>
      </c>
      <c r="Y22">
        <v>8</v>
      </c>
      <c r="Z22">
        <v>9</v>
      </c>
      <c r="AA22">
        <v>11</v>
      </c>
      <c r="AB22">
        <v>12</v>
      </c>
      <c r="AC22">
        <v>13</v>
      </c>
      <c r="AD22">
        <v>13</v>
      </c>
      <c r="AE22">
        <v>13</v>
      </c>
    </row>
    <row r="23" spans="1:31" x14ac:dyDescent="0.3">
      <c r="A23" t="s">
        <v>281</v>
      </c>
      <c r="B23" t="s">
        <v>164</v>
      </c>
      <c r="C23" t="s">
        <v>0</v>
      </c>
      <c r="D23" t="s">
        <v>165</v>
      </c>
      <c r="E23" t="s">
        <v>123</v>
      </c>
      <c r="F23">
        <v>31</v>
      </c>
      <c r="G23">
        <v>31</v>
      </c>
      <c r="H23">
        <v>33</v>
      </c>
      <c r="I23">
        <v>33</v>
      </c>
      <c r="J23">
        <v>41</v>
      </c>
      <c r="K23">
        <v>40</v>
      </c>
      <c r="L23">
        <v>32</v>
      </c>
      <c r="M23">
        <v>27</v>
      </c>
      <c r="N23">
        <v>28</v>
      </c>
      <c r="O23">
        <v>30</v>
      </c>
      <c r="P23">
        <v>35</v>
      </c>
      <c r="Q23">
        <v>32</v>
      </c>
      <c r="R23">
        <v>33</v>
      </c>
      <c r="S23">
        <v>34</v>
      </c>
      <c r="T23">
        <v>31</v>
      </c>
      <c r="U23">
        <v>26</v>
      </c>
      <c r="V23">
        <v>25</v>
      </c>
      <c r="W23">
        <v>23</v>
      </c>
      <c r="X23">
        <v>21</v>
      </c>
      <c r="Y23">
        <v>20</v>
      </c>
      <c r="Z23">
        <v>18</v>
      </c>
      <c r="AA23">
        <v>15</v>
      </c>
      <c r="AB23">
        <v>13</v>
      </c>
      <c r="AC23">
        <v>13</v>
      </c>
      <c r="AD23">
        <v>11</v>
      </c>
      <c r="AE23">
        <v>10</v>
      </c>
    </row>
    <row r="24" spans="1:31" x14ac:dyDescent="0.3">
      <c r="A24" t="s">
        <v>281</v>
      </c>
      <c r="B24" t="s">
        <v>166</v>
      </c>
      <c r="C24" t="s">
        <v>0</v>
      </c>
      <c r="D24" t="s">
        <v>167</v>
      </c>
      <c r="E24" t="s">
        <v>123</v>
      </c>
      <c r="F24">
        <v>109</v>
      </c>
      <c r="G24">
        <v>105</v>
      </c>
      <c r="H24">
        <v>115</v>
      </c>
      <c r="I24">
        <v>134</v>
      </c>
      <c r="J24">
        <v>146</v>
      </c>
      <c r="K24">
        <v>128</v>
      </c>
      <c r="L24">
        <v>97</v>
      </c>
      <c r="M24">
        <v>80</v>
      </c>
      <c r="N24">
        <v>75</v>
      </c>
      <c r="O24">
        <v>70</v>
      </c>
      <c r="P24">
        <v>72</v>
      </c>
      <c r="Q24">
        <v>65</v>
      </c>
      <c r="R24">
        <v>72</v>
      </c>
      <c r="S24">
        <v>91</v>
      </c>
      <c r="T24">
        <v>89</v>
      </c>
      <c r="U24">
        <v>84</v>
      </c>
      <c r="V24">
        <v>83</v>
      </c>
      <c r="W24">
        <v>90</v>
      </c>
      <c r="X24">
        <v>88</v>
      </c>
      <c r="Y24">
        <v>93</v>
      </c>
      <c r="Z24">
        <v>94</v>
      </c>
      <c r="AA24">
        <v>102</v>
      </c>
      <c r="AB24">
        <v>97</v>
      </c>
      <c r="AC24">
        <v>98</v>
      </c>
      <c r="AD24">
        <v>88</v>
      </c>
      <c r="AE24">
        <v>76</v>
      </c>
    </row>
    <row r="25" spans="1:31" x14ac:dyDescent="0.3">
      <c r="A25" t="s">
        <v>281</v>
      </c>
      <c r="B25" t="s">
        <v>168</v>
      </c>
      <c r="C25" t="s">
        <v>0</v>
      </c>
      <c r="D25" t="s">
        <v>169</v>
      </c>
      <c r="E25" t="s">
        <v>123</v>
      </c>
      <c r="F25">
        <v>12</v>
      </c>
      <c r="G25">
        <v>11</v>
      </c>
      <c r="H25">
        <v>13</v>
      </c>
      <c r="I25">
        <v>16</v>
      </c>
      <c r="J25">
        <v>17</v>
      </c>
      <c r="K25">
        <v>14</v>
      </c>
      <c r="L25">
        <v>10</v>
      </c>
      <c r="M25">
        <v>8</v>
      </c>
      <c r="N25">
        <v>7</v>
      </c>
      <c r="O25">
        <v>7</v>
      </c>
      <c r="P25">
        <v>7</v>
      </c>
      <c r="Q25">
        <v>7</v>
      </c>
      <c r="R25">
        <v>6</v>
      </c>
      <c r="S25">
        <v>12</v>
      </c>
      <c r="T25">
        <v>11</v>
      </c>
      <c r="U25">
        <v>11</v>
      </c>
      <c r="V25">
        <v>12</v>
      </c>
      <c r="W25">
        <v>10</v>
      </c>
      <c r="X25">
        <v>10</v>
      </c>
      <c r="Y25">
        <v>11</v>
      </c>
      <c r="Z25">
        <v>11</v>
      </c>
      <c r="AA25">
        <v>14</v>
      </c>
      <c r="AB25">
        <v>13</v>
      </c>
      <c r="AC25">
        <v>13</v>
      </c>
      <c r="AD25">
        <v>12</v>
      </c>
      <c r="AE25">
        <v>10</v>
      </c>
    </row>
    <row r="26" spans="1:31" x14ac:dyDescent="0.3">
      <c r="A26" t="s">
        <v>281</v>
      </c>
      <c r="B26" t="s">
        <v>170</v>
      </c>
      <c r="C26" t="s">
        <v>0</v>
      </c>
      <c r="D26" t="s">
        <v>171</v>
      </c>
      <c r="E26" t="s">
        <v>123</v>
      </c>
      <c r="F26">
        <v>59</v>
      </c>
      <c r="G26">
        <v>59</v>
      </c>
      <c r="H26">
        <v>68</v>
      </c>
      <c r="I26">
        <v>78</v>
      </c>
      <c r="J26">
        <v>82</v>
      </c>
      <c r="K26">
        <v>73</v>
      </c>
      <c r="L26">
        <v>56</v>
      </c>
      <c r="M26">
        <v>46</v>
      </c>
      <c r="N26">
        <v>42</v>
      </c>
      <c r="O26">
        <v>39</v>
      </c>
      <c r="P26">
        <v>40</v>
      </c>
      <c r="Q26">
        <v>34</v>
      </c>
      <c r="R26">
        <v>40</v>
      </c>
      <c r="S26">
        <v>49</v>
      </c>
      <c r="T26">
        <v>48</v>
      </c>
      <c r="U26">
        <v>44</v>
      </c>
      <c r="V26">
        <v>43</v>
      </c>
      <c r="W26">
        <v>47</v>
      </c>
      <c r="X26">
        <v>44</v>
      </c>
      <c r="Y26">
        <v>47</v>
      </c>
      <c r="Z26">
        <v>46</v>
      </c>
      <c r="AA26">
        <v>50</v>
      </c>
      <c r="AB26">
        <v>48</v>
      </c>
      <c r="AC26">
        <v>49</v>
      </c>
      <c r="AD26">
        <v>44</v>
      </c>
      <c r="AE26">
        <v>37</v>
      </c>
    </row>
    <row r="27" spans="1:31" x14ac:dyDescent="0.3">
      <c r="A27" t="s">
        <v>281</v>
      </c>
      <c r="B27" t="s">
        <v>172</v>
      </c>
      <c r="C27" t="s">
        <v>0</v>
      </c>
      <c r="D27" t="s">
        <v>173</v>
      </c>
      <c r="E27" t="s">
        <v>123</v>
      </c>
      <c r="F27">
        <v>38</v>
      </c>
      <c r="G27">
        <v>35</v>
      </c>
      <c r="H27">
        <v>34</v>
      </c>
      <c r="I27">
        <v>40</v>
      </c>
      <c r="J27">
        <v>47</v>
      </c>
      <c r="K27">
        <v>41</v>
      </c>
      <c r="L27">
        <v>31</v>
      </c>
      <c r="M27">
        <v>26</v>
      </c>
      <c r="N27">
        <v>26</v>
      </c>
      <c r="O27">
        <v>24</v>
      </c>
      <c r="P27">
        <v>25</v>
      </c>
      <c r="Q27">
        <v>24</v>
      </c>
      <c r="R27">
        <v>26</v>
      </c>
      <c r="S27">
        <v>30</v>
      </c>
      <c r="T27">
        <v>30</v>
      </c>
      <c r="U27">
        <v>29</v>
      </c>
      <c r="V27">
        <v>28</v>
      </c>
      <c r="W27">
        <v>33</v>
      </c>
      <c r="X27">
        <v>34</v>
      </c>
      <c r="Y27">
        <v>35</v>
      </c>
      <c r="Z27">
        <v>37</v>
      </c>
      <c r="AA27">
        <v>38</v>
      </c>
      <c r="AB27">
        <v>36</v>
      </c>
      <c r="AC27">
        <v>36</v>
      </c>
      <c r="AD27">
        <v>32</v>
      </c>
      <c r="AE27">
        <v>29</v>
      </c>
    </row>
    <row r="28" spans="1:31" x14ac:dyDescent="0.3">
      <c r="A28" t="s">
        <v>281</v>
      </c>
      <c r="B28" t="s">
        <v>174</v>
      </c>
      <c r="C28" t="s">
        <v>0</v>
      </c>
      <c r="D28" t="s">
        <v>175</v>
      </c>
      <c r="E28" t="s">
        <v>123</v>
      </c>
      <c r="F28">
        <v>73</v>
      </c>
      <c r="G28">
        <v>60</v>
      </c>
      <c r="H28">
        <v>45</v>
      </c>
      <c r="I28">
        <v>45</v>
      </c>
      <c r="J28">
        <v>44</v>
      </c>
      <c r="K28">
        <v>37</v>
      </c>
      <c r="L28">
        <v>24</v>
      </c>
      <c r="M28">
        <v>16</v>
      </c>
      <c r="N28">
        <v>15</v>
      </c>
      <c r="O28">
        <v>14</v>
      </c>
      <c r="P28">
        <v>15</v>
      </c>
      <c r="Q28">
        <v>17</v>
      </c>
      <c r="R28">
        <v>22</v>
      </c>
      <c r="S28">
        <v>25</v>
      </c>
      <c r="T28">
        <v>27</v>
      </c>
      <c r="U28">
        <v>27</v>
      </c>
      <c r="V28">
        <v>27</v>
      </c>
      <c r="W28">
        <v>28</v>
      </c>
      <c r="X28">
        <v>28</v>
      </c>
      <c r="Y28">
        <v>30</v>
      </c>
      <c r="Z28">
        <v>30</v>
      </c>
      <c r="AA28">
        <v>35</v>
      </c>
      <c r="AB28">
        <v>33</v>
      </c>
      <c r="AC28">
        <v>32</v>
      </c>
      <c r="AD28">
        <v>34</v>
      </c>
      <c r="AE28">
        <v>30</v>
      </c>
    </row>
    <row r="29" spans="1:31" x14ac:dyDescent="0.3">
      <c r="A29" t="s">
        <v>281</v>
      </c>
      <c r="B29" t="s">
        <v>176</v>
      </c>
      <c r="C29" t="s">
        <v>0</v>
      </c>
      <c r="D29" t="s">
        <v>177</v>
      </c>
      <c r="E29" t="s">
        <v>123</v>
      </c>
      <c r="F29">
        <v>8</v>
      </c>
      <c r="G29">
        <v>8</v>
      </c>
      <c r="H29">
        <v>4</v>
      </c>
      <c r="I29">
        <v>4</v>
      </c>
      <c r="J29">
        <v>3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2</v>
      </c>
      <c r="R29">
        <v>2</v>
      </c>
      <c r="S29">
        <v>2</v>
      </c>
      <c r="T29">
        <v>2</v>
      </c>
      <c r="U29">
        <v>2</v>
      </c>
      <c r="V29">
        <v>3</v>
      </c>
      <c r="W29">
        <v>3</v>
      </c>
      <c r="X29">
        <v>3</v>
      </c>
      <c r="Y29">
        <v>3</v>
      </c>
      <c r="Z29">
        <v>3</v>
      </c>
      <c r="AA29">
        <v>7</v>
      </c>
      <c r="AB29">
        <v>7</v>
      </c>
      <c r="AC29">
        <v>8</v>
      </c>
      <c r="AD29">
        <v>11</v>
      </c>
      <c r="AE29">
        <v>9</v>
      </c>
    </row>
    <row r="30" spans="1:31" x14ac:dyDescent="0.3">
      <c r="A30" t="s">
        <v>281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3</v>
      </c>
      <c r="S30">
        <v>3</v>
      </c>
      <c r="T30">
        <v>3</v>
      </c>
      <c r="U30">
        <v>3</v>
      </c>
      <c r="V30">
        <v>6</v>
      </c>
      <c r="W30">
        <v>7</v>
      </c>
      <c r="X30">
        <v>7</v>
      </c>
      <c r="Y30">
        <v>7</v>
      </c>
      <c r="Z30">
        <v>6</v>
      </c>
      <c r="AA30">
        <v>6</v>
      </c>
      <c r="AB30">
        <v>5</v>
      </c>
      <c r="AC30">
        <v>5</v>
      </c>
      <c r="AD30">
        <v>4</v>
      </c>
      <c r="AE30">
        <v>5</v>
      </c>
    </row>
    <row r="31" spans="1:31" x14ac:dyDescent="0.3">
      <c r="A31" t="s">
        <v>281</v>
      </c>
      <c r="B31" t="s">
        <v>180</v>
      </c>
      <c r="C31" t="s">
        <v>0</v>
      </c>
      <c r="D31" t="s">
        <v>181</v>
      </c>
      <c r="E31" t="s">
        <v>123</v>
      </c>
      <c r="F31">
        <v>2</v>
      </c>
      <c r="G31">
        <v>1</v>
      </c>
      <c r="H31">
        <v>1</v>
      </c>
      <c r="I31">
        <v>1</v>
      </c>
      <c r="J31">
        <v>2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281</v>
      </c>
      <c r="B32" t="s">
        <v>182</v>
      </c>
      <c r="C32" t="s">
        <v>0</v>
      </c>
      <c r="D32" t="s">
        <v>183</v>
      </c>
      <c r="E32" t="s">
        <v>123</v>
      </c>
      <c r="F32">
        <v>42</v>
      </c>
      <c r="G32">
        <v>36</v>
      </c>
      <c r="H32">
        <v>28</v>
      </c>
      <c r="I32">
        <v>27</v>
      </c>
      <c r="J32">
        <v>24</v>
      </c>
      <c r="K32">
        <v>21</v>
      </c>
      <c r="L32">
        <v>13</v>
      </c>
      <c r="M32">
        <v>10</v>
      </c>
      <c r="N32">
        <v>10</v>
      </c>
      <c r="O32">
        <v>11</v>
      </c>
      <c r="P32">
        <v>11</v>
      </c>
      <c r="Q32">
        <v>12</v>
      </c>
      <c r="R32">
        <v>15</v>
      </c>
      <c r="S32">
        <v>16</v>
      </c>
      <c r="T32">
        <v>18</v>
      </c>
      <c r="U32">
        <v>16</v>
      </c>
      <c r="V32">
        <v>14</v>
      </c>
      <c r="W32">
        <v>14</v>
      </c>
      <c r="X32">
        <v>15</v>
      </c>
      <c r="Y32">
        <v>16</v>
      </c>
      <c r="Z32">
        <v>17</v>
      </c>
      <c r="AA32">
        <v>18</v>
      </c>
      <c r="AB32">
        <v>15</v>
      </c>
      <c r="AC32">
        <v>13</v>
      </c>
      <c r="AD32">
        <v>14</v>
      </c>
      <c r="AE32">
        <v>12</v>
      </c>
    </row>
    <row r="33" spans="1:31" x14ac:dyDescent="0.3">
      <c r="A33" t="s">
        <v>281</v>
      </c>
      <c r="B33" t="s">
        <v>184</v>
      </c>
      <c r="C33" t="s">
        <v>0</v>
      </c>
      <c r="D33" t="s">
        <v>185</v>
      </c>
      <c r="E33" t="s">
        <v>123</v>
      </c>
      <c r="F33">
        <v>21</v>
      </c>
      <c r="G33">
        <v>15</v>
      </c>
      <c r="H33">
        <v>12</v>
      </c>
      <c r="I33">
        <v>13</v>
      </c>
      <c r="J33">
        <v>15</v>
      </c>
      <c r="K33">
        <v>13</v>
      </c>
      <c r="L33">
        <v>9</v>
      </c>
      <c r="M33">
        <v>6</v>
      </c>
      <c r="N33">
        <v>5</v>
      </c>
      <c r="O33">
        <v>3</v>
      </c>
      <c r="P33">
        <v>2</v>
      </c>
      <c r="Q33">
        <v>1</v>
      </c>
      <c r="R33">
        <v>2</v>
      </c>
      <c r="S33">
        <v>2</v>
      </c>
      <c r="T33">
        <v>3</v>
      </c>
      <c r="U33">
        <v>5</v>
      </c>
      <c r="V33">
        <v>4</v>
      </c>
      <c r="W33">
        <v>4</v>
      </c>
      <c r="X33">
        <v>3</v>
      </c>
      <c r="Y33">
        <v>4</v>
      </c>
      <c r="Z33">
        <v>4</v>
      </c>
      <c r="AA33">
        <v>4</v>
      </c>
      <c r="AB33">
        <v>6</v>
      </c>
      <c r="AC33">
        <v>6</v>
      </c>
      <c r="AD33">
        <v>5</v>
      </c>
      <c r="AE33">
        <v>4</v>
      </c>
    </row>
    <row r="34" spans="1:31" x14ac:dyDescent="0.3">
      <c r="A34" t="s">
        <v>281</v>
      </c>
      <c r="B34" t="s">
        <v>186</v>
      </c>
      <c r="C34" t="s">
        <v>0</v>
      </c>
      <c r="D34" t="s">
        <v>187</v>
      </c>
      <c r="E34" t="s">
        <v>123</v>
      </c>
      <c r="F34">
        <v>11</v>
      </c>
      <c r="G34">
        <v>13</v>
      </c>
      <c r="H34">
        <v>14</v>
      </c>
      <c r="I34">
        <v>19</v>
      </c>
      <c r="J34">
        <v>19</v>
      </c>
      <c r="K34">
        <v>17</v>
      </c>
      <c r="L34">
        <v>12</v>
      </c>
      <c r="M34">
        <v>11</v>
      </c>
      <c r="N34">
        <v>10</v>
      </c>
      <c r="O34">
        <v>10</v>
      </c>
      <c r="P34">
        <v>10</v>
      </c>
      <c r="Q34">
        <v>9</v>
      </c>
      <c r="R34">
        <v>11</v>
      </c>
      <c r="S34">
        <v>14</v>
      </c>
      <c r="T34">
        <v>16</v>
      </c>
      <c r="U34">
        <v>13</v>
      </c>
      <c r="V34">
        <v>13</v>
      </c>
      <c r="W34">
        <v>13</v>
      </c>
      <c r="X34">
        <v>11</v>
      </c>
      <c r="Y34">
        <v>11</v>
      </c>
      <c r="Z34">
        <v>10</v>
      </c>
      <c r="AA34">
        <v>11</v>
      </c>
      <c r="AB34">
        <v>9</v>
      </c>
      <c r="AC34">
        <v>10</v>
      </c>
      <c r="AD34">
        <v>9</v>
      </c>
      <c r="AE34">
        <v>8</v>
      </c>
    </row>
    <row r="35" spans="1:31" x14ac:dyDescent="0.3">
      <c r="A35" t="s">
        <v>281</v>
      </c>
      <c r="B35" t="s">
        <v>188</v>
      </c>
      <c r="C35" t="s">
        <v>0</v>
      </c>
      <c r="D35" t="s">
        <v>189</v>
      </c>
      <c r="E35" t="s">
        <v>123</v>
      </c>
      <c r="F35">
        <v>200</v>
      </c>
      <c r="G35">
        <v>215</v>
      </c>
      <c r="H35">
        <v>229</v>
      </c>
      <c r="I35">
        <v>270</v>
      </c>
      <c r="J35">
        <v>295</v>
      </c>
      <c r="K35">
        <v>289</v>
      </c>
      <c r="L35">
        <v>229</v>
      </c>
      <c r="M35">
        <v>201</v>
      </c>
      <c r="N35">
        <v>177</v>
      </c>
      <c r="O35">
        <v>183</v>
      </c>
      <c r="P35">
        <v>232</v>
      </c>
      <c r="Q35">
        <v>241</v>
      </c>
      <c r="R35">
        <v>251</v>
      </c>
      <c r="S35">
        <v>272</v>
      </c>
      <c r="T35">
        <v>250</v>
      </c>
      <c r="U35">
        <v>274</v>
      </c>
      <c r="V35">
        <v>308</v>
      </c>
      <c r="W35">
        <v>340</v>
      </c>
      <c r="X35">
        <v>357</v>
      </c>
      <c r="Y35">
        <v>435</v>
      </c>
      <c r="Z35">
        <v>609</v>
      </c>
      <c r="AA35">
        <v>714</v>
      </c>
      <c r="AB35">
        <v>829</v>
      </c>
      <c r="AC35">
        <v>1205</v>
      </c>
      <c r="AD35">
        <v>1094</v>
      </c>
      <c r="AE35">
        <v>982</v>
      </c>
    </row>
    <row r="36" spans="1:31" x14ac:dyDescent="0.3">
      <c r="A36" t="s">
        <v>281</v>
      </c>
      <c r="B36" t="s">
        <v>190</v>
      </c>
      <c r="C36" t="s">
        <v>0</v>
      </c>
      <c r="D36" t="s">
        <v>191</v>
      </c>
      <c r="E36" t="s">
        <v>123</v>
      </c>
      <c r="F36">
        <v>22</v>
      </c>
      <c r="G36">
        <v>21</v>
      </c>
      <c r="H36">
        <v>25</v>
      </c>
      <c r="I36">
        <v>26</v>
      </c>
      <c r="J36">
        <v>22</v>
      </c>
      <c r="K36">
        <v>21</v>
      </c>
      <c r="L36">
        <v>17</v>
      </c>
      <c r="M36">
        <v>13</v>
      </c>
      <c r="N36">
        <v>11</v>
      </c>
      <c r="O36">
        <v>10</v>
      </c>
      <c r="P36">
        <v>12</v>
      </c>
      <c r="Q36">
        <v>10</v>
      </c>
      <c r="R36">
        <v>11</v>
      </c>
      <c r="S36">
        <v>20</v>
      </c>
      <c r="T36">
        <v>18</v>
      </c>
      <c r="U36">
        <v>18</v>
      </c>
      <c r="V36">
        <v>15</v>
      </c>
      <c r="W36">
        <v>16</v>
      </c>
      <c r="X36">
        <v>14</v>
      </c>
      <c r="Y36">
        <v>13</v>
      </c>
      <c r="Z36">
        <v>35</v>
      </c>
      <c r="AA36">
        <v>54</v>
      </c>
      <c r="AB36">
        <v>70</v>
      </c>
      <c r="AC36">
        <v>70</v>
      </c>
      <c r="AD36">
        <v>59</v>
      </c>
      <c r="AE36">
        <v>47</v>
      </c>
    </row>
    <row r="37" spans="1:31" x14ac:dyDescent="0.3">
      <c r="A37" t="s">
        <v>281</v>
      </c>
      <c r="B37" t="s">
        <v>192</v>
      </c>
      <c r="C37" t="s">
        <v>0</v>
      </c>
      <c r="D37" t="s">
        <v>193</v>
      </c>
      <c r="E37" t="s">
        <v>123</v>
      </c>
      <c r="F37">
        <v>140</v>
      </c>
      <c r="G37">
        <v>150</v>
      </c>
      <c r="H37">
        <v>154</v>
      </c>
      <c r="I37">
        <v>182</v>
      </c>
      <c r="J37">
        <v>195</v>
      </c>
      <c r="K37">
        <v>183</v>
      </c>
      <c r="L37">
        <v>140</v>
      </c>
      <c r="M37">
        <v>121</v>
      </c>
      <c r="N37">
        <v>100</v>
      </c>
      <c r="O37">
        <v>102</v>
      </c>
      <c r="P37">
        <v>146</v>
      </c>
      <c r="Q37">
        <v>126</v>
      </c>
      <c r="R37">
        <v>113</v>
      </c>
      <c r="S37">
        <v>111</v>
      </c>
      <c r="T37">
        <v>95</v>
      </c>
      <c r="U37">
        <v>92</v>
      </c>
      <c r="V37">
        <v>107</v>
      </c>
      <c r="W37">
        <v>118</v>
      </c>
      <c r="X37">
        <v>127</v>
      </c>
      <c r="Y37">
        <v>134</v>
      </c>
      <c r="Z37">
        <v>141</v>
      </c>
      <c r="AA37">
        <v>150</v>
      </c>
      <c r="AB37">
        <v>147</v>
      </c>
      <c r="AC37">
        <v>156</v>
      </c>
      <c r="AD37">
        <v>151</v>
      </c>
      <c r="AE37">
        <v>158</v>
      </c>
    </row>
    <row r="38" spans="1:31" x14ac:dyDescent="0.3">
      <c r="A38" t="s">
        <v>281</v>
      </c>
      <c r="B38" t="s">
        <v>194</v>
      </c>
      <c r="C38" t="s">
        <v>0</v>
      </c>
      <c r="D38" t="s">
        <v>195</v>
      </c>
      <c r="E38" t="s">
        <v>123</v>
      </c>
      <c r="F38">
        <v>38</v>
      </c>
      <c r="G38">
        <v>44</v>
      </c>
      <c r="H38">
        <v>50</v>
      </c>
      <c r="I38">
        <v>62</v>
      </c>
      <c r="J38">
        <v>78</v>
      </c>
      <c r="K38">
        <v>85</v>
      </c>
      <c r="L38">
        <v>72</v>
      </c>
      <c r="M38">
        <v>67</v>
      </c>
      <c r="N38">
        <v>66</v>
      </c>
      <c r="O38">
        <v>71</v>
      </c>
      <c r="P38">
        <v>74</v>
      </c>
      <c r="Q38">
        <v>105</v>
      </c>
      <c r="R38">
        <v>127</v>
      </c>
      <c r="S38">
        <v>141</v>
      </c>
      <c r="T38">
        <v>137</v>
      </c>
      <c r="U38">
        <v>164</v>
      </c>
      <c r="V38">
        <v>186</v>
      </c>
      <c r="W38">
        <v>206</v>
      </c>
      <c r="X38">
        <v>216</v>
      </c>
      <c r="Y38">
        <v>288</v>
      </c>
      <c r="Z38">
        <v>433</v>
      </c>
      <c r="AA38">
        <v>510</v>
      </c>
      <c r="AB38">
        <v>612</v>
      </c>
      <c r="AC38">
        <v>979</v>
      </c>
      <c r="AD38">
        <v>884</v>
      </c>
      <c r="AE38">
        <v>777</v>
      </c>
    </row>
    <row r="39" spans="1:31" x14ac:dyDescent="0.3">
      <c r="A39" t="s">
        <v>281</v>
      </c>
      <c r="B39" t="s">
        <v>196</v>
      </c>
      <c r="C39" t="s">
        <v>0</v>
      </c>
      <c r="D39" t="s">
        <v>197</v>
      </c>
      <c r="E39" t="s">
        <v>123</v>
      </c>
      <c r="F39">
        <v>18</v>
      </c>
      <c r="G39">
        <v>34</v>
      </c>
      <c r="H39">
        <v>46</v>
      </c>
      <c r="I39">
        <v>53</v>
      </c>
      <c r="J39">
        <v>53</v>
      </c>
      <c r="K39">
        <v>79</v>
      </c>
      <c r="L39">
        <v>80</v>
      </c>
      <c r="M39">
        <v>88</v>
      </c>
      <c r="N39">
        <v>101</v>
      </c>
      <c r="O39">
        <v>82</v>
      </c>
      <c r="P39">
        <v>95</v>
      </c>
      <c r="Q39">
        <v>71</v>
      </c>
      <c r="R39">
        <v>84</v>
      </c>
      <c r="S39">
        <v>103</v>
      </c>
      <c r="T39">
        <v>98</v>
      </c>
      <c r="U39">
        <v>96</v>
      </c>
      <c r="V39">
        <v>98</v>
      </c>
      <c r="W39">
        <v>100</v>
      </c>
      <c r="X39">
        <v>105</v>
      </c>
      <c r="Y39">
        <v>114</v>
      </c>
      <c r="Z39">
        <v>112</v>
      </c>
      <c r="AA39">
        <v>112</v>
      </c>
      <c r="AB39">
        <v>173</v>
      </c>
      <c r="AC39">
        <v>179</v>
      </c>
      <c r="AD39">
        <v>214</v>
      </c>
      <c r="AE39">
        <v>224</v>
      </c>
    </row>
    <row r="40" spans="1:31" x14ac:dyDescent="0.3">
      <c r="A40" t="s">
        <v>281</v>
      </c>
      <c r="B40" t="s">
        <v>198</v>
      </c>
      <c r="C40" t="s">
        <v>0</v>
      </c>
      <c r="D40" t="s">
        <v>199</v>
      </c>
      <c r="E40" t="s">
        <v>123</v>
      </c>
      <c r="F40">
        <v>2</v>
      </c>
      <c r="G40">
        <v>3</v>
      </c>
      <c r="H40">
        <v>3</v>
      </c>
      <c r="I40">
        <v>3</v>
      </c>
      <c r="J40">
        <v>3</v>
      </c>
      <c r="K40">
        <v>3</v>
      </c>
      <c r="L40">
        <v>2</v>
      </c>
      <c r="M40">
        <v>1</v>
      </c>
      <c r="N40">
        <v>2</v>
      </c>
      <c r="O40">
        <v>2</v>
      </c>
      <c r="P40">
        <v>3</v>
      </c>
      <c r="Q40">
        <v>4</v>
      </c>
      <c r="R40">
        <v>4</v>
      </c>
      <c r="S40">
        <v>13</v>
      </c>
      <c r="T40">
        <v>13</v>
      </c>
      <c r="U40">
        <v>11</v>
      </c>
      <c r="V40">
        <v>10</v>
      </c>
      <c r="W40">
        <v>11</v>
      </c>
      <c r="X40">
        <v>12</v>
      </c>
      <c r="Y40">
        <v>12</v>
      </c>
      <c r="Z40">
        <v>13</v>
      </c>
      <c r="AA40">
        <v>14</v>
      </c>
      <c r="AB40">
        <v>15</v>
      </c>
      <c r="AC40">
        <v>16</v>
      </c>
      <c r="AD40">
        <v>16</v>
      </c>
      <c r="AE40">
        <v>16</v>
      </c>
    </row>
    <row r="41" spans="1:31" x14ac:dyDescent="0.3">
      <c r="A41" t="s">
        <v>281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281</v>
      </c>
      <c r="B42" t="s">
        <v>202</v>
      </c>
      <c r="C42" t="s">
        <v>0</v>
      </c>
      <c r="D42" t="s">
        <v>203</v>
      </c>
      <c r="E42" t="s">
        <v>123</v>
      </c>
      <c r="F42">
        <v>56</v>
      </c>
      <c r="G42">
        <v>60</v>
      </c>
      <c r="H42">
        <v>48</v>
      </c>
      <c r="I42">
        <v>50</v>
      </c>
      <c r="J42">
        <v>48</v>
      </c>
      <c r="K42">
        <v>41</v>
      </c>
      <c r="L42">
        <v>26</v>
      </c>
      <c r="M42">
        <v>19</v>
      </c>
      <c r="N42">
        <v>20</v>
      </c>
      <c r="O42">
        <v>21</v>
      </c>
      <c r="P42">
        <v>21</v>
      </c>
      <c r="Q42">
        <v>26</v>
      </c>
      <c r="R42">
        <v>36</v>
      </c>
      <c r="S42">
        <v>68</v>
      </c>
      <c r="T42">
        <v>53</v>
      </c>
      <c r="U42">
        <v>50</v>
      </c>
      <c r="V42">
        <v>118</v>
      </c>
      <c r="W42">
        <v>117</v>
      </c>
      <c r="X42">
        <v>108</v>
      </c>
      <c r="Y42">
        <v>102</v>
      </c>
      <c r="Z42">
        <v>97</v>
      </c>
      <c r="AA42">
        <v>102</v>
      </c>
      <c r="AB42">
        <v>109</v>
      </c>
      <c r="AC42">
        <v>104</v>
      </c>
      <c r="AD42">
        <v>100</v>
      </c>
      <c r="AE42">
        <v>91</v>
      </c>
    </row>
    <row r="43" spans="1:31" x14ac:dyDescent="0.3">
      <c r="A43" t="s">
        <v>281</v>
      </c>
      <c r="B43" t="s">
        <v>204</v>
      </c>
      <c r="C43" t="s">
        <v>0</v>
      </c>
      <c r="D43" t="s">
        <v>205</v>
      </c>
      <c r="E43" t="s">
        <v>123</v>
      </c>
      <c r="F43">
        <v>65</v>
      </c>
      <c r="G43">
        <v>68</v>
      </c>
      <c r="H43">
        <v>53</v>
      </c>
      <c r="I43">
        <v>57</v>
      </c>
      <c r="J43">
        <v>54</v>
      </c>
      <c r="K43">
        <v>47</v>
      </c>
      <c r="L43">
        <v>30</v>
      </c>
      <c r="M43">
        <v>21</v>
      </c>
      <c r="N43">
        <v>21</v>
      </c>
      <c r="O43">
        <v>21</v>
      </c>
      <c r="P43">
        <v>22</v>
      </c>
      <c r="Q43">
        <v>31</v>
      </c>
      <c r="R43">
        <v>110</v>
      </c>
      <c r="S43">
        <v>220</v>
      </c>
      <c r="T43">
        <v>208</v>
      </c>
      <c r="U43">
        <v>188</v>
      </c>
      <c r="V43">
        <v>267</v>
      </c>
      <c r="W43">
        <v>274</v>
      </c>
      <c r="X43">
        <v>263</v>
      </c>
      <c r="Y43">
        <v>250</v>
      </c>
      <c r="Z43">
        <v>221</v>
      </c>
      <c r="AA43">
        <v>217</v>
      </c>
      <c r="AB43">
        <v>213</v>
      </c>
      <c r="AC43">
        <v>201</v>
      </c>
      <c r="AD43">
        <v>191</v>
      </c>
      <c r="AE43">
        <v>175</v>
      </c>
    </row>
    <row r="44" spans="1:31" x14ac:dyDescent="0.3">
      <c r="A44" t="s">
        <v>281</v>
      </c>
      <c r="B44" t="s">
        <v>206</v>
      </c>
      <c r="C44" t="s">
        <v>0</v>
      </c>
      <c r="D44" t="s">
        <v>207</v>
      </c>
      <c r="E44" t="s">
        <v>123</v>
      </c>
      <c r="F44">
        <v>1173</v>
      </c>
      <c r="G44">
        <v>1184</v>
      </c>
      <c r="H44">
        <v>1155</v>
      </c>
      <c r="I44">
        <v>1277</v>
      </c>
      <c r="J44">
        <v>1294</v>
      </c>
      <c r="K44">
        <v>1200</v>
      </c>
      <c r="L44">
        <v>953</v>
      </c>
      <c r="M44">
        <v>812</v>
      </c>
      <c r="N44">
        <v>760</v>
      </c>
      <c r="O44">
        <v>743</v>
      </c>
      <c r="P44">
        <v>811</v>
      </c>
      <c r="Q44">
        <v>844</v>
      </c>
      <c r="R44">
        <v>1038</v>
      </c>
      <c r="S44">
        <v>1210</v>
      </c>
      <c r="T44">
        <v>1170</v>
      </c>
      <c r="U44">
        <v>1111</v>
      </c>
      <c r="V44">
        <v>1206</v>
      </c>
      <c r="W44">
        <v>1262</v>
      </c>
      <c r="X44">
        <v>1240</v>
      </c>
      <c r="Y44">
        <v>1310</v>
      </c>
      <c r="Z44">
        <v>1478</v>
      </c>
      <c r="AA44">
        <v>1591</v>
      </c>
      <c r="AB44">
        <v>1779</v>
      </c>
      <c r="AC44">
        <v>2150</v>
      </c>
      <c r="AD44">
        <v>2043</v>
      </c>
      <c r="AE44">
        <v>1899</v>
      </c>
    </row>
    <row r="45" spans="1:31" x14ac:dyDescent="0.3">
      <c r="A45" t="s">
        <v>281</v>
      </c>
      <c r="B45" t="s">
        <v>208</v>
      </c>
      <c r="C45" t="s">
        <v>0</v>
      </c>
      <c r="D45" t="s">
        <v>209</v>
      </c>
      <c r="E45" t="s">
        <v>123</v>
      </c>
      <c r="F45">
        <v>1096</v>
      </c>
      <c r="G45">
        <v>1118</v>
      </c>
      <c r="H45">
        <v>1092</v>
      </c>
      <c r="I45">
        <v>1209</v>
      </c>
      <c r="J45">
        <v>1224</v>
      </c>
      <c r="K45">
        <v>1141</v>
      </c>
      <c r="L45">
        <v>909</v>
      </c>
      <c r="M45">
        <v>775</v>
      </c>
      <c r="N45">
        <v>726</v>
      </c>
      <c r="O45">
        <v>708</v>
      </c>
      <c r="P45">
        <v>774</v>
      </c>
      <c r="Q45">
        <v>808</v>
      </c>
      <c r="R45">
        <v>1002</v>
      </c>
      <c r="S45">
        <v>1174</v>
      </c>
      <c r="T45">
        <v>1133</v>
      </c>
      <c r="U45">
        <v>1073</v>
      </c>
      <c r="V45">
        <v>1167</v>
      </c>
      <c r="W45">
        <v>1223</v>
      </c>
      <c r="X45">
        <v>1201</v>
      </c>
      <c r="Y45">
        <v>1270</v>
      </c>
      <c r="Z45">
        <v>1439</v>
      </c>
      <c r="AA45">
        <v>1551</v>
      </c>
      <c r="AB45">
        <v>1739</v>
      </c>
      <c r="AC45">
        <v>2112</v>
      </c>
      <c r="AD45">
        <v>2008</v>
      </c>
      <c r="AE45">
        <v>1866</v>
      </c>
    </row>
    <row r="46" spans="1:31" x14ac:dyDescent="0.3">
      <c r="A46" t="s">
        <v>281</v>
      </c>
      <c r="B46" t="s">
        <v>210</v>
      </c>
      <c r="C46" t="s">
        <v>0</v>
      </c>
      <c r="D46" t="s">
        <v>211</v>
      </c>
      <c r="E46" t="s">
        <v>123</v>
      </c>
      <c r="F46">
        <v>9</v>
      </c>
      <c r="G46">
        <v>8</v>
      </c>
      <c r="H46">
        <v>5</v>
      </c>
      <c r="I46">
        <v>7</v>
      </c>
      <c r="J46">
        <v>6</v>
      </c>
      <c r="K46">
        <v>6</v>
      </c>
      <c r="L46">
        <v>4</v>
      </c>
      <c r="M46">
        <v>2</v>
      </c>
      <c r="N46">
        <v>1</v>
      </c>
      <c r="O46">
        <v>0</v>
      </c>
      <c r="P46">
        <v>1</v>
      </c>
      <c r="Q46">
        <v>5</v>
      </c>
      <c r="R46">
        <v>74</v>
      </c>
      <c r="S46">
        <v>152</v>
      </c>
      <c r="T46">
        <v>155</v>
      </c>
      <c r="U46">
        <v>138</v>
      </c>
      <c r="V46">
        <v>149</v>
      </c>
      <c r="W46">
        <v>157</v>
      </c>
      <c r="X46">
        <v>155</v>
      </c>
      <c r="Y46">
        <v>148</v>
      </c>
      <c r="Z46">
        <v>124</v>
      </c>
      <c r="AA46">
        <v>115</v>
      </c>
      <c r="AB46">
        <v>104</v>
      </c>
      <c r="AC46">
        <v>97</v>
      </c>
      <c r="AD46">
        <v>91</v>
      </c>
      <c r="AE46">
        <v>84</v>
      </c>
    </row>
    <row r="47" spans="1:31" x14ac:dyDescent="0.3">
      <c r="A47" t="s">
        <v>281</v>
      </c>
      <c r="B47" t="s">
        <v>212</v>
      </c>
      <c r="C47" t="s">
        <v>0</v>
      </c>
      <c r="D47" t="s">
        <v>213</v>
      </c>
      <c r="E47" t="s">
        <v>123</v>
      </c>
      <c r="F47">
        <v>137</v>
      </c>
      <c r="G47">
        <v>139</v>
      </c>
      <c r="H47">
        <v>130</v>
      </c>
      <c r="I47">
        <v>143</v>
      </c>
      <c r="J47">
        <v>166</v>
      </c>
      <c r="K47">
        <v>156</v>
      </c>
      <c r="L47">
        <v>123</v>
      </c>
      <c r="M47">
        <v>105</v>
      </c>
      <c r="N47">
        <v>99</v>
      </c>
      <c r="O47">
        <v>98</v>
      </c>
      <c r="P47">
        <v>101</v>
      </c>
      <c r="Q47">
        <v>85</v>
      </c>
      <c r="R47">
        <v>77</v>
      </c>
      <c r="S47">
        <v>74</v>
      </c>
      <c r="T47">
        <v>75</v>
      </c>
      <c r="U47">
        <v>82</v>
      </c>
      <c r="V47">
        <v>82</v>
      </c>
      <c r="W47">
        <v>86</v>
      </c>
      <c r="X47">
        <v>79</v>
      </c>
      <c r="Y47">
        <v>78</v>
      </c>
      <c r="Z47">
        <v>82</v>
      </c>
      <c r="AA47">
        <v>87</v>
      </c>
      <c r="AB47">
        <v>93</v>
      </c>
      <c r="AC47">
        <v>104</v>
      </c>
      <c r="AD47">
        <v>120</v>
      </c>
      <c r="AE47">
        <v>161</v>
      </c>
    </row>
    <row r="48" spans="1:31" x14ac:dyDescent="0.3">
      <c r="A48" t="s">
        <v>281</v>
      </c>
      <c r="B48" t="s">
        <v>214</v>
      </c>
      <c r="C48" t="s">
        <v>0</v>
      </c>
      <c r="D48" t="s">
        <v>215</v>
      </c>
      <c r="E48" t="s">
        <v>123</v>
      </c>
      <c r="F48">
        <v>197</v>
      </c>
      <c r="G48">
        <v>198</v>
      </c>
      <c r="H48">
        <v>187</v>
      </c>
      <c r="I48">
        <v>205</v>
      </c>
      <c r="J48">
        <v>232</v>
      </c>
      <c r="K48">
        <v>218</v>
      </c>
      <c r="L48">
        <v>173</v>
      </c>
      <c r="M48">
        <v>151</v>
      </c>
      <c r="N48">
        <v>141</v>
      </c>
      <c r="O48">
        <v>142</v>
      </c>
      <c r="P48">
        <v>147</v>
      </c>
      <c r="Q48">
        <v>144</v>
      </c>
      <c r="R48">
        <v>157</v>
      </c>
      <c r="S48">
        <v>168</v>
      </c>
      <c r="T48">
        <v>185</v>
      </c>
      <c r="U48">
        <v>182</v>
      </c>
      <c r="V48">
        <v>183</v>
      </c>
      <c r="W48">
        <v>191</v>
      </c>
      <c r="X48">
        <v>189</v>
      </c>
      <c r="Y48">
        <v>186</v>
      </c>
      <c r="Z48">
        <v>189</v>
      </c>
      <c r="AA48">
        <v>192</v>
      </c>
      <c r="AB48">
        <v>200</v>
      </c>
      <c r="AC48">
        <v>218</v>
      </c>
      <c r="AD48">
        <v>233</v>
      </c>
      <c r="AE48">
        <v>274</v>
      </c>
    </row>
    <row r="49" spans="1:31" x14ac:dyDescent="0.3">
      <c r="A49" t="s">
        <v>281</v>
      </c>
      <c r="B49" t="s">
        <v>216</v>
      </c>
      <c r="C49" t="s">
        <v>0</v>
      </c>
      <c r="D49" t="s">
        <v>217</v>
      </c>
      <c r="E49" t="s">
        <v>123</v>
      </c>
      <c r="F49">
        <v>31</v>
      </c>
      <c r="G49">
        <v>29</v>
      </c>
      <c r="H49">
        <v>26</v>
      </c>
      <c r="I49">
        <v>27</v>
      </c>
      <c r="J49">
        <v>28</v>
      </c>
      <c r="K49">
        <v>26</v>
      </c>
      <c r="L49">
        <v>20</v>
      </c>
      <c r="M49">
        <v>18</v>
      </c>
      <c r="N49">
        <v>17</v>
      </c>
      <c r="O49">
        <v>17</v>
      </c>
      <c r="P49">
        <v>16</v>
      </c>
      <c r="Q49">
        <v>31</v>
      </c>
      <c r="R49">
        <v>46</v>
      </c>
      <c r="S49">
        <v>57</v>
      </c>
      <c r="T49">
        <v>70</v>
      </c>
      <c r="U49">
        <v>62</v>
      </c>
      <c r="V49">
        <v>62</v>
      </c>
      <c r="W49">
        <v>65</v>
      </c>
      <c r="X49">
        <v>68</v>
      </c>
      <c r="Y49">
        <v>69</v>
      </c>
      <c r="Z49">
        <v>67</v>
      </c>
      <c r="AA49">
        <v>65</v>
      </c>
      <c r="AB49">
        <v>65</v>
      </c>
      <c r="AC49">
        <v>65</v>
      </c>
      <c r="AD49">
        <v>63</v>
      </c>
      <c r="AE49">
        <v>62</v>
      </c>
    </row>
    <row r="50" spans="1:31" x14ac:dyDescent="0.3">
      <c r="A50" t="s">
        <v>281</v>
      </c>
      <c r="B50" t="s">
        <v>218</v>
      </c>
      <c r="C50" t="s">
        <v>0</v>
      </c>
      <c r="D50" t="s">
        <v>219</v>
      </c>
      <c r="E50" t="s">
        <v>123</v>
      </c>
      <c r="F50">
        <v>29</v>
      </c>
      <c r="G50">
        <v>30</v>
      </c>
      <c r="H50">
        <v>31</v>
      </c>
      <c r="I50">
        <v>35</v>
      </c>
      <c r="J50">
        <v>38</v>
      </c>
      <c r="K50">
        <v>36</v>
      </c>
      <c r="L50">
        <v>30</v>
      </c>
      <c r="M50">
        <v>28</v>
      </c>
      <c r="N50">
        <v>25</v>
      </c>
      <c r="O50">
        <v>27</v>
      </c>
      <c r="P50">
        <v>30</v>
      </c>
      <c r="Q50">
        <v>28</v>
      </c>
      <c r="R50">
        <v>34</v>
      </c>
      <c r="S50">
        <v>37</v>
      </c>
      <c r="T50">
        <v>40</v>
      </c>
      <c r="U50">
        <v>38</v>
      </c>
      <c r="V50">
        <v>39</v>
      </c>
      <c r="W50">
        <v>40</v>
      </c>
      <c r="X50">
        <v>42</v>
      </c>
      <c r="Y50">
        <v>39</v>
      </c>
      <c r="Z50">
        <v>40</v>
      </c>
      <c r="AA50">
        <v>40</v>
      </c>
      <c r="AB50">
        <v>42</v>
      </c>
      <c r="AC50">
        <v>49</v>
      </c>
      <c r="AD50">
        <v>50</v>
      </c>
      <c r="AE50">
        <v>51</v>
      </c>
    </row>
    <row r="51" spans="1:31" x14ac:dyDescent="0.3">
      <c r="A51" t="s">
        <v>281</v>
      </c>
      <c r="B51" t="s">
        <v>220</v>
      </c>
      <c r="C51" t="s">
        <v>0</v>
      </c>
      <c r="D51" t="s">
        <v>221</v>
      </c>
      <c r="E51" t="s">
        <v>123</v>
      </c>
      <c r="F51">
        <v>27</v>
      </c>
      <c r="G51">
        <v>28</v>
      </c>
      <c r="H51">
        <v>29</v>
      </c>
      <c r="I51">
        <v>33</v>
      </c>
      <c r="J51">
        <v>36</v>
      </c>
      <c r="K51">
        <v>34</v>
      </c>
      <c r="L51">
        <v>28</v>
      </c>
      <c r="M51">
        <v>27</v>
      </c>
      <c r="N51">
        <v>25</v>
      </c>
      <c r="O51">
        <v>26</v>
      </c>
      <c r="P51">
        <v>28</v>
      </c>
      <c r="Q51">
        <v>26</v>
      </c>
      <c r="R51">
        <v>30</v>
      </c>
      <c r="S51">
        <v>31</v>
      </c>
      <c r="T51">
        <v>33</v>
      </c>
      <c r="U51">
        <v>30</v>
      </c>
      <c r="V51">
        <v>31</v>
      </c>
      <c r="W51">
        <v>32</v>
      </c>
      <c r="X51">
        <v>34</v>
      </c>
      <c r="Y51">
        <v>33</v>
      </c>
      <c r="Z51">
        <v>34</v>
      </c>
      <c r="AA51">
        <v>34</v>
      </c>
      <c r="AB51">
        <v>35</v>
      </c>
      <c r="AC51">
        <v>37</v>
      </c>
      <c r="AD51">
        <v>38</v>
      </c>
      <c r="AE51">
        <v>36</v>
      </c>
    </row>
    <row r="52" spans="1:31" x14ac:dyDescent="0.3">
      <c r="A52" t="s">
        <v>281</v>
      </c>
      <c r="B52" t="s">
        <v>222</v>
      </c>
      <c r="C52" t="s">
        <v>0</v>
      </c>
      <c r="D52" t="s">
        <v>223</v>
      </c>
      <c r="E52" t="s">
        <v>123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1</v>
      </c>
      <c r="N52">
        <v>0</v>
      </c>
      <c r="O52">
        <v>1</v>
      </c>
      <c r="P52">
        <v>2</v>
      </c>
      <c r="Q52">
        <v>2</v>
      </c>
      <c r="R52">
        <v>4</v>
      </c>
      <c r="S52">
        <v>6</v>
      </c>
      <c r="T52">
        <v>7</v>
      </c>
      <c r="U52">
        <v>8</v>
      </c>
      <c r="V52">
        <v>8</v>
      </c>
      <c r="W52">
        <v>8</v>
      </c>
      <c r="X52">
        <v>8</v>
      </c>
      <c r="Y52">
        <v>6</v>
      </c>
      <c r="Z52">
        <v>6</v>
      </c>
      <c r="AA52">
        <v>6</v>
      </c>
      <c r="AB52">
        <v>7</v>
      </c>
      <c r="AC52">
        <v>12</v>
      </c>
      <c r="AD52">
        <v>12</v>
      </c>
      <c r="AE52">
        <v>15</v>
      </c>
    </row>
    <row r="53" spans="1:31" x14ac:dyDescent="0.3">
      <c r="A53" t="s">
        <v>281</v>
      </c>
      <c r="B53" t="s">
        <v>224</v>
      </c>
      <c r="C53" t="s">
        <v>0</v>
      </c>
      <c r="D53" t="s">
        <v>225</v>
      </c>
      <c r="E53" t="s">
        <v>123</v>
      </c>
      <c r="F53">
        <v>16</v>
      </c>
      <c r="G53">
        <v>18</v>
      </c>
      <c r="H53">
        <v>21</v>
      </c>
      <c r="I53">
        <v>25</v>
      </c>
      <c r="J53">
        <v>16</v>
      </c>
      <c r="K53">
        <v>17</v>
      </c>
      <c r="L53">
        <v>15</v>
      </c>
      <c r="M53">
        <v>14</v>
      </c>
      <c r="N53">
        <v>13</v>
      </c>
      <c r="O53">
        <v>15</v>
      </c>
      <c r="P53">
        <v>13</v>
      </c>
      <c r="Q53">
        <v>15</v>
      </c>
      <c r="R53">
        <v>14</v>
      </c>
      <c r="S53">
        <v>14</v>
      </c>
      <c r="T53">
        <v>14</v>
      </c>
      <c r="U53">
        <v>11</v>
      </c>
      <c r="V53">
        <v>14</v>
      </c>
      <c r="W53">
        <v>15</v>
      </c>
      <c r="X53">
        <v>17</v>
      </c>
      <c r="Y53">
        <v>16</v>
      </c>
      <c r="Z53">
        <v>17</v>
      </c>
      <c r="AA53">
        <v>18</v>
      </c>
      <c r="AB53">
        <v>19</v>
      </c>
      <c r="AC53">
        <v>19</v>
      </c>
      <c r="AD53">
        <v>18</v>
      </c>
      <c r="AE53">
        <v>16</v>
      </c>
    </row>
    <row r="54" spans="1:31" x14ac:dyDescent="0.3">
      <c r="A54" t="s">
        <v>281</v>
      </c>
      <c r="B54" t="s">
        <v>226</v>
      </c>
      <c r="C54" t="s">
        <v>0</v>
      </c>
      <c r="D54" t="s">
        <v>227</v>
      </c>
      <c r="E54" t="s">
        <v>123</v>
      </c>
      <c r="F54">
        <v>27</v>
      </c>
      <c r="G54">
        <v>28</v>
      </c>
      <c r="H54">
        <v>29</v>
      </c>
      <c r="I54">
        <v>35</v>
      </c>
      <c r="J54">
        <v>28</v>
      </c>
      <c r="K54">
        <v>27</v>
      </c>
      <c r="L54">
        <v>25</v>
      </c>
      <c r="M54">
        <v>21</v>
      </c>
      <c r="N54">
        <v>22</v>
      </c>
      <c r="O54">
        <v>22</v>
      </c>
      <c r="P54">
        <v>22</v>
      </c>
      <c r="Q54">
        <v>27</v>
      </c>
      <c r="R54">
        <v>25</v>
      </c>
      <c r="S54">
        <v>26</v>
      </c>
      <c r="T54">
        <v>25</v>
      </c>
      <c r="U54">
        <v>24</v>
      </c>
      <c r="V54">
        <v>26</v>
      </c>
      <c r="W54">
        <v>29</v>
      </c>
      <c r="X54">
        <v>31</v>
      </c>
      <c r="Y54">
        <v>29</v>
      </c>
      <c r="Z54">
        <v>30</v>
      </c>
      <c r="AA54">
        <v>31</v>
      </c>
      <c r="AB54">
        <v>32</v>
      </c>
      <c r="AC54">
        <v>30</v>
      </c>
      <c r="AD54">
        <v>28</v>
      </c>
      <c r="AE54">
        <v>22</v>
      </c>
    </row>
    <row r="55" spans="1:31" x14ac:dyDescent="0.3">
      <c r="A55" t="s">
        <v>281</v>
      </c>
      <c r="B55" t="s">
        <v>228</v>
      </c>
      <c r="C55" t="s">
        <v>0</v>
      </c>
      <c r="D55" t="s">
        <v>229</v>
      </c>
      <c r="E55" t="s">
        <v>123</v>
      </c>
      <c r="F55">
        <v>11</v>
      </c>
      <c r="G55">
        <v>10</v>
      </c>
      <c r="H55">
        <v>8</v>
      </c>
      <c r="I55">
        <v>10</v>
      </c>
      <c r="J55">
        <v>12</v>
      </c>
      <c r="K55">
        <v>10</v>
      </c>
      <c r="L55">
        <v>10</v>
      </c>
      <c r="M55">
        <v>7</v>
      </c>
      <c r="N55">
        <v>9</v>
      </c>
      <c r="O55">
        <v>7</v>
      </c>
      <c r="P55">
        <v>9</v>
      </c>
      <c r="Q55">
        <v>12</v>
      </c>
      <c r="R55">
        <v>11</v>
      </c>
      <c r="S55">
        <v>12</v>
      </c>
      <c r="T55">
        <v>11</v>
      </c>
      <c r="U55">
        <v>13</v>
      </c>
      <c r="V55">
        <v>12</v>
      </c>
      <c r="W55">
        <v>14</v>
      </c>
      <c r="X55">
        <v>14</v>
      </c>
      <c r="Y55">
        <v>13</v>
      </c>
      <c r="Z55">
        <v>13</v>
      </c>
      <c r="AA55">
        <v>13</v>
      </c>
      <c r="AB55">
        <v>13</v>
      </c>
      <c r="AC55">
        <v>11</v>
      </c>
      <c r="AD55">
        <v>10</v>
      </c>
      <c r="AE55">
        <v>6</v>
      </c>
    </row>
    <row r="56" spans="1:31" x14ac:dyDescent="0.3">
      <c r="A56" t="s">
        <v>281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281</v>
      </c>
      <c r="B57" t="s">
        <v>232</v>
      </c>
      <c r="C57" t="s">
        <v>0</v>
      </c>
      <c r="D57" t="s">
        <v>233</v>
      </c>
      <c r="E57" t="s">
        <v>123</v>
      </c>
      <c r="F57">
        <v>1372</v>
      </c>
      <c r="G57">
        <v>1385</v>
      </c>
      <c r="H57">
        <v>1345</v>
      </c>
      <c r="I57">
        <v>1485</v>
      </c>
      <c r="J57">
        <v>1529</v>
      </c>
      <c r="K57">
        <v>1421</v>
      </c>
      <c r="L57">
        <v>1128</v>
      </c>
      <c r="M57">
        <v>964</v>
      </c>
      <c r="N57">
        <v>903</v>
      </c>
      <c r="O57">
        <v>887</v>
      </c>
      <c r="P57">
        <v>961</v>
      </c>
      <c r="Q57">
        <v>992</v>
      </c>
      <c r="R57">
        <v>1199</v>
      </c>
      <c r="S57">
        <v>1391</v>
      </c>
      <c r="T57">
        <v>1368</v>
      </c>
      <c r="U57">
        <v>1304</v>
      </c>
      <c r="V57">
        <v>1399</v>
      </c>
      <c r="W57">
        <v>1464</v>
      </c>
      <c r="X57">
        <v>1441</v>
      </c>
      <c r="Y57">
        <v>1508</v>
      </c>
      <c r="Z57">
        <v>1680</v>
      </c>
      <c r="AA57">
        <v>1797</v>
      </c>
      <c r="AB57">
        <v>1994</v>
      </c>
      <c r="AC57">
        <v>2384</v>
      </c>
      <c r="AD57">
        <v>2292</v>
      </c>
      <c r="AE57">
        <v>2189</v>
      </c>
    </row>
    <row r="58" spans="1:31" x14ac:dyDescent="0.3">
      <c r="A58" t="s">
        <v>281</v>
      </c>
      <c r="B58" t="s">
        <v>234</v>
      </c>
      <c r="C58" t="s">
        <v>0</v>
      </c>
      <c r="D58" t="s">
        <v>235</v>
      </c>
      <c r="E58" t="s">
        <v>123</v>
      </c>
      <c r="F58">
        <v>1372</v>
      </c>
      <c r="G58">
        <v>1385</v>
      </c>
      <c r="H58">
        <v>1345</v>
      </c>
      <c r="I58">
        <v>1485</v>
      </c>
      <c r="J58">
        <v>1529</v>
      </c>
      <c r="K58">
        <v>1421</v>
      </c>
      <c r="L58">
        <v>1128</v>
      </c>
      <c r="M58">
        <v>964</v>
      </c>
      <c r="N58">
        <v>903</v>
      </c>
      <c r="O58">
        <v>887</v>
      </c>
      <c r="P58">
        <v>961</v>
      </c>
      <c r="Q58">
        <v>992</v>
      </c>
      <c r="R58">
        <v>1199</v>
      </c>
      <c r="S58">
        <v>1391</v>
      </c>
      <c r="T58">
        <v>1368</v>
      </c>
      <c r="U58">
        <v>1304</v>
      </c>
      <c r="V58">
        <v>1399</v>
      </c>
      <c r="W58">
        <v>1464</v>
      </c>
      <c r="X58">
        <v>1441</v>
      </c>
      <c r="Y58">
        <v>1508</v>
      </c>
      <c r="Z58">
        <v>1680</v>
      </c>
      <c r="AA58">
        <v>1797</v>
      </c>
      <c r="AB58">
        <v>1994</v>
      </c>
      <c r="AC58">
        <v>2384</v>
      </c>
      <c r="AD58">
        <v>2292</v>
      </c>
      <c r="AE58">
        <v>2189</v>
      </c>
    </row>
    <row r="59" spans="1:31" x14ac:dyDescent="0.3">
      <c r="A59" t="s">
        <v>281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282</v>
      </c>
      <c r="B2" t="s">
        <v>121</v>
      </c>
      <c r="C2" t="s">
        <v>0</v>
      </c>
      <c r="D2" t="s">
        <v>122</v>
      </c>
      <c r="E2" t="s">
        <v>123</v>
      </c>
      <c r="F2">
        <v>26</v>
      </c>
      <c r="G2">
        <v>31</v>
      </c>
      <c r="H2">
        <v>38</v>
      </c>
      <c r="I2">
        <v>49</v>
      </c>
      <c r="J2">
        <v>58</v>
      </c>
      <c r="K2">
        <v>61</v>
      </c>
      <c r="L2">
        <v>64</v>
      </c>
      <c r="M2">
        <v>62</v>
      </c>
      <c r="N2">
        <v>68</v>
      </c>
      <c r="O2">
        <v>76</v>
      </c>
      <c r="P2">
        <v>79</v>
      </c>
      <c r="Q2">
        <v>77</v>
      </c>
      <c r="R2">
        <v>76</v>
      </c>
      <c r="S2">
        <v>67</v>
      </c>
      <c r="T2">
        <v>63</v>
      </c>
      <c r="U2">
        <v>61</v>
      </c>
      <c r="V2">
        <v>53</v>
      </c>
      <c r="W2">
        <v>53</v>
      </c>
      <c r="X2">
        <v>53</v>
      </c>
      <c r="Y2">
        <v>56</v>
      </c>
      <c r="Z2">
        <v>55</v>
      </c>
      <c r="AA2">
        <v>56</v>
      </c>
      <c r="AB2">
        <v>57</v>
      </c>
      <c r="AC2">
        <v>59</v>
      </c>
      <c r="AD2">
        <v>54</v>
      </c>
      <c r="AE2">
        <v>55</v>
      </c>
    </row>
    <row r="3" spans="1:31" x14ac:dyDescent="0.3">
      <c r="A3" t="s">
        <v>282</v>
      </c>
      <c r="B3" t="s">
        <v>124</v>
      </c>
      <c r="C3" t="s">
        <v>0</v>
      </c>
      <c r="D3" t="s">
        <v>125</v>
      </c>
      <c r="E3" t="s">
        <v>123</v>
      </c>
      <c r="F3">
        <v>1</v>
      </c>
      <c r="G3">
        <v>2</v>
      </c>
      <c r="H3">
        <v>2</v>
      </c>
      <c r="I3">
        <v>3</v>
      </c>
      <c r="J3">
        <v>3</v>
      </c>
      <c r="K3">
        <v>4</v>
      </c>
      <c r="L3">
        <v>4</v>
      </c>
      <c r="M3">
        <v>4</v>
      </c>
      <c r="N3">
        <v>6</v>
      </c>
      <c r="O3">
        <v>7</v>
      </c>
      <c r="P3">
        <v>8</v>
      </c>
      <c r="Q3">
        <v>16</v>
      </c>
      <c r="R3">
        <v>25</v>
      </c>
      <c r="S3">
        <v>31</v>
      </c>
      <c r="T3">
        <v>33</v>
      </c>
      <c r="U3">
        <v>34</v>
      </c>
      <c r="V3">
        <v>35</v>
      </c>
      <c r="W3">
        <v>41</v>
      </c>
      <c r="X3">
        <v>47</v>
      </c>
      <c r="Y3">
        <v>53</v>
      </c>
      <c r="Z3">
        <v>50</v>
      </c>
      <c r="AA3">
        <v>51</v>
      </c>
      <c r="AB3">
        <v>50</v>
      </c>
      <c r="AC3">
        <v>47</v>
      </c>
      <c r="AD3">
        <v>45</v>
      </c>
      <c r="AE3">
        <v>46</v>
      </c>
    </row>
    <row r="4" spans="1:31" x14ac:dyDescent="0.3">
      <c r="A4" t="s">
        <v>282</v>
      </c>
      <c r="B4" t="s">
        <v>126</v>
      </c>
      <c r="C4" t="s">
        <v>0</v>
      </c>
      <c r="D4" t="s">
        <v>127</v>
      </c>
      <c r="E4" t="s">
        <v>123</v>
      </c>
      <c r="F4">
        <v>224</v>
      </c>
      <c r="G4">
        <v>289</v>
      </c>
      <c r="H4">
        <v>366</v>
      </c>
      <c r="I4">
        <v>448</v>
      </c>
      <c r="J4">
        <v>533</v>
      </c>
      <c r="K4">
        <v>571</v>
      </c>
      <c r="L4">
        <v>648</v>
      </c>
      <c r="M4">
        <v>625</v>
      </c>
      <c r="N4">
        <v>670</v>
      </c>
      <c r="O4">
        <v>722</v>
      </c>
      <c r="P4">
        <v>724</v>
      </c>
      <c r="Q4">
        <v>864</v>
      </c>
      <c r="R4">
        <v>1061</v>
      </c>
      <c r="S4">
        <v>1103</v>
      </c>
      <c r="T4">
        <v>1090</v>
      </c>
      <c r="U4">
        <v>1082</v>
      </c>
      <c r="V4">
        <v>998</v>
      </c>
      <c r="W4">
        <v>1008</v>
      </c>
      <c r="X4">
        <v>1008</v>
      </c>
      <c r="Y4">
        <v>1042</v>
      </c>
      <c r="Z4">
        <v>1067</v>
      </c>
      <c r="AA4">
        <v>1119</v>
      </c>
      <c r="AB4">
        <v>1210</v>
      </c>
      <c r="AC4">
        <v>1239</v>
      </c>
      <c r="AD4">
        <v>1214</v>
      </c>
      <c r="AE4">
        <v>1220</v>
      </c>
    </row>
    <row r="5" spans="1:31" x14ac:dyDescent="0.3">
      <c r="A5" t="s">
        <v>282</v>
      </c>
      <c r="B5" t="s">
        <v>128</v>
      </c>
      <c r="C5" t="s">
        <v>0</v>
      </c>
      <c r="D5" t="s">
        <v>129</v>
      </c>
      <c r="E5" t="s">
        <v>123</v>
      </c>
      <c r="F5">
        <v>19</v>
      </c>
      <c r="G5">
        <v>23</v>
      </c>
      <c r="H5">
        <v>27</v>
      </c>
      <c r="I5">
        <v>34</v>
      </c>
      <c r="J5">
        <v>39</v>
      </c>
      <c r="K5">
        <v>41</v>
      </c>
      <c r="L5">
        <v>42</v>
      </c>
      <c r="M5">
        <v>43</v>
      </c>
      <c r="N5">
        <v>50</v>
      </c>
      <c r="O5">
        <v>55</v>
      </c>
      <c r="P5">
        <v>53</v>
      </c>
      <c r="Q5">
        <v>67</v>
      </c>
      <c r="R5">
        <v>79</v>
      </c>
      <c r="S5">
        <v>86</v>
      </c>
      <c r="T5">
        <v>91</v>
      </c>
      <c r="U5">
        <v>92</v>
      </c>
      <c r="V5">
        <v>86</v>
      </c>
      <c r="W5">
        <v>86</v>
      </c>
      <c r="X5">
        <v>86</v>
      </c>
      <c r="Y5">
        <v>92</v>
      </c>
      <c r="Z5">
        <v>93</v>
      </c>
      <c r="AA5">
        <v>95</v>
      </c>
      <c r="AB5">
        <v>109</v>
      </c>
      <c r="AC5">
        <v>109</v>
      </c>
      <c r="AD5">
        <v>105</v>
      </c>
      <c r="AE5">
        <v>104</v>
      </c>
    </row>
    <row r="6" spans="1:31" x14ac:dyDescent="0.3">
      <c r="A6" t="s">
        <v>282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1</v>
      </c>
      <c r="H6">
        <v>3</v>
      </c>
      <c r="I6">
        <v>3</v>
      </c>
      <c r="J6">
        <v>3</v>
      </c>
      <c r="K6">
        <v>4</v>
      </c>
      <c r="L6">
        <v>4</v>
      </c>
      <c r="M6">
        <v>3</v>
      </c>
      <c r="N6">
        <v>3</v>
      </c>
      <c r="O6">
        <v>3</v>
      </c>
      <c r="P6">
        <v>4</v>
      </c>
      <c r="Q6">
        <v>4</v>
      </c>
      <c r="R6">
        <v>5</v>
      </c>
      <c r="S6">
        <v>5</v>
      </c>
      <c r="T6">
        <v>4</v>
      </c>
      <c r="U6">
        <v>3</v>
      </c>
      <c r="V6">
        <v>2</v>
      </c>
      <c r="W6">
        <v>2</v>
      </c>
      <c r="X6">
        <v>2</v>
      </c>
      <c r="Y6">
        <v>2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</row>
    <row r="7" spans="1:31" x14ac:dyDescent="0.3">
      <c r="A7" t="s">
        <v>282</v>
      </c>
      <c r="B7" t="s">
        <v>132</v>
      </c>
      <c r="C7" t="s">
        <v>0</v>
      </c>
      <c r="D7" t="s">
        <v>133</v>
      </c>
      <c r="E7" t="s">
        <v>123</v>
      </c>
      <c r="F7">
        <v>60</v>
      </c>
      <c r="G7">
        <v>94</v>
      </c>
      <c r="H7">
        <v>115</v>
      </c>
      <c r="I7">
        <v>147</v>
      </c>
      <c r="J7">
        <v>166</v>
      </c>
      <c r="K7">
        <v>173</v>
      </c>
      <c r="L7">
        <v>203</v>
      </c>
      <c r="M7">
        <v>193</v>
      </c>
      <c r="N7">
        <v>211</v>
      </c>
      <c r="O7">
        <v>222</v>
      </c>
      <c r="P7">
        <v>216</v>
      </c>
      <c r="Q7">
        <v>253</v>
      </c>
      <c r="R7">
        <v>297</v>
      </c>
      <c r="S7">
        <v>303</v>
      </c>
      <c r="T7">
        <v>276</v>
      </c>
      <c r="U7">
        <v>263</v>
      </c>
      <c r="V7">
        <v>245</v>
      </c>
      <c r="W7">
        <v>233</v>
      </c>
      <c r="X7">
        <v>232</v>
      </c>
      <c r="Y7">
        <v>231</v>
      </c>
      <c r="Z7">
        <v>229</v>
      </c>
      <c r="AA7">
        <v>242</v>
      </c>
      <c r="AB7">
        <v>295</v>
      </c>
      <c r="AC7">
        <v>286</v>
      </c>
      <c r="AD7">
        <v>279</v>
      </c>
      <c r="AE7">
        <v>269</v>
      </c>
    </row>
    <row r="8" spans="1:31" x14ac:dyDescent="0.3">
      <c r="A8" t="s">
        <v>282</v>
      </c>
      <c r="B8" t="s">
        <v>134</v>
      </c>
      <c r="C8" t="s">
        <v>0</v>
      </c>
      <c r="D8" t="s">
        <v>135</v>
      </c>
      <c r="E8" t="s">
        <v>123</v>
      </c>
      <c r="F8">
        <v>3</v>
      </c>
      <c r="G8">
        <v>3</v>
      </c>
      <c r="H8">
        <v>9</v>
      </c>
      <c r="I8">
        <v>8</v>
      </c>
      <c r="J8">
        <v>10</v>
      </c>
      <c r="K8">
        <v>10</v>
      </c>
      <c r="L8">
        <v>14</v>
      </c>
      <c r="M8">
        <v>12</v>
      </c>
      <c r="N8">
        <v>13</v>
      </c>
      <c r="O8">
        <v>13</v>
      </c>
      <c r="P8">
        <v>20</v>
      </c>
      <c r="Q8">
        <v>29</v>
      </c>
      <c r="R8">
        <v>68</v>
      </c>
      <c r="S8">
        <v>67</v>
      </c>
      <c r="T8">
        <v>61</v>
      </c>
      <c r="U8">
        <v>62</v>
      </c>
      <c r="V8">
        <v>51</v>
      </c>
      <c r="W8">
        <v>49</v>
      </c>
      <c r="X8">
        <v>49</v>
      </c>
      <c r="Y8">
        <v>51</v>
      </c>
      <c r="Z8">
        <v>59</v>
      </c>
      <c r="AA8">
        <v>48</v>
      </c>
      <c r="AB8">
        <v>9</v>
      </c>
      <c r="AC8">
        <v>10</v>
      </c>
      <c r="AD8">
        <v>10</v>
      </c>
      <c r="AE8">
        <v>9</v>
      </c>
    </row>
    <row r="9" spans="1:31" x14ac:dyDescent="0.3">
      <c r="A9" t="s">
        <v>282</v>
      </c>
      <c r="B9" t="s">
        <v>136</v>
      </c>
      <c r="C9" t="s">
        <v>0</v>
      </c>
      <c r="D9" t="s">
        <v>137</v>
      </c>
      <c r="E9" t="s">
        <v>123</v>
      </c>
      <c r="F9">
        <v>38</v>
      </c>
      <c r="G9">
        <v>42</v>
      </c>
      <c r="H9">
        <v>52</v>
      </c>
      <c r="I9">
        <v>57</v>
      </c>
      <c r="J9">
        <v>66</v>
      </c>
      <c r="K9">
        <v>66</v>
      </c>
      <c r="L9">
        <v>70</v>
      </c>
      <c r="M9">
        <v>70</v>
      </c>
      <c r="N9">
        <v>73</v>
      </c>
      <c r="O9">
        <v>82</v>
      </c>
      <c r="P9">
        <v>80</v>
      </c>
      <c r="Q9">
        <v>94</v>
      </c>
      <c r="R9">
        <v>135</v>
      </c>
      <c r="S9">
        <v>141</v>
      </c>
      <c r="T9">
        <v>137</v>
      </c>
      <c r="U9">
        <v>131</v>
      </c>
      <c r="V9">
        <v>122</v>
      </c>
      <c r="W9">
        <v>128</v>
      </c>
      <c r="X9">
        <v>142</v>
      </c>
      <c r="Y9">
        <v>149</v>
      </c>
      <c r="Z9">
        <v>171</v>
      </c>
      <c r="AA9">
        <v>213</v>
      </c>
      <c r="AB9">
        <v>270</v>
      </c>
      <c r="AC9">
        <v>298</v>
      </c>
      <c r="AD9">
        <v>304</v>
      </c>
      <c r="AE9">
        <v>316</v>
      </c>
    </row>
    <row r="10" spans="1:31" x14ac:dyDescent="0.3">
      <c r="A10" t="s">
        <v>282</v>
      </c>
      <c r="B10" t="s">
        <v>138</v>
      </c>
      <c r="C10" t="s">
        <v>0</v>
      </c>
      <c r="D10" t="s">
        <v>139</v>
      </c>
      <c r="E10" t="s">
        <v>123</v>
      </c>
      <c r="F10">
        <v>42</v>
      </c>
      <c r="G10">
        <v>47</v>
      </c>
      <c r="H10">
        <v>57</v>
      </c>
      <c r="I10">
        <v>63</v>
      </c>
      <c r="J10">
        <v>72</v>
      </c>
      <c r="K10">
        <v>72</v>
      </c>
      <c r="L10">
        <v>77</v>
      </c>
      <c r="M10">
        <v>78</v>
      </c>
      <c r="N10">
        <v>81</v>
      </c>
      <c r="O10">
        <v>91</v>
      </c>
      <c r="P10">
        <v>88</v>
      </c>
      <c r="Q10">
        <v>104</v>
      </c>
      <c r="R10">
        <v>148</v>
      </c>
      <c r="S10">
        <v>155</v>
      </c>
      <c r="T10">
        <v>153</v>
      </c>
      <c r="U10">
        <v>150</v>
      </c>
      <c r="V10">
        <v>141</v>
      </c>
      <c r="W10">
        <v>150</v>
      </c>
      <c r="X10">
        <v>168</v>
      </c>
      <c r="Y10">
        <v>179</v>
      </c>
      <c r="Z10">
        <v>202</v>
      </c>
      <c r="AA10">
        <v>245</v>
      </c>
      <c r="AB10">
        <v>302</v>
      </c>
      <c r="AC10">
        <v>332</v>
      </c>
      <c r="AD10">
        <v>340</v>
      </c>
      <c r="AE10">
        <v>352</v>
      </c>
    </row>
    <row r="11" spans="1:31" x14ac:dyDescent="0.3">
      <c r="A11" t="s">
        <v>282</v>
      </c>
      <c r="B11" t="s">
        <v>140</v>
      </c>
      <c r="C11" t="s">
        <v>0</v>
      </c>
      <c r="D11" t="s">
        <v>141</v>
      </c>
      <c r="E11" t="s">
        <v>123</v>
      </c>
      <c r="F11">
        <v>4</v>
      </c>
      <c r="G11">
        <v>5</v>
      </c>
      <c r="H11">
        <v>5</v>
      </c>
      <c r="I11">
        <v>6</v>
      </c>
      <c r="J11">
        <v>6</v>
      </c>
      <c r="K11">
        <v>6</v>
      </c>
      <c r="L11">
        <v>7</v>
      </c>
      <c r="M11">
        <v>8</v>
      </c>
      <c r="N11">
        <v>8</v>
      </c>
      <c r="O11">
        <v>9</v>
      </c>
      <c r="P11">
        <v>8</v>
      </c>
      <c r="Q11">
        <v>10</v>
      </c>
      <c r="R11">
        <v>13</v>
      </c>
      <c r="S11">
        <v>14</v>
      </c>
      <c r="T11">
        <v>16</v>
      </c>
      <c r="U11">
        <v>19</v>
      </c>
      <c r="V11">
        <v>19</v>
      </c>
      <c r="W11">
        <v>22</v>
      </c>
      <c r="X11">
        <v>26</v>
      </c>
      <c r="Y11">
        <v>30</v>
      </c>
      <c r="Z11">
        <v>31</v>
      </c>
      <c r="AA11">
        <v>32</v>
      </c>
      <c r="AB11">
        <v>32</v>
      </c>
      <c r="AC11">
        <v>34</v>
      </c>
      <c r="AD11">
        <v>36</v>
      </c>
      <c r="AE11">
        <v>36</v>
      </c>
    </row>
    <row r="12" spans="1:31" x14ac:dyDescent="0.3">
      <c r="A12" t="s">
        <v>282</v>
      </c>
      <c r="B12" t="s">
        <v>142</v>
      </c>
      <c r="C12" t="s">
        <v>0</v>
      </c>
      <c r="D12" t="s">
        <v>143</v>
      </c>
      <c r="E12" t="s">
        <v>123</v>
      </c>
      <c r="F12">
        <v>13</v>
      </c>
      <c r="G12">
        <v>17</v>
      </c>
      <c r="H12">
        <v>23</v>
      </c>
      <c r="I12">
        <v>28</v>
      </c>
      <c r="J12">
        <v>36</v>
      </c>
      <c r="K12">
        <v>40</v>
      </c>
      <c r="L12">
        <v>43</v>
      </c>
      <c r="M12">
        <v>42</v>
      </c>
      <c r="N12">
        <v>47</v>
      </c>
      <c r="O12">
        <v>53</v>
      </c>
      <c r="P12">
        <v>56</v>
      </c>
      <c r="Q12">
        <v>67</v>
      </c>
      <c r="R12">
        <v>77</v>
      </c>
      <c r="S12">
        <v>78</v>
      </c>
      <c r="T12">
        <v>79</v>
      </c>
      <c r="U12">
        <v>76</v>
      </c>
      <c r="V12">
        <v>70</v>
      </c>
      <c r="W12">
        <v>69</v>
      </c>
      <c r="X12">
        <v>68</v>
      </c>
      <c r="Y12">
        <v>70</v>
      </c>
      <c r="Z12">
        <v>70</v>
      </c>
      <c r="AA12">
        <v>70</v>
      </c>
      <c r="AB12">
        <v>67</v>
      </c>
      <c r="AC12">
        <v>66</v>
      </c>
      <c r="AD12">
        <v>58</v>
      </c>
      <c r="AE12">
        <v>58</v>
      </c>
    </row>
    <row r="13" spans="1:31" x14ac:dyDescent="0.3">
      <c r="A13" t="s">
        <v>282</v>
      </c>
      <c r="B13" t="s">
        <v>144</v>
      </c>
      <c r="C13" t="s">
        <v>0</v>
      </c>
      <c r="D13" t="s">
        <v>145</v>
      </c>
      <c r="E13" t="s">
        <v>123</v>
      </c>
      <c r="F13">
        <v>14</v>
      </c>
      <c r="G13">
        <v>16</v>
      </c>
      <c r="H13">
        <v>20</v>
      </c>
      <c r="I13">
        <v>25</v>
      </c>
      <c r="J13">
        <v>28</v>
      </c>
      <c r="K13">
        <v>30</v>
      </c>
      <c r="L13">
        <v>34</v>
      </c>
      <c r="M13">
        <v>35</v>
      </c>
      <c r="N13">
        <v>36</v>
      </c>
      <c r="O13">
        <v>43</v>
      </c>
      <c r="P13">
        <v>43</v>
      </c>
      <c r="Q13">
        <v>62</v>
      </c>
      <c r="R13">
        <v>90</v>
      </c>
      <c r="S13">
        <v>98</v>
      </c>
      <c r="T13">
        <v>121</v>
      </c>
      <c r="U13">
        <v>140</v>
      </c>
      <c r="V13">
        <v>131</v>
      </c>
      <c r="W13">
        <v>153</v>
      </c>
      <c r="X13">
        <v>148</v>
      </c>
      <c r="Y13">
        <v>154</v>
      </c>
      <c r="Z13">
        <v>151</v>
      </c>
      <c r="AA13">
        <v>153</v>
      </c>
      <c r="AB13">
        <v>154</v>
      </c>
      <c r="AC13">
        <v>162</v>
      </c>
      <c r="AD13">
        <v>167</v>
      </c>
      <c r="AE13">
        <v>168</v>
      </c>
    </row>
    <row r="14" spans="1:31" x14ac:dyDescent="0.3">
      <c r="A14" t="s">
        <v>282</v>
      </c>
      <c r="B14" t="s">
        <v>146</v>
      </c>
      <c r="C14" t="s">
        <v>0</v>
      </c>
      <c r="D14" t="s">
        <v>147</v>
      </c>
      <c r="E14" t="s">
        <v>123</v>
      </c>
      <c r="F14">
        <v>54</v>
      </c>
      <c r="G14">
        <v>60</v>
      </c>
      <c r="H14">
        <v>73</v>
      </c>
      <c r="I14">
        <v>91</v>
      </c>
      <c r="J14">
        <v>122</v>
      </c>
      <c r="K14">
        <v>141</v>
      </c>
      <c r="L14">
        <v>167</v>
      </c>
      <c r="M14">
        <v>157</v>
      </c>
      <c r="N14">
        <v>158</v>
      </c>
      <c r="O14">
        <v>170</v>
      </c>
      <c r="P14">
        <v>173</v>
      </c>
      <c r="Q14">
        <v>192</v>
      </c>
      <c r="R14">
        <v>196</v>
      </c>
      <c r="S14">
        <v>199</v>
      </c>
      <c r="T14">
        <v>179</v>
      </c>
      <c r="U14">
        <v>174</v>
      </c>
      <c r="V14">
        <v>161</v>
      </c>
      <c r="W14">
        <v>155</v>
      </c>
      <c r="X14">
        <v>144</v>
      </c>
      <c r="Y14">
        <v>146</v>
      </c>
      <c r="Z14">
        <v>146</v>
      </c>
      <c r="AA14">
        <v>144</v>
      </c>
      <c r="AB14">
        <v>150</v>
      </c>
      <c r="AC14">
        <v>148</v>
      </c>
      <c r="AD14">
        <v>146</v>
      </c>
      <c r="AE14">
        <v>150</v>
      </c>
    </row>
    <row r="15" spans="1:31" x14ac:dyDescent="0.3">
      <c r="A15" t="s">
        <v>282</v>
      </c>
      <c r="B15" t="s">
        <v>148</v>
      </c>
      <c r="C15" t="s">
        <v>0</v>
      </c>
      <c r="D15" t="s">
        <v>149</v>
      </c>
      <c r="E15" t="s">
        <v>123</v>
      </c>
      <c r="F15">
        <v>60</v>
      </c>
      <c r="G15">
        <v>69</v>
      </c>
      <c r="H15">
        <v>85</v>
      </c>
      <c r="I15">
        <v>106</v>
      </c>
      <c r="J15">
        <v>140</v>
      </c>
      <c r="K15">
        <v>160</v>
      </c>
      <c r="L15">
        <v>188</v>
      </c>
      <c r="M15">
        <v>176</v>
      </c>
      <c r="N15">
        <v>179</v>
      </c>
      <c r="O15">
        <v>193</v>
      </c>
      <c r="P15">
        <v>196</v>
      </c>
      <c r="Q15">
        <v>215</v>
      </c>
      <c r="R15">
        <v>222</v>
      </c>
      <c r="S15">
        <v>227</v>
      </c>
      <c r="T15">
        <v>209</v>
      </c>
      <c r="U15">
        <v>203</v>
      </c>
      <c r="V15">
        <v>188</v>
      </c>
      <c r="W15">
        <v>182</v>
      </c>
      <c r="X15">
        <v>172</v>
      </c>
      <c r="Y15">
        <v>173</v>
      </c>
      <c r="Z15">
        <v>173</v>
      </c>
      <c r="AA15">
        <v>172</v>
      </c>
      <c r="AB15">
        <v>180</v>
      </c>
      <c r="AC15">
        <v>178</v>
      </c>
      <c r="AD15">
        <v>172</v>
      </c>
      <c r="AE15">
        <v>176</v>
      </c>
    </row>
    <row r="16" spans="1:31" x14ac:dyDescent="0.3">
      <c r="A16" t="s">
        <v>282</v>
      </c>
      <c r="B16" t="s">
        <v>150</v>
      </c>
      <c r="C16" t="s">
        <v>0</v>
      </c>
      <c r="D16" t="s">
        <v>151</v>
      </c>
      <c r="E16" t="s">
        <v>123</v>
      </c>
      <c r="F16">
        <v>6</v>
      </c>
      <c r="G16">
        <v>9</v>
      </c>
      <c r="H16">
        <v>12</v>
      </c>
      <c r="I16">
        <v>15</v>
      </c>
      <c r="J16">
        <v>18</v>
      </c>
      <c r="K16">
        <v>19</v>
      </c>
      <c r="L16">
        <v>21</v>
      </c>
      <c r="M16">
        <v>19</v>
      </c>
      <c r="N16">
        <v>21</v>
      </c>
      <c r="O16">
        <v>23</v>
      </c>
      <c r="P16">
        <v>23</v>
      </c>
      <c r="Q16">
        <v>23</v>
      </c>
      <c r="R16">
        <v>26</v>
      </c>
      <c r="S16">
        <v>28</v>
      </c>
      <c r="T16">
        <v>30</v>
      </c>
      <c r="U16">
        <v>29</v>
      </c>
      <c r="V16">
        <v>27</v>
      </c>
      <c r="W16">
        <v>27</v>
      </c>
      <c r="X16">
        <v>28</v>
      </c>
      <c r="Y16">
        <v>27</v>
      </c>
      <c r="Z16">
        <v>27</v>
      </c>
      <c r="AA16">
        <v>28</v>
      </c>
      <c r="AB16">
        <v>30</v>
      </c>
      <c r="AC16">
        <v>30</v>
      </c>
      <c r="AD16">
        <v>26</v>
      </c>
      <c r="AE16">
        <v>26</v>
      </c>
    </row>
    <row r="17" spans="1:31" x14ac:dyDescent="0.3">
      <c r="A17" t="s">
        <v>282</v>
      </c>
      <c r="B17" t="s">
        <v>152</v>
      </c>
      <c r="C17" t="s">
        <v>0</v>
      </c>
      <c r="D17" t="s">
        <v>153</v>
      </c>
      <c r="E17" t="s">
        <v>123</v>
      </c>
      <c r="F17">
        <v>12</v>
      </c>
      <c r="G17">
        <v>17</v>
      </c>
      <c r="H17">
        <v>23</v>
      </c>
      <c r="I17">
        <v>28</v>
      </c>
      <c r="J17">
        <v>31</v>
      </c>
      <c r="K17">
        <v>34</v>
      </c>
      <c r="L17">
        <v>35</v>
      </c>
      <c r="M17">
        <v>35</v>
      </c>
      <c r="N17">
        <v>40</v>
      </c>
      <c r="O17">
        <v>40</v>
      </c>
      <c r="P17">
        <v>39</v>
      </c>
      <c r="Q17">
        <v>47</v>
      </c>
      <c r="R17">
        <v>54</v>
      </c>
      <c r="S17">
        <v>58</v>
      </c>
      <c r="T17">
        <v>68</v>
      </c>
      <c r="U17">
        <v>63</v>
      </c>
      <c r="V17">
        <v>57</v>
      </c>
      <c r="W17">
        <v>56</v>
      </c>
      <c r="X17">
        <v>56</v>
      </c>
      <c r="Y17">
        <v>61</v>
      </c>
      <c r="Z17">
        <v>62</v>
      </c>
      <c r="AA17">
        <v>64</v>
      </c>
      <c r="AB17">
        <v>66</v>
      </c>
      <c r="AC17">
        <v>67</v>
      </c>
      <c r="AD17">
        <v>65</v>
      </c>
      <c r="AE17">
        <v>66</v>
      </c>
    </row>
    <row r="18" spans="1:31" x14ac:dyDescent="0.3">
      <c r="A18" t="s">
        <v>282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1</v>
      </c>
      <c r="H18">
        <v>2</v>
      </c>
      <c r="I18">
        <v>3</v>
      </c>
      <c r="J18">
        <v>3</v>
      </c>
      <c r="K18">
        <v>3</v>
      </c>
      <c r="L18">
        <v>3</v>
      </c>
      <c r="M18">
        <v>3</v>
      </c>
      <c r="N18">
        <v>4</v>
      </c>
      <c r="O18">
        <v>4</v>
      </c>
      <c r="P18">
        <v>4</v>
      </c>
      <c r="Q18">
        <v>7</v>
      </c>
      <c r="R18">
        <v>10</v>
      </c>
      <c r="S18">
        <v>13</v>
      </c>
      <c r="T18">
        <v>16</v>
      </c>
      <c r="U18">
        <v>17</v>
      </c>
      <c r="V18">
        <v>15</v>
      </c>
      <c r="W18">
        <v>17</v>
      </c>
      <c r="X18">
        <v>14</v>
      </c>
      <c r="Y18">
        <v>14</v>
      </c>
      <c r="Z18">
        <v>11</v>
      </c>
      <c r="AA18">
        <v>11</v>
      </c>
      <c r="AB18">
        <v>8</v>
      </c>
      <c r="AC18">
        <v>8</v>
      </c>
      <c r="AD18">
        <v>0</v>
      </c>
      <c r="AE18">
        <v>0</v>
      </c>
    </row>
    <row r="19" spans="1:31" x14ac:dyDescent="0.3">
      <c r="A19" t="s">
        <v>282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1</v>
      </c>
      <c r="H19">
        <v>2</v>
      </c>
      <c r="I19">
        <v>3</v>
      </c>
      <c r="J19">
        <v>5</v>
      </c>
      <c r="K19">
        <v>4</v>
      </c>
      <c r="L19">
        <v>5</v>
      </c>
      <c r="M19">
        <v>5</v>
      </c>
      <c r="N19">
        <v>6</v>
      </c>
      <c r="O19">
        <v>5</v>
      </c>
      <c r="P19">
        <v>5</v>
      </c>
      <c r="Q19">
        <v>9</v>
      </c>
      <c r="R19">
        <v>11</v>
      </c>
      <c r="S19">
        <v>13</v>
      </c>
      <c r="T19">
        <v>12</v>
      </c>
      <c r="U19">
        <v>13</v>
      </c>
      <c r="V19">
        <v>12</v>
      </c>
      <c r="W19">
        <v>11</v>
      </c>
      <c r="X19">
        <v>13</v>
      </c>
      <c r="Y19">
        <v>15</v>
      </c>
      <c r="Z19">
        <v>16</v>
      </c>
      <c r="AA19">
        <v>18</v>
      </c>
      <c r="AB19">
        <v>19</v>
      </c>
      <c r="AC19">
        <v>20</v>
      </c>
      <c r="AD19">
        <v>18</v>
      </c>
      <c r="AE19">
        <v>18</v>
      </c>
    </row>
    <row r="20" spans="1:31" x14ac:dyDescent="0.3">
      <c r="A20" t="s">
        <v>282</v>
      </c>
      <c r="B20" t="s">
        <v>158</v>
      </c>
      <c r="C20" t="s">
        <v>0</v>
      </c>
      <c r="D20" t="s">
        <v>159</v>
      </c>
      <c r="E20" t="s">
        <v>123</v>
      </c>
      <c r="F20">
        <v>47</v>
      </c>
      <c r="G20">
        <v>52</v>
      </c>
      <c r="H20">
        <v>65</v>
      </c>
      <c r="I20">
        <v>70</v>
      </c>
      <c r="J20">
        <v>78</v>
      </c>
      <c r="K20">
        <v>85</v>
      </c>
      <c r="L20">
        <v>90</v>
      </c>
      <c r="M20">
        <v>91</v>
      </c>
      <c r="N20">
        <v>99</v>
      </c>
      <c r="O20">
        <v>116</v>
      </c>
      <c r="P20">
        <v>127</v>
      </c>
      <c r="Q20">
        <v>154</v>
      </c>
      <c r="R20">
        <v>175</v>
      </c>
      <c r="S20">
        <v>187</v>
      </c>
      <c r="T20">
        <v>200</v>
      </c>
      <c r="U20">
        <v>195</v>
      </c>
      <c r="V20">
        <v>167</v>
      </c>
      <c r="W20">
        <v>153</v>
      </c>
      <c r="X20">
        <v>153</v>
      </c>
      <c r="Y20">
        <v>164</v>
      </c>
      <c r="Z20">
        <v>172</v>
      </c>
      <c r="AA20">
        <v>195</v>
      </c>
      <c r="AB20">
        <v>205</v>
      </c>
      <c r="AC20">
        <v>212</v>
      </c>
      <c r="AD20">
        <v>210</v>
      </c>
      <c r="AE20">
        <v>225</v>
      </c>
    </row>
    <row r="21" spans="1:31" x14ac:dyDescent="0.3">
      <c r="A21" t="s">
        <v>282</v>
      </c>
      <c r="B21" t="s">
        <v>160</v>
      </c>
      <c r="C21" t="s">
        <v>0</v>
      </c>
      <c r="D21" t="s">
        <v>161</v>
      </c>
      <c r="E21" t="s">
        <v>123</v>
      </c>
      <c r="F21">
        <v>50</v>
      </c>
      <c r="G21">
        <v>56</v>
      </c>
      <c r="H21">
        <v>69</v>
      </c>
      <c r="I21">
        <v>76</v>
      </c>
      <c r="J21">
        <v>85</v>
      </c>
      <c r="K21">
        <v>92</v>
      </c>
      <c r="L21">
        <v>98</v>
      </c>
      <c r="M21">
        <v>99</v>
      </c>
      <c r="N21">
        <v>108</v>
      </c>
      <c r="O21">
        <v>125</v>
      </c>
      <c r="P21">
        <v>137</v>
      </c>
      <c r="Q21">
        <v>167</v>
      </c>
      <c r="R21">
        <v>193</v>
      </c>
      <c r="S21">
        <v>205</v>
      </c>
      <c r="T21">
        <v>221</v>
      </c>
      <c r="U21">
        <v>217</v>
      </c>
      <c r="V21">
        <v>188</v>
      </c>
      <c r="W21">
        <v>177</v>
      </c>
      <c r="X21">
        <v>179</v>
      </c>
      <c r="Y21">
        <v>189</v>
      </c>
      <c r="Z21">
        <v>199</v>
      </c>
      <c r="AA21">
        <v>225</v>
      </c>
      <c r="AB21">
        <v>236</v>
      </c>
      <c r="AC21">
        <v>243</v>
      </c>
      <c r="AD21">
        <v>239</v>
      </c>
      <c r="AE21">
        <v>253</v>
      </c>
    </row>
    <row r="22" spans="1:31" x14ac:dyDescent="0.3">
      <c r="A22" t="s">
        <v>282</v>
      </c>
      <c r="B22" t="s">
        <v>162</v>
      </c>
      <c r="C22" t="s">
        <v>0</v>
      </c>
      <c r="D22" t="s">
        <v>163</v>
      </c>
      <c r="E22" t="s">
        <v>123</v>
      </c>
      <c r="F22">
        <v>3</v>
      </c>
      <c r="G22">
        <v>4</v>
      </c>
      <c r="H22">
        <v>4</v>
      </c>
      <c r="I22">
        <v>6</v>
      </c>
      <c r="J22">
        <v>7</v>
      </c>
      <c r="K22">
        <v>7</v>
      </c>
      <c r="L22">
        <v>8</v>
      </c>
      <c r="M22">
        <v>8</v>
      </c>
      <c r="N22">
        <v>9</v>
      </c>
      <c r="O22">
        <v>9</v>
      </c>
      <c r="P22">
        <v>10</v>
      </c>
      <c r="Q22">
        <v>13</v>
      </c>
      <c r="R22">
        <v>18</v>
      </c>
      <c r="S22">
        <v>18</v>
      </c>
      <c r="T22">
        <v>21</v>
      </c>
      <c r="U22">
        <v>22</v>
      </c>
      <c r="V22">
        <v>21</v>
      </c>
      <c r="W22">
        <v>24</v>
      </c>
      <c r="X22">
        <v>26</v>
      </c>
      <c r="Y22">
        <v>25</v>
      </c>
      <c r="Z22">
        <v>27</v>
      </c>
      <c r="AA22">
        <v>30</v>
      </c>
      <c r="AB22">
        <v>31</v>
      </c>
      <c r="AC22">
        <v>31</v>
      </c>
      <c r="AD22">
        <v>29</v>
      </c>
      <c r="AE22">
        <v>28</v>
      </c>
    </row>
    <row r="23" spans="1:31" x14ac:dyDescent="0.3">
      <c r="A23" t="s">
        <v>282</v>
      </c>
      <c r="B23" t="s">
        <v>164</v>
      </c>
      <c r="C23" t="s">
        <v>0</v>
      </c>
      <c r="D23" t="s">
        <v>165</v>
      </c>
      <c r="E23" t="s">
        <v>123</v>
      </c>
      <c r="F23">
        <v>3</v>
      </c>
      <c r="G23">
        <v>4</v>
      </c>
      <c r="H23">
        <v>6</v>
      </c>
      <c r="I23">
        <v>7</v>
      </c>
      <c r="J23">
        <v>10</v>
      </c>
      <c r="K23">
        <v>12</v>
      </c>
      <c r="L23">
        <v>13</v>
      </c>
      <c r="M23">
        <v>14</v>
      </c>
      <c r="N23">
        <v>17</v>
      </c>
      <c r="O23">
        <v>20</v>
      </c>
      <c r="P23">
        <v>23</v>
      </c>
      <c r="Q23">
        <v>36</v>
      </c>
      <c r="R23">
        <v>40</v>
      </c>
      <c r="S23">
        <v>43</v>
      </c>
      <c r="T23">
        <v>42</v>
      </c>
      <c r="U23">
        <v>43</v>
      </c>
      <c r="V23">
        <v>43</v>
      </c>
      <c r="W23">
        <v>45</v>
      </c>
      <c r="X23">
        <v>45</v>
      </c>
      <c r="Y23">
        <v>46</v>
      </c>
      <c r="Z23">
        <v>45</v>
      </c>
      <c r="AA23">
        <v>47</v>
      </c>
      <c r="AB23">
        <v>48</v>
      </c>
      <c r="AC23">
        <v>48</v>
      </c>
      <c r="AD23">
        <v>44</v>
      </c>
      <c r="AE23">
        <v>42</v>
      </c>
    </row>
    <row r="24" spans="1:31" x14ac:dyDescent="0.3">
      <c r="A24" t="s">
        <v>282</v>
      </c>
      <c r="B24" t="s">
        <v>166</v>
      </c>
      <c r="C24" t="s">
        <v>0</v>
      </c>
      <c r="D24" t="s">
        <v>167</v>
      </c>
      <c r="E24" t="s">
        <v>123</v>
      </c>
      <c r="F24">
        <v>77</v>
      </c>
      <c r="G24">
        <v>89</v>
      </c>
      <c r="H24">
        <v>119</v>
      </c>
      <c r="I24">
        <v>150</v>
      </c>
      <c r="J24">
        <v>188</v>
      </c>
      <c r="K24">
        <v>202</v>
      </c>
      <c r="L24">
        <v>220</v>
      </c>
      <c r="M24">
        <v>213</v>
      </c>
      <c r="N24">
        <v>234</v>
      </c>
      <c r="O24">
        <v>252</v>
      </c>
      <c r="P24">
        <v>255</v>
      </c>
      <c r="Q24">
        <v>260</v>
      </c>
      <c r="R24">
        <v>279</v>
      </c>
      <c r="S24">
        <v>291</v>
      </c>
      <c r="T24">
        <v>283</v>
      </c>
      <c r="U24">
        <v>284</v>
      </c>
      <c r="V24">
        <v>254</v>
      </c>
      <c r="W24">
        <v>254</v>
      </c>
      <c r="X24">
        <v>249</v>
      </c>
      <c r="Y24">
        <v>256</v>
      </c>
      <c r="Z24">
        <v>248</v>
      </c>
      <c r="AA24">
        <v>254</v>
      </c>
      <c r="AB24">
        <v>245</v>
      </c>
      <c r="AC24">
        <v>240</v>
      </c>
      <c r="AD24">
        <v>229</v>
      </c>
      <c r="AE24">
        <v>216</v>
      </c>
    </row>
    <row r="25" spans="1:31" x14ac:dyDescent="0.3">
      <c r="A25" t="s">
        <v>282</v>
      </c>
      <c r="B25" t="s">
        <v>168</v>
      </c>
      <c r="C25" t="s">
        <v>0</v>
      </c>
      <c r="D25" t="s">
        <v>169</v>
      </c>
      <c r="E25" t="s">
        <v>123</v>
      </c>
      <c r="F25">
        <v>5</v>
      </c>
      <c r="G25">
        <v>5</v>
      </c>
      <c r="H25">
        <v>7</v>
      </c>
      <c r="I25">
        <v>8</v>
      </c>
      <c r="J25">
        <v>10</v>
      </c>
      <c r="K25">
        <v>10</v>
      </c>
      <c r="L25">
        <v>11</v>
      </c>
      <c r="M25">
        <v>10</v>
      </c>
      <c r="N25">
        <v>11</v>
      </c>
      <c r="O25">
        <v>12</v>
      </c>
      <c r="P25">
        <v>12</v>
      </c>
      <c r="Q25">
        <v>15</v>
      </c>
      <c r="R25">
        <v>16</v>
      </c>
      <c r="S25">
        <v>25</v>
      </c>
      <c r="T25">
        <v>24</v>
      </c>
      <c r="U25">
        <v>26</v>
      </c>
      <c r="V25">
        <v>28</v>
      </c>
      <c r="W25">
        <v>27</v>
      </c>
      <c r="X25">
        <v>25</v>
      </c>
      <c r="Y25">
        <v>27</v>
      </c>
      <c r="Z25">
        <v>26</v>
      </c>
      <c r="AA25">
        <v>27</v>
      </c>
      <c r="AB25">
        <v>25</v>
      </c>
      <c r="AC25">
        <v>24</v>
      </c>
      <c r="AD25">
        <v>23</v>
      </c>
      <c r="AE25">
        <v>22</v>
      </c>
    </row>
    <row r="26" spans="1:31" x14ac:dyDescent="0.3">
      <c r="A26" t="s">
        <v>282</v>
      </c>
      <c r="B26" t="s">
        <v>170</v>
      </c>
      <c r="C26" t="s">
        <v>0</v>
      </c>
      <c r="D26" t="s">
        <v>171</v>
      </c>
      <c r="E26" t="s">
        <v>123</v>
      </c>
      <c r="F26">
        <v>41</v>
      </c>
      <c r="G26">
        <v>49</v>
      </c>
      <c r="H26">
        <v>68</v>
      </c>
      <c r="I26">
        <v>87</v>
      </c>
      <c r="J26">
        <v>106</v>
      </c>
      <c r="K26">
        <v>114</v>
      </c>
      <c r="L26">
        <v>123</v>
      </c>
      <c r="M26">
        <v>120</v>
      </c>
      <c r="N26">
        <v>129</v>
      </c>
      <c r="O26">
        <v>137</v>
      </c>
      <c r="P26">
        <v>138</v>
      </c>
      <c r="Q26">
        <v>137</v>
      </c>
      <c r="R26">
        <v>143</v>
      </c>
      <c r="S26">
        <v>139</v>
      </c>
      <c r="T26">
        <v>132</v>
      </c>
      <c r="U26">
        <v>130</v>
      </c>
      <c r="V26">
        <v>108</v>
      </c>
      <c r="W26">
        <v>105</v>
      </c>
      <c r="X26">
        <v>102</v>
      </c>
      <c r="Y26">
        <v>103</v>
      </c>
      <c r="Z26">
        <v>98</v>
      </c>
      <c r="AA26">
        <v>100</v>
      </c>
      <c r="AB26">
        <v>96</v>
      </c>
      <c r="AC26">
        <v>95</v>
      </c>
      <c r="AD26">
        <v>90</v>
      </c>
      <c r="AE26">
        <v>84</v>
      </c>
    </row>
    <row r="27" spans="1:31" x14ac:dyDescent="0.3">
      <c r="A27" t="s">
        <v>282</v>
      </c>
      <c r="B27" t="s">
        <v>172</v>
      </c>
      <c r="C27" t="s">
        <v>0</v>
      </c>
      <c r="D27" t="s">
        <v>173</v>
      </c>
      <c r="E27" t="s">
        <v>123</v>
      </c>
      <c r="F27">
        <v>31</v>
      </c>
      <c r="G27">
        <v>35</v>
      </c>
      <c r="H27">
        <v>44</v>
      </c>
      <c r="I27">
        <v>55</v>
      </c>
      <c r="J27">
        <v>72</v>
      </c>
      <c r="K27">
        <v>78</v>
      </c>
      <c r="L27">
        <v>86</v>
      </c>
      <c r="M27">
        <v>83</v>
      </c>
      <c r="N27">
        <v>94</v>
      </c>
      <c r="O27">
        <v>103</v>
      </c>
      <c r="P27">
        <v>105</v>
      </c>
      <c r="Q27">
        <v>108</v>
      </c>
      <c r="R27">
        <v>120</v>
      </c>
      <c r="S27">
        <v>127</v>
      </c>
      <c r="T27">
        <v>127</v>
      </c>
      <c r="U27">
        <v>128</v>
      </c>
      <c r="V27">
        <v>118</v>
      </c>
      <c r="W27">
        <v>122</v>
      </c>
      <c r="X27">
        <v>122</v>
      </c>
      <c r="Y27">
        <v>126</v>
      </c>
      <c r="Z27">
        <v>124</v>
      </c>
      <c r="AA27">
        <v>127</v>
      </c>
      <c r="AB27">
        <v>124</v>
      </c>
      <c r="AC27">
        <v>121</v>
      </c>
      <c r="AD27">
        <v>116</v>
      </c>
      <c r="AE27">
        <v>110</v>
      </c>
    </row>
    <row r="28" spans="1:31" x14ac:dyDescent="0.3">
      <c r="A28" t="s">
        <v>282</v>
      </c>
      <c r="B28" t="s">
        <v>174</v>
      </c>
      <c r="C28" t="s">
        <v>0</v>
      </c>
      <c r="D28" t="s">
        <v>175</v>
      </c>
      <c r="E28" t="s">
        <v>123</v>
      </c>
      <c r="F28">
        <v>70</v>
      </c>
      <c r="G28">
        <v>86</v>
      </c>
      <c r="H28">
        <v>107</v>
      </c>
      <c r="I28">
        <v>140</v>
      </c>
      <c r="J28">
        <v>171</v>
      </c>
      <c r="K28">
        <v>185</v>
      </c>
      <c r="L28">
        <v>200</v>
      </c>
      <c r="M28">
        <v>199</v>
      </c>
      <c r="N28">
        <v>231</v>
      </c>
      <c r="O28">
        <v>256</v>
      </c>
      <c r="P28">
        <v>250</v>
      </c>
      <c r="Q28">
        <v>243</v>
      </c>
      <c r="R28">
        <v>235</v>
      </c>
      <c r="S28">
        <v>218</v>
      </c>
      <c r="T28">
        <v>204</v>
      </c>
      <c r="U28">
        <v>193</v>
      </c>
      <c r="V28">
        <v>177</v>
      </c>
      <c r="W28">
        <v>169</v>
      </c>
      <c r="X28">
        <v>169</v>
      </c>
      <c r="Y28">
        <v>176</v>
      </c>
      <c r="Z28">
        <v>169</v>
      </c>
      <c r="AA28">
        <v>174</v>
      </c>
      <c r="AB28">
        <v>174</v>
      </c>
      <c r="AC28">
        <v>170</v>
      </c>
      <c r="AD28">
        <v>163</v>
      </c>
      <c r="AE28">
        <v>158</v>
      </c>
    </row>
    <row r="29" spans="1:31" x14ac:dyDescent="0.3">
      <c r="A29" t="s">
        <v>282</v>
      </c>
      <c r="B29" t="s">
        <v>176</v>
      </c>
      <c r="C29" t="s">
        <v>0</v>
      </c>
      <c r="D29" t="s">
        <v>177</v>
      </c>
      <c r="E29" t="s">
        <v>123</v>
      </c>
      <c r="F29">
        <v>31</v>
      </c>
      <c r="G29">
        <v>40</v>
      </c>
      <c r="H29">
        <v>50</v>
      </c>
      <c r="I29">
        <v>67</v>
      </c>
      <c r="J29">
        <v>76</v>
      </c>
      <c r="K29">
        <v>80</v>
      </c>
      <c r="L29">
        <v>87</v>
      </c>
      <c r="M29">
        <v>87</v>
      </c>
      <c r="N29">
        <v>102</v>
      </c>
      <c r="O29">
        <v>120</v>
      </c>
      <c r="P29">
        <v>113</v>
      </c>
      <c r="Q29">
        <v>109</v>
      </c>
      <c r="R29">
        <v>105</v>
      </c>
      <c r="S29">
        <v>96</v>
      </c>
      <c r="T29">
        <v>88</v>
      </c>
      <c r="U29">
        <v>81</v>
      </c>
      <c r="V29">
        <v>74</v>
      </c>
      <c r="W29">
        <v>70</v>
      </c>
      <c r="X29">
        <v>68</v>
      </c>
      <c r="Y29">
        <v>69</v>
      </c>
      <c r="Z29">
        <v>66</v>
      </c>
      <c r="AA29">
        <v>70</v>
      </c>
      <c r="AB29">
        <v>74</v>
      </c>
      <c r="AC29">
        <v>76</v>
      </c>
      <c r="AD29">
        <v>76</v>
      </c>
      <c r="AE29">
        <v>75</v>
      </c>
    </row>
    <row r="30" spans="1:31" x14ac:dyDescent="0.3">
      <c r="A30" t="s">
        <v>282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2</v>
      </c>
      <c r="N30">
        <v>4</v>
      </c>
      <c r="O30">
        <v>5</v>
      </c>
      <c r="P30">
        <v>7</v>
      </c>
      <c r="Q30">
        <v>9</v>
      </c>
      <c r="R30">
        <v>9</v>
      </c>
      <c r="S30">
        <v>8</v>
      </c>
      <c r="T30">
        <v>7</v>
      </c>
      <c r="U30">
        <v>7</v>
      </c>
      <c r="V30">
        <v>11</v>
      </c>
      <c r="W30">
        <v>12</v>
      </c>
      <c r="X30">
        <v>13</v>
      </c>
      <c r="Y30">
        <v>14</v>
      </c>
      <c r="Z30">
        <v>14</v>
      </c>
      <c r="AA30">
        <v>14</v>
      </c>
      <c r="AB30">
        <v>13</v>
      </c>
      <c r="AC30">
        <v>13</v>
      </c>
      <c r="AD30">
        <v>12</v>
      </c>
      <c r="AE30">
        <v>13</v>
      </c>
    </row>
    <row r="31" spans="1:31" x14ac:dyDescent="0.3">
      <c r="A31" t="s">
        <v>282</v>
      </c>
      <c r="B31" t="s">
        <v>180</v>
      </c>
      <c r="C31" t="s">
        <v>0</v>
      </c>
      <c r="D31" t="s">
        <v>181</v>
      </c>
      <c r="E31" t="s">
        <v>123</v>
      </c>
      <c r="F31">
        <v>3</v>
      </c>
      <c r="G31">
        <v>5</v>
      </c>
      <c r="H31">
        <v>7</v>
      </c>
      <c r="I31">
        <v>11</v>
      </c>
      <c r="J31">
        <v>14</v>
      </c>
      <c r="K31">
        <v>14</v>
      </c>
      <c r="L31">
        <v>17</v>
      </c>
      <c r="M31">
        <v>15</v>
      </c>
      <c r="N31">
        <v>14</v>
      </c>
      <c r="O31">
        <v>14</v>
      </c>
      <c r="P31">
        <v>14</v>
      </c>
      <c r="Q31">
        <v>13</v>
      </c>
      <c r="R31">
        <v>12</v>
      </c>
      <c r="S31">
        <v>15</v>
      </c>
      <c r="T31">
        <v>13</v>
      </c>
      <c r="U31">
        <v>11</v>
      </c>
      <c r="V31">
        <v>8</v>
      </c>
      <c r="W31">
        <v>7</v>
      </c>
      <c r="X31">
        <v>6</v>
      </c>
      <c r="Y31">
        <v>5</v>
      </c>
      <c r="Z31">
        <v>5</v>
      </c>
      <c r="AA31">
        <v>4</v>
      </c>
      <c r="AB31">
        <v>3</v>
      </c>
      <c r="AC31">
        <v>3</v>
      </c>
      <c r="AD31">
        <v>0</v>
      </c>
      <c r="AE31">
        <v>0</v>
      </c>
    </row>
    <row r="32" spans="1:31" x14ac:dyDescent="0.3">
      <c r="A32" t="s">
        <v>282</v>
      </c>
      <c r="B32" t="s">
        <v>182</v>
      </c>
      <c r="C32" t="s">
        <v>0</v>
      </c>
      <c r="D32" t="s">
        <v>183</v>
      </c>
      <c r="E32" t="s">
        <v>123</v>
      </c>
      <c r="F32">
        <v>27</v>
      </c>
      <c r="G32">
        <v>32</v>
      </c>
      <c r="H32">
        <v>38</v>
      </c>
      <c r="I32">
        <v>46</v>
      </c>
      <c r="J32">
        <v>58</v>
      </c>
      <c r="K32">
        <v>65</v>
      </c>
      <c r="L32">
        <v>68</v>
      </c>
      <c r="M32">
        <v>67</v>
      </c>
      <c r="N32">
        <v>82</v>
      </c>
      <c r="O32">
        <v>91</v>
      </c>
      <c r="P32">
        <v>95</v>
      </c>
      <c r="Q32">
        <v>93</v>
      </c>
      <c r="R32">
        <v>92</v>
      </c>
      <c r="S32">
        <v>85</v>
      </c>
      <c r="T32">
        <v>83</v>
      </c>
      <c r="U32">
        <v>80</v>
      </c>
      <c r="V32">
        <v>72</v>
      </c>
      <c r="W32">
        <v>69</v>
      </c>
      <c r="X32">
        <v>71</v>
      </c>
      <c r="Y32">
        <v>77</v>
      </c>
      <c r="Z32">
        <v>73</v>
      </c>
      <c r="AA32">
        <v>75</v>
      </c>
      <c r="AB32">
        <v>71</v>
      </c>
      <c r="AC32">
        <v>65</v>
      </c>
      <c r="AD32">
        <v>62</v>
      </c>
      <c r="AE32">
        <v>58</v>
      </c>
    </row>
    <row r="33" spans="1:31" x14ac:dyDescent="0.3">
      <c r="A33" t="s">
        <v>282</v>
      </c>
      <c r="B33" t="s">
        <v>184</v>
      </c>
      <c r="C33" t="s">
        <v>0</v>
      </c>
      <c r="D33" t="s">
        <v>185</v>
      </c>
      <c r="E33" t="s">
        <v>123</v>
      </c>
      <c r="F33">
        <v>9</v>
      </c>
      <c r="G33">
        <v>9</v>
      </c>
      <c r="H33">
        <v>12</v>
      </c>
      <c r="I33">
        <v>16</v>
      </c>
      <c r="J33">
        <v>23</v>
      </c>
      <c r="K33">
        <v>26</v>
      </c>
      <c r="L33">
        <v>27</v>
      </c>
      <c r="M33">
        <v>28</v>
      </c>
      <c r="N33">
        <v>29</v>
      </c>
      <c r="O33">
        <v>26</v>
      </c>
      <c r="P33">
        <v>21</v>
      </c>
      <c r="Q33">
        <v>19</v>
      </c>
      <c r="R33">
        <v>17</v>
      </c>
      <c r="S33">
        <v>14</v>
      </c>
      <c r="T33">
        <v>13</v>
      </c>
      <c r="U33">
        <v>14</v>
      </c>
      <c r="V33">
        <v>12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13</v>
      </c>
      <c r="AC33">
        <v>13</v>
      </c>
      <c r="AD33">
        <v>13</v>
      </c>
      <c r="AE33">
        <v>12</v>
      </c>
    </row>
    <row r="34" spans="1:31" x14ac:dyDescent="0.3">
      <c r="A34" t="s">
        <v>282</v>
      </c>
      <c r="B34" t="s">
        <v>186</v>
      </c>
      <c r="C34" t="s">
        <v>0</v>
      </c>
      <c r="D34" t="s">
        <v>187</v>
      </c>
      <c r="E34" t="s">
        <v>123</v>
      </c>
      <c r="F34">
        <v>13</v>
      </c>
      <c r="G34">
        <v>17</v>
      </c>
      <c r="H34">
        <v>24</v>
      </c>
      <c r="I34">
        <v>34</v>
      </c>
      <c r="J34">
        <v>42</v>
      </c>
      <c r="K34">
        <v>45</v>
      </c>
      <c r="L34">
        <v>51</v>
      </c>
      <c r="M34">
        <v>49</v>
      </c>
      <c r="N34">
        <v>55</v>
      </c>
      <c r="O34">
        <v>62</v>
      </c>
      <c r="P34">
        <v>64</v>
      </c>
      <c r="Q34">
        <v>66</v>
      </c>
      <c r="R34">
        <v>67</v>
      </c>
      <c r="S34">
        <v>63</v>
      </c>
      <c r="T34">
        <v>58</v>
      </c>
      <c r="U34">
        <v>57</v>
      </c>
      <c r="V34">
        <v>54</v>
      </c>
      <c r="W34">
        <v>55</v>
      </c>
      <c r="X34">
        <v>52</v>
      </c>
      <c r="Y34">
        <v>52</v>
      </c>
      <c r="Z34">
        <v>48</v>
      </c>
      <c r="AA34">
        <v>50</v>
      </c>
      <c r="AB34">
        <v>47</v>
      </c>
      <c r="AC34">
        <v>47</v>
      </c>
      <c r="AD34">
        <v>45</v>
      </c>
      <c r="AE34">
        <v>42</v>
      </c>
    </row>
    <row r="35" spans="1:31" x14ac:dyDescent="0.3">
      <c r="A35" t="s">
        <v>282</v>
      </c>
      <c r="B35" t="s">
        <v>188</v>
      </c>
      <c r="C35" t="s">
        <v>0</v>
      </c>
      <c r="D35" t="s">
        <v>189</v>
      </c>
      <c r="E35" t="s">
        <v>123</v>
      </c>
      <c r="F35">
        <v>75</v>
      </c>
      <c r="G35">
        <v>93</v>
      </c>
      <c r="H35">
        <v>120</v>
      </c>
      <c r="I35">
        <v>146</v>
      </c>
      <c r="J35">
        <v>179</v>
      </c>
      <c r="K35">
        <v>199</v>
      </c>
      <c r="L35">
        <v>223</v>
      </c>
      <c r="M35">
        <v>222</v>
      </c>
      <c r="N35">
        <v>220</v>
      </c>
      <c r="O35">
        <v>273</v>
      </c>
      <c r="P35">
        <v>285</v>
      </c>
      <c r="Q35">
        <v>313</v>
      </c>
      <c r="R35">
        <v>329</v>
      </c>
      <c r="S35">
        <v>327</v>
      </c>
      <c r="T35">
        <v>300</v>
      </c>
      <c r="U35">
        <v>309</v>
      </c>
      <c r="V35">
        <v>348</v>
      </c>
      <c r="W35">
        <v>400</v>
      </c>
      <c r="X35">
        <v>437</v>
      </c>
      <c r="Y35">
        <v>489</v>
      </c>
      <c r="Z35">
        <v>520</v>
      </c>
      <c r="AA35">
        <v>574</v>
      </c>
      <c r="AB35">
        <v>608</v>
      </c>
      <c r="AC35">
        <v>679</v>
      </c>
      <c r="AD35">
        <v>691</v>
      </c>
      <c r="AE35">
        <v>720</v>
      </c>
    </row>
    <row r="36" spans="1:31" x14ac:dyDescent="0.3">
      <c r="A36" t="s">
        <v>282</v>
      </c>
      <c r="B36" t="s">
        <v>190</v>
      </c>
      <c r="C36" t="s">
        <v>0</v>
      </c>
      <c r="D36" t="s">
        <v>191</v>
      </c>
      <c r="E36" t="s">
        <v>123</v>
      </c>
      <c r="F36">
        <v>14</v>
      </c>
      <c r="G36">
        <v>16</v>
      </c>
      <c r="H36">
        <v>23</v>
      </c>
      <c r="I36">
        <v>27</v>
      </c>
      <c r="J36">
        <v>26</v>
      </c>
      <c r="K36">
        <v>27</v>
      </c>
      <c r="L36">
        <v>29</v>
      </c>
      <c r="M36">
        <v>29</v>
      </c>
      <c r="N36">
        <v>30</v>
      </c>
      <c r="O36">
        <v>29</v>
      </c>
      <c r="P36">
        <v>29</v>
      </c>
      <c r="Q36">
        <v>32</v>
      </c>
      <c r="R36">
        <v>36</v>
      </c>
      <c r="S36">
        <v>35</v>
      </c>
      <c r="T36">
        <v>36</v>
      </c>
      <c r="U36">
        <v>40</v>
      </c>
      <c r="V36">
        <v>40</v>
      </c>
      <c r="W36">
        <v>42</v>
      </c>
      <c r="X36">
        <v>40</v>
      </c>
      <c r="Y36">
        <v>39</v>
      </c>
      <c r="Z36">
        <v>36</v>
      </c>
      <c r="AA36">
        <v>36</v>
      </c>
      <c r="AB36">
        <v>36</v>
      </c>
      <c r="AC36">
        <v>36</v>
      </c>
      <c r="AD36">
        <v>35</v>
      </c>
      <c r="AE36">
        <v>32</v>
      </c>
    </row>
    <row r="37" spans="1:31" x14ac:dyDescent="0.3">
      <c r="A37" t="s">
        <v>282</v>
      </c>
      <c r="B37" t="s">
        <v>192</v>
      </c>
      <c r="C37" t="s">
        <v>0</v>
      </c>
      <c r="D37" t="s">
        <v>193</v>
      </c>
      <c r="E37" t="s">
        <v>123</v>
      </c>
      <c r="F37">
        <v>47</v>
      </c>
      <c r="G37">
        <v>61</v>
      </c>
      <c r="H37">
        <v>80</v>
      </c>
      <c r="I37">
        <v>101</v>
      </c>
      <c r="J37">
        <v>130</v>
      </c>
      <c r="K37">
        <v>147</v>
      </c>
      <c r="L37">
        <v>165</v>
      </c>
      <c r="M37">
        <v>164</v>
      </c>
      <c r="N37">
        <v>159</v>
      </c>
      <c r="O37">
        <v>202</v>
      </c>
      <c r="P37">
        <v>213</v>
      </c>
      <c r="Q37">
        <v>223</v>
      </c>
      <c r="R37">
        <v>219</v>
      </c>
      <c r="S37">
        <v>214</v>
      </c>
      <c r="T37">
        <v>192</v>
      </c>
      <c r="U37">
        <v>196</v>
      </c>
      <c r="V37">
        <v>238</v>
      </c>
      <c r="W37">
        <v>286</v>
      </c>
      <c r="X37">
        <v>319</v>
      </c>
      <c r="Y37">
        <v>360</v>
      </c>
      <c r="Z37">
        <v>378</v>
      </c>
      <c r="AA37">
        <v>419</v>
      </c>
      <c r="AB37">
        <v>435</v>
      </c>
      <c r="AC37">
        <v>486</v>
      </c>
      <c r="AD37">
        <v>507</v>
      </c>
      <c r="AE37">
        <v>547</v>
      </c>
    </row>
    <row r="38" spans="1:31" x14ac:dyDescent="0.3">
      <c r="A38" t="s">
        <v>282</v>
      </c>
      <c r="B38" t="s">
        <v>194</v>
      </c>
      <c r="C38" t="s">
        <v>0</v>
      </c>
      <c r="D38" t="s">
        <v>195</v>
      </c>
      <c r="E38" t="s">
        <v>123</v>
      </c>
      <c r="F38">
        <v>14</v>
      </c>
      <c r="G38">
        <v>16</v>
      </c>
      <c r="H38">
        <v>17</v>
      </c>
      <c r="I38">
        <v>18</v>
      </c>
      <c r="J38">
        <v>23</v>
      </c>
      <c r="K38">
        <v>25</v>
      </c>
      <c r="L38">
        <v>29</v>
      </c>
      <c r="M38">
        <v>29</v>
      </c>
      <c r="N38">
        <v>31</v>
      </c>
      <c r="O38">
        <v>42</v>
      </c>
      <c r="P38">
        <v>43</v>
      </c>
      <c r="Q38">
        <v>58</v>
      </c>
      <c r="R38">
        <v>74</v>
      </c>
      <c r="S38">
        <v>78</v>
      </c>
      <c r="T38">
        <v>72</v>
      </c>
      <c r="U38">
        <v>73</v>
      </c>
      <c r="V38">
        <v>70</v>
      </c>
      <c r="W38">
        <v>72</v>
      </c>
      <c r="X38">
        <v>78</v>
      </c>
      <c r="Y38">
        <v>90</v>
      </c>
      <c r="Z38">
        <v>106</v>
      </c>
      <c r="AA38">
        <v>119</v>
      </c>
      <c r="AB38">
        <v>137</v>
      </c>
      <c r="AC38">
        <v>157</v>
      </c>
      <c r="AD38">
        <v>149</v>
      </c>
      <c r="AE38">
        <v>141</v>
      </c>
    </row>
    <row r="39" spans="1:31" x14ac:dyDescent="0.3">
      <c r="A39" t="s">
        <v>282</v>
      </c>
      <c r="B39" t="s">
        <v>196</v>
      </c>
      <c r="C39" t="s">
        <v>0</v>
      </c>
      <c r="D39" t="s">
        <v>197</v>
      </c>
      <c r="E39" t="s">
        <v>123</v>
      </c>
      <c r="F39">
        <v>29</v>
      </c>
      <c r="G39">
        <v>31</v>
      </c>
      <c r="H39">
        <v>30</v>
      </c>
      <c r="I39">
        <v>29</v>
      </c>
      <c r="J39">
        <v>29</v>
      </c>
      <c r="K39">
        <v>32</v>
      </c>
      <c r="L39">
        <v>31</v>
      </c>
      <c r="M39">
        <v>33</v>
      </c>
      <c r="N39">
        <v>34</v>
      </c>
      <c r="O39">
        <v>33</v>
      </c>
      <c r="P39">
        <v>34</v>
      </c>
      <c r="Q39">
        <v>38</v>
      </c>
      <c r="R39">
        <v>49</v>
      </c>
      <c r="S39">
        <v>57</v>
      </c>
      <c r="T39">
        <v>57</v>
      </c>
      <c r="U39">
        <v>55</v>
      </c>
      <c r="V39">
        <v>50</v>
      </c>
      <c r="W39">
        <v>46</v>
      </c>
      <c r="X39">
        <v>46</v>
      </c>
      <c r="Y39">
        <v>45</v>
      </c>
      <c r="Z39">
        <v>39</v>
      </c>
      <c r="AA39">
        <v>38</v>
      </c>
      <c r="AB39">
        <v>84</v>
      </c>
      <c r="AC39">
        <v>101</v>
      </c>
      <c r="AD39">
        <v>130</v>
      </c>
      <c r="AE39">
        <v>150</v>
      </c>
    </row>
    <row r="40" spans="1:31" x14ac:dyDescent="0.3">
      <c r="A40" t="s">
        <v>282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1</v>
      </c>
      <c r="J40">
        <v>2</v>
      </c>
      <c r="K40">
        <v>5</v>
      </c>
      <c r="L40">
        <v>6</v>
      </c>
      <c r="M40">
        <v>7</v>
      </c>
      <c r="N40">
        <v>10</v>
      </c>
      <c r="O40">
        <v>13</v>
      </c>
      <c r="P40">
        <v>17</v>
      </c>
      <c r="Q40">
        <v>21</v>
      </c>
      <c r="R40">
        <v>24</v>
      </c>
      <c r="S40">
        <v>34</v>
      </c>
      <c r="T40">
        <v>35</v>
      </c>
      <c r="U40">
        <v>32</v>
      </c>
      <c r="V40">
        <v>27</v>
      </c>
      <c r="W40">
        <v>23</v>
      </c>
      <c r="X40">
        <v>24</v>
      </c>
      <c r="Y40">
        <v>26</v>
      </c>
      <c r="Z40">
        <v>27</v>
      </c>
      <c r="AA40">
        <v>27</v>
      </c>
      <c r="AB40">
        <v>29</v>
      </c>
      <c r="AC40">
        <v>30</v>
      </c>
      <c r="AD40">
        <v>28</v>
      </c>
      <c r="AE40">
        <v>28</v>
      </c>
    </row>
    <row r="41" spans="1:31" x14ac:dyDescent="0.3">
      <c r="A41" t="s">
        <v>282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282</v>
      </c>
      <c r="B42" t="s">
        <v>202</v>
      </c>
      <c r="C42" t="s">
        <v>0</v>
      </c>
      <c r="D42" t="s">
        <v>203</v>
      </c>
      <c r="E42" t="s">
        <v>123</v>
      </c>
      <c r="F42">
        <v>22</v>
      </c>
      <c r="G42">
        <v>31</v>
      </c>
      <c r="H42">
        <v>39</v>
      </c>
      <c r="I42">
        <v>48</v>
      </c>
      <c r="J42">
        <v>61</v>
      </c>
      <c r="K42">
        <v>70</v>
      </c>
      <c r="L42">
        <v>79</v>
      </c>
      <c r="M42">
        <v>78</v>
      </c>
      <c r="N42">
        <v>89</v>
      </c>
      <c r="O42">
        <v>96</v>
      </c>
      <c r="P42">
        <v>99</v>
      </c>
      <c r="Q42">
        <v>109</v>
      </c>
      <c r="R42">
        <v>119</v>
      </c>
      <c r="S42">
        <v>129</v>
      </c>
      <c r="T42">
        <v>114</v>
      </c>
      <c r="U42">
        <v>111</v>
      </c>
      <c r="V42">
        <v>106</v>
      </c>
      <c r="W42">
        <v>100</v>
      </c>
      <c r="X42">
        <v>102</v>
      </c>
      <c r="Y42">
        <v>102</v>
      </c>
      <c r="Z42">
        <v>93</v>
      </c>
      <c r="AA42">
        <v>95</v>
      </c>
      <c r="AB42">
        <v>95</v>
      </c>
      <c r="AC42">
        <v>94</v>
      </c>
      <c r="AD42">
        <v>91</v>
      </c>
      <c r="AE42">
        <v>89</v>
      </c>
    </row>
    <row r="43" spans="1:31" x14ac:dyDescent="0.3">
      <c r="A43" t="s">
        <v>282</v>
      </c>
      <c r="B43" t="s">
        <v>204</v>
      </c>
      <c r="C43" t="s">
        <v>0</v>
      </c>
      <c r="D43" t="s">
        <v>205</v>
      </c>
      <c r="E43" t="s">
        <v>123</v>
      </c>
      <c r="F43">
        <v>30</v>
      </c>
      <c r="G43">
        <v>44</v>
      </c>
      <c r="H43">
        <v>58</v>
      </c>
      <c r="I43">
        <v>74</v>
      </c>
      <c r="J43">
        <v>94</v>
      </c>
      <c r="K43">
        <v>110</v>
      </c>
      <c r="L43">
        <v>124</v>
      </c>
      <c r="M43">
        <v>122</v>
      </c>
      <c r="N43">
        <v>145</v>
      </c>
      <c r="O43">
        <v>161</v>
      </c>
      <c r="P43">
        <v>173</v>
      </c>
      <c r="Q43">
        <v>192</v>
      </c>
      <c r="R43">
        <v>216</v>
      </c>
      <c r="S43">
        <v>239</v>
      </c>
      <c r="T43">
        <v>228</v>
      </c>
      <c r="U43">
        <v>230</v>
      </c>
      <c r="V43">
        <v>224</v>
      </c>
      <c r="W43">
        <v>223</v>
      </c>
      <c r="X43">
        <v>228</v>
      </c>
      <c r="Y43">
        <v>232</v>
      </c>
      <c r="Z43">
        <v>215</v>
      </c>
      <c r="AA43">
        <v>223</v>
      </c>
      <c r="AB43">
        <v>219</v>
      </c>
      <c r="AC43">
        <v>219</v>
      </c>
      <c r="AD43">
        <v>215</v>
      </c>
      <c r="AE43">
        <v>211</v>
      </c>
    </row>
    <row r="44" spans="1:31" x14ac:dyDescent="0.3">
      <c r="A44" t="s">
        <v>282</v>
      </c>
      <c r="B44" t="s">
        <v>206</v>
      </c>
      <c r="C44" t="s">
        <v>0</v>
      </c>
      <c r="D44" t="s">
        <v>207</v>
      </c>
      <c r="E44" t="s">
        <v>123</v>
      </c>
      <c r="F44">
        <v>614</v>
      </c>
      <c r="G44">
        <v>763</v>
      </c>
      <c r="H44">
        <v>969</v>
      </c>
      <c r="I44">
        <v>1193</v>
      </c>
      <c r="J44">
        <v>1429</v>
      </c>
      <c r="K44">
        <v>1557</v>
      </c>
      <c r="L44">
        <v>1727</v>
      </c>
      <c r="M44">
        <v>1692</v>
      </c>
      <c r="N44">
        <v>1849</v>
      </c>
      <c r="O44">
        <v>2060</v>
      </c>
      <c r="P44">
        <v>2109</v>
      </c>
      <c r="Q44">
        <v>2359</v>
      </c>
      <c r="R44">
        <v>2670</v>
      </c>
      <c r="S44">
        <v>2743</v>
      </c>
      <c r="T44">
        <v>2682</v>
      </c>
      <c r="U44">
        <v>2668</v>
      </c>
      <c r="V44">
        <v>2529</v>
      </c>
      <c r="W44">
        <v>2584</v>
      </c>
      <c r="X44">
        <v>2637</v>
      </c>
      <c r="Y44">
        <v>2769</v>
      </c>
      <c r="Z44">
        <v>2791</v>
      </c>
      <c r="AA44">
        <v>2954</v>
      </c>
      <c r="AB44">
        <v>3127</v>
      </c>
      <c r="AC44">
        <v>3240</v>
      </c>
      <c r="AD44">
        <v>3215</v>
      </c>
      <c r="AE44">
        <v>3252</v>
      </c>
    </row>
    <row r="45" spans="1:31" x14ac:dyDescent="0.3">
      <c r="A45" t="s">
        <v>282</v>
      </c>
      <c r="B45" t="s">
        <v>208</v>
      </c>
      <c r="C45" t="s">
        <v>0</v>
      </c>
      <c r="D45" t="s">
        <v>209</v>
      </c>
      <c r="E45" t="s">
        <v>123</v>
      </c>
      <c r="F45">
        <v>588</v>
      </c>
      <c r="G45">
        <v>732</v>
      </c>
      <c r="H45">
        <v>931</v>
      </c>
      <c r="I45">
        <v>1144</v>
      </c>
      <c r="J45">
        <v>1371</v>
      </c>
      <c r="K45">
        <v>1496</v>
      </c>
      <c r="L45">
        <v>1663</v>
      </c>
      <c r="M45">
        <v>1630</v>
      </c>
      <c r="N45">
        <v>1781</v>
      </c>
      <c r="O45">
        <v>1984</v>
      </c>
      <c r="P45">
        <v>2030</v>
      </c>
      <c r="Q45">
        <v>2282</v>
      </c>
      <c r="R45">
        <v>2594</v>
      </c>
      <c r="S45">
        <v>2676</v>
      </c>
      <c r="T45">
        <v>2619</v>
      </c>
      <c r="U45">
        <v>2607</v>
      </c>
      <c r="V45">
        <v>2476</v>
      </c>
      <c r="W45">
        <v>2531</v>
      </c>
      <c r="X45">
        <v>2584</v>
      </c>
      <c r="Y45">
        <v>2713</v>
      </c>
      <c r="Z45">
        <v>2736</v>
      </c>
      <c r="AA45">
        <v>2898</v>
      </c>
      <c r="AB45">
        <v>3070</v>
      </c>
      <c r="AC45">
        <v>3181</v>
      </c>
      <c r="AD45">
        <v>3161</v>
      </c>
      <c r="AE45">
        <v>3197</v>
      </c>
    </row>
    <row r="46" spans="1:31" x14ac:dyDescent="0.3">
      <c r="A46" t="s">
        <v>282</v>
      </c>
      <c r="B46" t="s">
        <v>210</v>
      </c>
      <c r="C46" t="s">
        <v>0</v>
      </c>
      <c r="D46" t="s">
        <v>211</v>
      </c>
      <c r="E46" t="s">
        <v>123</v>
      </c>
      <c r="F46">
        <v>8</v>
      </c>
      <c r="G46">
        <v>13</v>
      </c>
      <c r="H46">
        <v>19</v>
      </c>
      <c r="I46">
        <v>26</v>
      </c>
      <c r="J46">
        <v>33</v>
      </c>
      <c r="K46">
        <v>40</v>
      </c>
      <c r="L46">
        <v>45</v>
      </c>
      <c r="M46">
        <v>44</v>
      </c>
      <c r="N46">
        <v>56</v>
      </c>
      <c r="O46">
        <v>65</v>
      </c>
      <c r="P46">
        <v>74</v>
      </c>
      <c r="Q46">
        <v>83</v>
      </c>
      <c r="R46">
        <v>97</v>
      </c>
      <c r="S46">
        <v>110</v>
      </c>
      <c r="T46">
        <v>114</v>
      </c>
      <c r="U46">
        <v>119</v>
      </c>
      <c r="V46">
        <v>118</v>
      </c>
      <c r="W46">
        <v>123</v>
      </c>
      <c r="X46">
        <v>126</v>
      </c>
      <c r="Y46">
        <v>130</v>
      </c>
      <c r="Z46">
        <v>122</v>
      </c>
      <c r="AA46">
        <v>128</v>
      </c>
      <c r="AB46">
        <v>124</v>
      </c>
      <c r="AC46">
        <v>125</v>
      </c>
      <c r="AD46">
        <v>124</v>
      </c>
      <c r="AE46">
        <v>122</v>
      </c>
    </row>
    <row r="47" spans="1:31" x14ac:dyDescent="0.3">
      <c r="A47" t="s">
        <v>282</v>
      </c>
      <c r="B47" t="s">
        <v>212</v>
      </c>
      <c r="C47" t="s">
        <v>0</v>
      </c>
      <c r="D47" t="s">
        <v>213</v>
      </c>
      <c r="E47" t="s">
        <v>123</v>
      </c>
      <c r="F47">
        <v>30</v>
      </c>
      <c r="G47">
        <v>37</v>
      </c>
      <c r="H47">
        <v>47</v>
      </c>
      <c r="I47">
        <v>60</v>
      </c>
      <c r="J47">
        <v>77</v>
      </c>
      <c r="K47">
        <v>88</v>
      </c>
      <c r="L47">
        <v>101</v>
      </c>
      <c r="M47">
        <v>102</v>
      </c>
      <c r="N47">
        <v>114</v>
      </c>
      <c r="O47">
        <v>129</v>
      </c>
      <c r="P47">
        <v>132</v>
      </c>
      <c r="Q47">
        <v>124</v>
      </c>
      <c r="R47">
        <v>118</v>
      </c>
      <c r="S47">
        <v>105</v>
      </c>
      <c r="T47">
        <v>93</v>
      </c>
      <c r="U47">
        <v>84</v>
      </c>
      <c r="V47">
        <v>68</v>
      </c>
      <c r="W47">
        <v>66</v>
      </c>
      <c r="X47">
        <v>62</v>
      </c>
      <c r="Y47">
        <v>60</v>
      </c>
      <c r="Z47">
        <v>58</v>
      </c>
      <c r="AA47">
        <v>58</v>
      </c>
      <c r="AB47">
        <v>59</v>
      </c>
      <c r="AC47">
        <v>58</v>
      </c>
      <c r="AD47">
        <v>50</v>
      </c>
      <c r="AE47">
        <v>49</v>
      </c>
    </row>
    <row r="48" spans="1:31" x14ac:dyDescent="0.3">
      <c r="A48" t="s">
        <v>282</v>
      </c>
      <c r="B48" t="s">
        <v>214</v>
      </c>
      <c r="C48" t="s">
        <v>0</v>
      </c>
      <c r="D48" t="s">
        <v>215</v>
      </c>
      <c r="E48" t="s">
        <v>123</v>
      </c>
      <c r="F48">
        <v>83</v>
      </c>
      <c r="G48">
        <v>102</v>
      </c>
      <c r="H48">
        <v>132</v>
      </c>
      <c r="I48">
        <v>167</v>
      </c>
      <c r="J48">
        <v>214</v>
      </c>
      <c r="K48">
        <v>240</v>
      </c>
      <c r="L48">
        <v>276</v>
      </c>
      <c r="M48">
        <v>279</v>
      </c>
      <c r="N48">
        <v>317</v>
      </c>
      <c r="O48">
        <v>364</v>
      </c>
      <c r="P48">
        <v>383</v>
      </c>
      <c r="Q48">
        <v>371</v>
      </c>
      <c r="R48">
        <v>359</v>
      </c>
      <c r="S48">
        <v>321</v>
      </c>
      <c r="T48">
        <v>300</v>
      </c>
      <c r="U48">
        <v>280</v>
      </c>
      <c r="V48">
        <v>243</v>
      </c>
      <c r="W48">
        <v>237</v>
      </c>
      <c r="X48">
        <v>232</v>
      </c>
      <c r="Y48">
        <v>236</v>
      </c>
      <c r="Z48">
        <v>226</v>
      </c>
      <c r="AA48">
        <v>227</v>
      </c>
      <c r="AB48">
        <v>223</v>
      </c>
      <c r="AC48">
        <v>221</v>
      </c>
      <c r="AD48">
        <v>201</v>
      </c>
      <c r="AE48">
        <v>198</v>
      </c>
    </row>
    <row r="49" spans="1:31" x14ac:dyDescent="0.3">
      <c r="A49" t="s">
        <v>282</v>
      </c>
      <c r="B49" t="s">
        <v>216</v>
      </c>
      <c r="C49" t="s">
        <v>0</v>
      </c>
      <c r="D49" t="s">
        <v>217</v>
      </c>
      <c r="E49" t="s">
        <v>123</v>
      </c>
      <c r="F49">
        <v>21</v>
      </c>
      <c r="G49">
        <v>26</v>
      </c>
      <c r="H49">
        <v>34</v>
      </c>
      <c r="I49">
        <v>43</v>
      </c>
      <c r="J49">
        <v>54</v>
      </c>
      <c r="K49">
        <v>58</v>
      </c>
      <c r="L49">
        <v>67</v>
      </c>
      <c r="M49">
        <v>66</v>
      </c>
      <c r="N49">
        <v>74</v>
      </c>
      <c r="O49">
        <v>83</v>
      </c>
      <c r="P49">
        <v>84</v>
      </c>
      <c r="Q49">
        <v>87</v>
      </c>
      <c r="R49">
        <v>87</v>
      </c>
      <c r="S49">
        <v>81</v>
      </c>
      <c r="T49">
        <v>71</v>
      </c>
      <c r="U49">
        <v>65</v>
      </c>
      <c r="V49">
        <v>55</v>
      </c>
      <c r="W49">
        <v>54</v>
      </c>
      <c r="X49">
        <v>52</v>
      </c>
      <c r="Y49">
        <v>53</v>
      </c>
      <c r="Z49">
        <v>52</v>
      </c>
      <c r="AA49">
        <v>53</v>
      </c>
      <c r="AB49">
        <v>55</v>
      </c>
      <c r="AC49">
        <v>60</v>
      </c>
      <c r="AD49">
        <v>52</v>
      </c>
      <c r="AE49">
        <v>53</v>
      </c>
    </row>
    <row r="50" spans="1:31" x14ac:dyDescent="0.3">
      <c r="A50" t="s">
        <v>282</v>
      </c>
      <c r="B50" t="s">
        <v>218</v>
      </c>
      <c r="C50" t="s">
        <v>0</v>
      </c>
      <c r="D50" t="s">
        <v>219</v>
      </c>
      <c r="E50" t="s">
        <v>123</v>
      </c>
      <c r="F50">
        <v>32</v>
      </c>
      <c r="G50">
        <v>39</v>
      </c>
      <c r="H50">
        <v>51</v>
      </c>
      <c r="I50">
        <v>64</v>
      </c>
      <c r="J50">
        <v>83</v>
      </c>
      <c r="K50">
        <v>94</v>
      </c>
      <c r="L50">
        <v>108</v>
      </c>
      <c r="M50">
        <v>111</v>
      </c>
      <c r="N50">
        <v>129</v>
      </c>
      <c r="O50">
        <v>152</v>
      </c>
      <c r="P50">
        <v>167</v>
      </c>
      <c r="Q50">
        <v>160</v>
      </c>
      <c r="R50">
        <v>154</v>
      </c>
      <c r="S50">
        <v>135</v>
      </c>
      <c r="T50">
        <v>136</v>
      </c>
      <c r="U50">
        <v>131</v>
      </c>
      <c r="V50">
        <v>120</v>
      </c>
      <c r="W50">
        <v>117</v>
      </c>
      <c r="X50">
        <v>118</v>
      </c>
      <c r="Y50">
        <v>123</v>
      </c>
      <c r="Z50">
        <v>116</v>
      </c>
      <c r="AA50">
        <v>116</v>
      </c>
      <c r="AB50">
        <v>109</v>
      </c>
      <c r="AC50">
        <v>103</v>
      </c>
      <c r="AD50">
        <v>99</v>
      </c>
      <c r="AE50">
        <v>96</v>
      </c>
    </row>
    <row r="51" spans="1:31" x14ac:dyDescent="0.3">
      <c r="A51" t="s">
        <v>282</v>
      </c>
      <c r="B51" t="s">
        <v>220</v>
      </c>
      <c r="C51" t="s">
        <v>0</v>
      </c>
      <c r="D51" t="s">
        <v>221</v>
      </c>
      <c r="E51" t="s">
        <v>123</v>
      </c>
      <c r="F51">
        <v>32</v>
      </c>
      <c r="G51">
        <v>39</v>
      </c>
      <c r="H51">
        <v>50</v>
      </c>
      <c r="I51">
        <v>62</v>
      </c>
      <c r="J51">
        <v>80</v>
      </c>
      <c r="K51">
        <v>92</v>
      </c>
      <c r="L51">
        <v>105</v>
      </c>
      <c r="M51">
        <v>108</v>
      </c>
      <c r="N51">
        <v>125</v>
      </c>
      <c r="O51">
        <v>145</v>
      </c>
      <c r="P51">
        <v>158</v>
      </c>
      <c r="Q51">
        <v>153</v>
      </c>
      <c r="R51">
        <v>147</v>
      </c>
      <c r="S51">
        <v>131</v>
      </c>
      <c r="T51">
        <v>131</v>
      </c>
      <c r="U51">
        <v>126</v>
      </c>
      <c r="V51">
        <v>116</v>
      </c>
      <c r="W51">
        <v>112</v>
      </c>
      <c r="X51">
        <v>112</v>
      </c>
      <c r="Y51">
        <v>116</v>
      </c>
      <c r="Z51">
        <v>109</v>
      </c>
      <c r="AA51">
        <v>106</v>
      </c>
      <c r="AB51">
        <v>100</v>
      </c>
      <c r="AC51">
        <v>94</v>
      </c>
      <c r="AD51">
        <v>89</v>
      </c>
      <c r="AE51">
        <v>85</v>
      </c>
    </row>
    <row r="52" spans="1:31" x14ac:dyDescent="0.3">
      <c r="A52" t="s">
        <v>282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1</v>
      </c>
      <c r="I52">
        <v>2</v>
      </c>
      <c r="J52">
        <v>3</v>
      </c>
      <c r="K52">
        <v>2</v>
      </c>
      <c r="L52">
        <v>3</v>
      </c>
      <c r="M52">
        <v>3</v>
      </c>
      <c r="N52">
        <v>4</v>
      </c>
      <c r="O52">
        <v>7</v>
      </c>
      <c r="P52">
        <v>9</v>
      </c>
      <c r="Q52">
        <v>7</v>
      </c>
      <c r="R52">
        <v>7</v>
      </c>
      <c r="S52">
        <v>4</v>
      </c>
      <c r="T52">
        <v>5</v>
      </c>
      <c r="U52">
        <v>5</v>
      </c>
      <c r="V52">
        <v>4</v>
      </c>
      <c r="W52">
        <v>5</v>
      </c>
      <c r="X52">
        <v>6</v>
      </c>
      <c r="Y52">
        <v>7</v>
      </c>
      <c r="Z52">
        <v>7</v>
      </c>
      <c r="AA52">
        <v>10</v>
      </c>
      <c r="AB52">
        <v>9</v>
      </c>
      <c r="AC52">
        <v>9</v>
      </c>
      <c r="AD52">
        <v>10</v>
      </c>
      <c r="AE52">
        <v>11</v>
      </c>
    </row>
    <row r="53" spans="1:31" x14ac:dyDescent="0.3">
      <c r="A53" t="s">
        <v>282</v>
      </c>
      <c r="B53" t="s">
        <v>224</v>
      </c>
      <c r="C53" t="s">
        <v>0</v>
      </c>
      <c r="D53" t="s">
        <v>225</v>
      </c>
      <c r="E53" t="s">
        <v>123</v>
      </c>
      <c r="F53">
        <v>14</v>
      </c>
      <c r="G53">
        <v>18</v>
      </c>
      <c r="H53">
        <v>26</v>
      </c>
      <c r="I53">
        <v>33</v>
      </c>
      <c r="J53">
        <v>30</v>
      </c>
      <c r="K53">
        <v>36</v>
      </c>
      <c r="L53">
        <v>42</v>
      </c>
      <c r="M53">
        <v>42</v>
      </c>
      <c r="N53">
        <v>49</v>
      </c>
      <c r="O53">
        <v>57</v>
      </c>
      <c r="P53">
        <v>60</v>
      </c>
      <c r="Q53">
        <v>67</v>
      </c>
      <c r="R53">
        <v>76</v>
      </c>
      <c r="S53">
        <v>74</v>
      </c>
      <c r="T53">
        <v>77</v>
      </c>
      <c r="U53">
        <v>74</v>
      </c>
      <c r="V53">
        <v>74</v>
      </c>
      <c r="W53">
        <v>77</v>
      </c>
      <c r="X53">
        <v>84</v>
      </c>
      <c r="Y53">
        <v>89</v>
      </c>
      <c r="Z53">
        <v>90</v>
      </c>
      <c r="AA53">
        <v>94</v>
      </c>
      <c r="AB53">
        <v>97</v>
      </c>
      <c r="AC53">
        <v>95</v>
      </c>
      <c r="AD53">
        <v>93</v>
      </c>
      <c r="AE53">
        <v>87</v>
      </c>
    </row>
    <row r="54" spans="1:31" x14ac:dyDescent="0.3">
      <c r="A54" t="s">
        <v>282</v>
      </c>
      <c r="B54" t="s">
        <v>226</v>
      </c>
      <c r="C54" t="s">
        <v>0</v>
      </c>
      <c r="D54" t="s">
        <v>227</v>
      </c>
      <c r="E54" t="s">
        <v>123</v>
      </c>
      <c r="F54">
        <v>16</v>
      </c>
      <c r="G54">
        <v>21</v>
      </c>
      <c r="H54">
        <v>30</v>
      </c>
      <c r="I54">
        <v>37</v>
      </c>
      <c r="J54">
        <v>37</v>
      </c>
      <c r="K54">
        <v>44</v>
      </c>
      <c r="L54">
        <v>51</v>
      </c>
      <c r="M54">
        <v>50</v>
      </c>
      <c r="N54">
        <v>61</v>
      </c>
      <c r="O54">
        <v>73</v>
      </c>
      <c r="P54">
        <v>77</v>
      </c>
      <c r="Q54">
        <v>87</v>
      </c>
      <c r="R54">
        <v>100</v>
      </c>
      <c r="S54">
        <v>99</v>
      </c>
      <c r="T54">
        <v>103</v>
      </c>
      <c r="U54">
        <v>103</v>
      </c>
      <c r="V54">
        <v>105</v>
      </c>
      <c r="W54">
        <v>113</v>
      </c>
      <c r="X54">
        <v>124</v>
      </c>
      <c r="Y54">
        <v>133</v>
      </c>
      <c r="Z54">
        <v>136</v>
      </c>
      <c r="AA54">
        <v>143</v>
      </c>
      <c r="AB54">
        <v>149</v>
      </c>
      <c r="AC54">
        <v>148</v>
      </c>
      <c r="AD54">
        <v>146</v>
      </c>
      <c r="AE54">
        <v>139</v>
      </c>
    </row>
    <row r="55" spans="1:31" x14ac:dyDescent="0.3">
      <c r="A55" t="s">
        <v>282</v>
      </c>
      <c r="B55" t="s">
        <v>228</v>
      </c>
      <c r="C55" t="s">
        <v>0</v>
      </c>
      <c r="D55" t="s">
        <v>229</v>
      </c>
      <c r="E55" t="s">
        <v>123</v>
      </c>
      <c r="F55">
        <v>2</v>
      </c>
      <c r="G55">
        <v>3</v>
      </c>
      <c r="H55">
        <v>4</v>
      </c>
      <c r="I55">
        <v>4</v>
      </c>
      <c r="J55">
        <v>7</v>
      </c>
      <c r="K55">
        <v>8</v>
      </c>
      <c r="L55">
        <v>9</v>
      </c>
      <c r="M55">
        <v>8</v>
      </c>
      <c r="N55">
        <v>12</v>
      </c>
      <c r="O55">
        <v>16</v>
      </c>
      <c r="P55">
        <v>17</v>
      </c>
      <c r="Q55">
        <v>20</v>
      </c>
      <c r="R55">
        <v>24</v>
      </c>
      <c r="S55">
        <v>25</v>
      </c>
      <c r="T55">
        <v>26</v>
      </c>
      <c r="U55">
        <v>29</v>
      </c>
      <c r="V55">
        <v>31</v>
      </c>
      <c r="W55">
        <v>36</v>
      </c>
      <c r="X55">
        <v>40</v>
      </c>
      <c r="Y55">
        <v>44</v>
      </c>
      <c r="Z55">
        <v>46</v>
      </c>
      <c r="AA55">
        <v>49</v>
      </c>
      <c r="AB55">
        <v>52</v>
      </c>
      <c r="AC55">
        <v>53</v>
      </c>
      <c r="AD55">
        <v>53</v>
      </c>
      <c r="AE55">
        <v>52</v>
      </c>
    </row>
    <row r="56" spans="1:31" x14ac:dyDescent="0.3">
      <c r="A56" t="s">
        <v>282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282</v>
      </c>
      <c r="B57" t="s">
        <v>232</v>
      </c>
      <c r="C57" t="s">
        <v>0</v>
      </c>
      <c r="D57" t="s">
        <v>233</v>
      </c>
      <c r="E57" t="s">
        <v>123</v>
      </c>
      <c r="F57">
        <v>697</v>
      </c>
      <c r="G57">
        <v>865</v>
      </c>
      <c r="H57">
        <v>1101</v>
      </c>
      <c r="I57">
        <v>1361</v>
      </c>
      <c r="J57">
        <v>1645</v>
      </c>
      <c r="K57">
        <v>1802</v>
      </c>
      <c r="L57">
        <v>2009</v>
      </c>
      <c r="M57">
        <v>1978</v>
      </c>
      <c r="N57">
        <v>2176</v>
      </c>
      <c r="O57">
        <v>2437</v>
      </c>
      <c r="P57">
        <v>2509</v>
      </c>
      <c r="Q57">
        <v>2751</v>
      </c>
      <c r="R57">
        <v>3053</v>
      </c>
      <c r="S57">
        <v>3098</v>
      </c>
      <c r="T57">
        <v>3017</v>
      </c>
      <c r="U57">
        <v>2980</v>
      </c>
      <c r="V57">
        <v>2799</v>
      </c>
      <c r="W57">
        <v>2844</v>
      </c>
      <c r="X57">
        <v>2893</v>
      </c>
      <c r="Y57">
        <v>3031</v>
      </c>
      <c r="Z57">
        <v>3044</v>
      </c>
      <c r="AA57">
        <v>3208</v>
      </c>
      <c r="AB57">
        <v>3379</v>
      </c>
      <c r="AC57">
        <v>3491</v>
      </c>
      <c r="AD57">
        <v>3444</v>
      </c>
      <c r="AE57">
        <v>3478</v>
      </c>
    </row>
    <row r="58" spans="1:31" x14ac:dyDescent="0.3">
      <c r="A58" t="s">
        <v>282</v>
      </c>
      <c r="B58" t="s">
        <v>234</v>
      </c>
      <c r="C58" t="s">
        <v>0</v>
      </c>
      <c r="D58" t="s">
        <v>235</v>
      </c>
      <c r="E58" t="s">
        <v>123</v>
      </c>
      <c r="F58">
        <v>697</v>
      </c>
      <c r="G58">
        <v>865</v>
      </c>
      <c r="H58">
        <v>1101</v>
      </c>
      <c r="I58">
        <v>1361</v>
      </c>
      <c r="J58">
        <v>1645</v>
      </c>
      <c r="K58">
        <v>1802</v>
      </c>
      <c r="L58">
        <v>2009</v>
      </c>
      <c r="M58">
        <v>1978</v>
      </c>
      <c r="N58">
        <v>2176</v>
      </c>
      <c r="O58">
        <v>2437</v>
      </c>
      <c r="P58">
        <v>2509</v>
      </c>
      <c r="Q58">
        <v>2751</v>
      </c>
      <c r="R58">
        <v>3053</v>
      </c>
      <c r="S58">
        <v>3098</v>
      </c>
      <c r="T58">
        <v>3017</v>
      </c>
      <c r="U58">
        <v>2980</v>
      </c>
      <c r="V58">
        <v>2799</v>
      </c>
      <c r="W58">
        <v>2844</v>
      </c>
      <c r="X58">
        <v>2893</v>
      </c>
      <c r="Y58">
        <v>3031</v>
      </c>
      <c r="Z58">
        <v>3044</v>
      </c>
      <c r="AA58">
        <v>3208</v>
      </c>
      <c r="AB58">
        <v>3379</v>
      </c>
      <c r="AC58">
        <v>3491</v>
      </c>
      <c r="AD58">
        <v>3444</v>
      </c>
      <c r="AE58">
        <v>3478</v>
      </c>
    </row>
    <row r="59" spans="1:31" x14ac:dyDescent="0.3">
      <c r="A59" t="s">
        <v>282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283</v>
      </c>
      <c r="B2" t="s">
        <v>121</v>
      </c>
      <c r="C2" t="s">
        <v>0</v>
      </c>
      <c r="D2" t="s">
        <v>122</v>
      </c>
      <c r="E2" t="s">
        <v>123</v>
      </c>
      <c r="F2">
        <v>3</v>
      </c>
      <c r="G2">
        <v>3</v>
      </c>
      <c r="H2">
        <v>3</v>
      </c>
      <c r="I2">
        <v>3</v>
      </c>
      <c r="J2">
        <v>4</v>
      </c>
      <c r="K2">
        <v>5</v>
      </c>
      <c r="L2">
        <v>5</v>
      </c>
      <c r="M2">
        <v>5</v>
      </c>
      <c r="N2">
        <v>6</v>
      </c>
      <c r="O2">
        <v>6</v>
      </c>
      <c r="P2">
        <v>7</v>
      </c>
      <c r="Q2">
        <v>9</v>
      </c>
      <c r="R2">
        <v>9</v>
      </c>
      <c r="S2">
        <v>9</v>
      </c>
      <c r="T2">
        <v>10</v>
      </c>
      <c r="U2">
        <v>11</v>
      </c>
      <c r="V2">
        <v>11</v>
      </c>
      <c r="W2">
        <v>10</v>
      </c>
      <c r="X2">
        <v>11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1" x14ac:dyDescent="0.3">
      <c r="A3" t="s">
        <v>283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3</v>
      </c>
      <c r="Q3">
        <v>3</v>
      </c>
      <c r="R3">
        <v>3</v>
      </c>
      <c r="S3">
        <v>3</v>
      </c>
      <c r="T3">
        <v>7</v>
      </c>
      <c r="U3">
        <v>11</v>
      </c>
      <c r="V3">
        <v>10</v>
      </c>
      <c r="W3">
        <v>9</v>
      </c>
      <c r="X3">
        <v>7</v>
      </c>
      <c r="Y3">
        <v>4</v>
      </c>
      <c r="Z3">
        <v>4</v>
      </c>
      <c r="AA3">
        <v>4</v>
      </c>
      <c r="AB3">
        <v>6</v>
      </c>
      <c r="AC3">
        <v>7</v>
      </c>
      <c r="AD3">
        <v>8</v>
      </c>
      <c r="AE3">
        <v>10</v>
      </c>
    </row>
    <row r="4" spans="1:31" x14ac:dyDescent="0.3">
      <c r="A4" t="s">
        <v>283</v>
      </c>
      <c r="B4" t="s">
        <v>126</v>
      </c>
      <c r="C4" t="s">
        <v>0</v>
      </c>
      <c r="D4" t="s">
        <v>127</v>
      </c>
      <c r="E4" t="s">
        <v>123</v>
      </c>
      <c r="F4">
        <v>364</v>
      </c>
      <c r="G4">
        <v>356</v>
      </c>
      <c r="H4">
        <v>399</v>
      </c>
      <c r="I4">
        <v>489</v>
      </c>
      <c r="J4">
        <v>567</v>
      </c>
      <c r="K4">
        <v>653</v>
      </c>
      <c r="L4">
        <v>777</v>
      </c>
      <c r="M4">
        <v>788</v>
      </c>
      <c r="N4">
        <v>880</v>
      </c>
      <c r="O4">
        <v>899</v>
      </c>
      <c r="P4">
        <v>1040</v>
      </c>
      <c r="Q4">
        <v>1164</v>
      </c>
      <c r="R4">
        <v>1259</v>
      </c>
      <c r="S4">
        <v>1306</v>
      </c>
      <c r="T4">
        <v>1413</v>
      </c>
      <c r="U4">
        <v>1475</v>
      </c>
      <c r="V4">
        <v>1525</v>
      </c>
      <c r="W4">
        <v>1581</v>
      </c>
      <c r="X4">
        <v>1527</v>
      </c>
      <c r="Y4">
        <v>1511</v>
      </c>
      <c r="Z4">
        <v>1480</v>
      </c>
      <c r="AA4">
        <v>1428</v>
      </c>
      <c r="AB4">
        <v>1455</v>
      </c>
      <c r="AC4">
        <v>1537</v>
      </c>
      <c r="AD4">
        <v>1610</v>
      </c>
      <c r="AE4">
        <v>1684</v>
      </c>
    </row>
    <row r="5" spans="1:31" x14ac:dyDescent="0.3">
      <c r="A5" t="s">
        <v>283</v>
      </c>
      <c r="B5" t="s">
        <v>128</v>
      </c>
      <c r="C5" t="s">
        <v>0</v>
      </c>
      <c r="D5" t="s">
        <v>129</v>
      </c>
      <c r="E5" t="s">
        <v>123</v>
      </c>
      <c r="F5">
        <v>19</v>
      </c>
      <c r="G5">
        <v>22</v>
      </c>
      <c r="H5">
        <v>24</v>
      </c>
      <c r="I5">
        <v>29</v>
      </c>
      <c r="J5">
        <v>38</v>
      </c>
      <c r="K5">
        <v>48</v>
      </c>
      <c r="L5">
        <v>51</v>
      </c>
      <c r="M5">
        <v>45</v>
      </c>
      <c r="N5">
        <v>58</v>
      </c>
      <c r="O5">
        <v>61</v>
      </c>
      <c r="P5">
        <v>72</v>
      </c>
      <c r="Q5">
        <v>73</v>
      </c>
      <c r="R5">
        <v>70</v>
      </c>
      <c r="S5">
        <v>69</v>
      </c>
      <c r="T5">
        <v>72</v>
      </c>
      <c r="U5">
        <v>78</v>
      </c>
      <c r="V5">
        <v>87</v>
      </c>
      <c r="W5">
        <v>94</v>
      </c>
      <c r="X5">
        <v>99</v>
      </c>
      <c r="Y5">
        <v>101</v>
      </c>
      <c r="Z5">
        <v>98</v>
      </c>
      <c r="AA5">
        <v>104</v>
      </c>
      <c r="AB5">
        <v>103</v>
      </c>
      <c r="AC5">
        <v>101</v>
      </c>
      <c r="AD5">
        <v>94</v>
      </c>
      <c r="AE5">
        <v>109</v>
      </c>
    </row>
    <row r="6" spans="1:31" x14ac:dyDescent="0.3">
      <c r="A6" t="s">
        <v>283</v>
      </c>
      <c r="B6" t="s">
        <v>130</v>
      </c>
      <c r="C6" t="s">
        <v>0</v>
      </c>
      <c r="D6" t="s">
        <v>131</v>
      </c>
      <c r="E6" t="s">
        <v>123</v>
      </c>
      <c r="F6">
        <v>2</v>
      </c>
      <c r="G6">
        <v>3</v>
      </c>
      <c r="H6">
        <v>3</v>
      </c>
      <c r="I6">
        <v>4</v>
      </c>
      <c r="J6">
        <v>3</v>
      </c>
      <c r="K6">
        <v>3</v>
      </c>
      <c r="L6">
        <v>3</v>
      </c>
      <c r="M6">
        <v>2</v>
      </c>
      <c r="N6">
        <v>4</v>
      </c>
      <c r="O6">
        <v>4</v>
      </c>
      <c r="P6">
        <v>6</v>
      </c>
      <c r="Q6">
        <v>6</v>
      </c>
      <c r="R6">
        <v>7</v>
      </c>
      <c r="S6">
        <v>6</v>
      </c>
      <c r="T6">
        <v>5</v>
      </c>
      <c r="U6">
        <v>5</v>
      </c>
      <c r="V6">
        <v>4</v>
      </c>
      <c r="W6">
        <v>6</v>
      </c>
      <c r="X6">
        <v>6</v>
      </c>
      <c r="Y6">
        <v>6</v>
      </c>
      <c r="Z6">
        <v>7</v>
      </c>
      <c r="AA6">
        <v>8</v>
      </c>
      <c r="AB6">
        <v>10</v>
      </c>
      <c r="AC6">
        <v>21</v>
      </c>
      <c r="AD6">
        <v>15</v>
      </c>
      <c r="AE6">
        <v>14</v>
      </c>
    </row>
    <row r="7" spans="1:31" x14ac:dyDescent="0.3">
      <c r="A7" t="s">
        <v>283</v>
      </c>
      <c r="B7" t="s">
        <v>132</v>
      </c>
      <c r="C7" t="s">
        <v>0</v>
      </c>
      <c r="D7" t="s">
        <v>133</v>
      </c>
      <c r="E7" t="s">
        <v>123</v>
      </c>
      <c r="F7">
        <v>98</v>
      </c>
      <c r="G7">
        <v>95</v>
      </c>
      <c r="H7">
        <v>104</v>
      </c>
      <c r="I7">
        <v>128</v>
      </c>
      <c r="J7">
        <v>139</v>
      </c>
      <c r="K7">
        <v>173</v>
      </c>
      <c r="L7">
        <v>225</v>
      </c>
      <c r="M7">
        <v>227</v>
      </c>
      <c r="N7">
        <v>228</v>
      </c>
      <c r="O7">
        <v>216</v>
      </c>
      <c r="P7">
        <v>262</v>
      </c>
      <c r="Q7">
        <v>321</v>
      </c>
      <c r="R7">
        <v>322</v>
      </c>
      <c r="S7">
        <v>290</v>
      </c>
      <c r="T7">
        <v>282</v>
      </c>
      <c r="U7">
        <v>266</v>
      </c>
      <c r="V7">
        <v>238</v>
      </c>
      <c r="W7">
        <v>234</v>
      </c>
      <c r="X7">
        <v>184</v>
      </c>
      <c r="Y7">
        <v>157</v>
      </c>
      <c r="Z7">
        <v>137</v>
      </c>
      <c r="AA7">
        <v>143</v>
      </c>
      <c r="AB7">
        <v>143</v>
      </c>
      <c r="AC7">
        <v>141</v>
      </c>
      <c r="AD7">
        <v>155</v>
      </c>
      <c r="AE7">
        <v>182</v>
      </c>
    </row>
    <row r="8" spans="1:31" x14ac:dyDescent="0.3">
      <c r="A8" t="s">
        <v>283</v>
      </c>
      <c r="B8" t="s">
        <v>134</v>
      </c>
      <c r="C8" t="s">
        <v>0</v>
      </c>
      <c r="D8" t="s">
        <v>135</v>
      </c>
      <c r="E8" t="s">
        <v>123</v>
      </c>
      <c r="F8">
        <v>12</v>
      </c>
      <c r="G8">
        <v>12</v>
      </c>
      <c r="H8">
        <v>13</v>
      </c>
      <c r="I8">
        <v>14</v>
      </c>
      <c r="J8">
        <v>16</v>
      </c>
      <c r="K8">
        <v>17</v>
      </c>
      <c r="L8">
        <v>24</v>
      </c>
      <c r="M8">
        <v>19</v>
      </c>
      <c r="N8">
        <v>25</v>
      </c>
      <c r="O8">
        <v>32</v>
      </c>
      <c r="P8">
        <v>38</v>
      </c>
      <c r="Q8">
        <v>28</v>
      </c>
      <c r="R8">
        <v>26</v>
      </c>
      <c r="S8">
        <v>26</v>
      </c>
      <c r="T8">
        <v>24</v>
      </c>
      <c r="U8">
        <v>22</v>
      </c>
      <c r="V8">
        <v>20</v>
      </c>
      <c r="W8">
        <v>18</v>
      </c>
      <c r="X8">
        <v>23</v>
      </c>
      <c r="Y8">
        <v>36</v>
      </c>
      <c r="Z8">
        <v>37</v>
      </c>
      <c r="AA8">
        <v>36</v>
      </c>
      <c r="AB8">
        <v>42</v>
      </c>
      <c r="AC8">
        <v>62</v>
      </c>
      <c r="AD8">
        <v>80</v>
      </c>
      <c r="AE8">
        <v>79</v>
      </c>
    </row>
    <row r="9" spans="1:31" x14ac:dyDescent="0.3">
      <c r="A9" t="s">
        <v>283</v>
      </c>
      <c r="B9" t="s">
        <v>136</v>
      </c>
      <c r="C9" t="s">
        <v>0</v>
      </c>
      <c r="D9" t="s">
        <v>137</v>
      </c>
      <c r="E9" t="s">
        <v>123</v>
      </c>
      <c r="F9">
        <v>15</v>
      </c>
      <c r="G9">
        <v>16</v>
      </c>
      <c r="H9">
        <v>16</v>
      </c>
      <c r="I9">
        <v>21</v>
      </c>
      <c r="J9">
        <v>22</v>
      </c>
      <c r="K9">
        <v>19</v>
      </c>
      <c r="L9">
        <v>22</v>
      </c>
      <c r="M9">
        <v>27</v>
      </c>
      <c r="N9">
        <v>29</v>
      </c>
      <c r="O9">
        <v>28</v>
      </c>
      <c r="P9">
        <v>31</v>
      </c>
      <c r="Q9">
        <v>29</v>
      </c>
      <c r="R9">
        <v>30</v>
      </c>
      <c r="S9">
        <v>33</v>
      </c>
      <c r="T9">
        <v>44</v>
      </c>
      <c r="U9">
        <v>40</v>
      </c>
      <c r="V9">
        <v>37</v>
      </c>
      <c r="W9">
        <v>41</v>
      </c>
      <c r="X9">
        <v>41</v>
      </c>
      <c r="Y9">
        <v>39</v>
      </c>
      <c r="Z9">
        <v>42</v>
      </c>
      <c r="AA9">
        <v>38</v>
      </c>
      <c r="AB9">
        <v>52</v>
      </c>
      <c r="AC9">
        <v>60</v>
      </c>
      <c r="AD9">
        <v>65</v>
      </c>
      <c r="AE9">
        <v>74</v>
      </c>
    </row>
    <row r="10" spans="1:31" x14ac:dyDescent="0.3">
      <c r="A10" t="s">
        <v>283</v>
      </c>
      <c r="B10" t="s">
        <v>138</v>
      </c>
      <c r="C10" t="s">
        <v>0</v>
      </c>
      <c r="D10" t="s">
        <v>139</v>
      </c>
      <c r="E10" t="s">
        <v>123</v>
      </c>
      <c r="F10">
        <v>18</v>
      </c>
      <c r="G10">
        <v>19</v>
      </c>
      <c r="H10">
        <v>21</v>
      </c>
      <c r="I10">
        <v>29</v>
      </c>
      <c r="J10">
        <v>30</v>
      </c>
      <c r="K10">
        <v>26</v>
      </c>
      <c r="L10">
        <v>30</v>
      </c>
      <c r="M10">
        <v>40</v>
      </c>
      <c r="N10">
        <v>42</v>
      </c>
      <c r="O10">
        <v>40</v>
      </c>
      <c r="P10">
        <v>43</v>
      </c>
      <c r="Q10">
        <v>39</v>
      </c>
      <c r="R10">
        <v>39</v>
      </c>
      <c r="S10">
        <v>43</v>
      </c>
      <c r="T10">
        <v>54</v>
      </c>
      <c r="U10">
        <v>51</v>
      </c>
      <c r="V10">
        <v>49</v>
      </c>
      <c r="W10">
        <v>55</v>
      </c>
      <c r="X10">
        <v>56</v>
      </c>
      <c r="Y10">
        <v>54</v>
      </c>
      <c r="Z10">
        <v>57</v>
      </c>
      <c r="AA10">
        <v>54</v>
      </c>
      <c r="AB10">
        <v>68</v>
      </c>
      <c r="AC10">
        <v>75</v>
      </c>
      <c r="AD10">
        <v>88</v>
      </c>
      <c r="AE10">
        <v>95</v>
      </c>
    </row>
    <row r="11" spans="1:31" x14ac:dyDescent="0.3">
      <c r="A11" t="s">
        <v>283</v>
      </c>
      <c r="B11" t="s">
        <v>140</v>
      </c>
      <c r="C11" t="s">
        <v>0</v>
      </c>
      <c r="D11" t="s">
        <v>141</v>
      </c>
      <c r="E11" t="s">
        <v>123</v>
      </c>
      <c r="F11">
        <v>3</v>
      </c>
      <c r="G11">
        <v>3</v>
      </c>
      <c r="H11">
        <v>5</v>
      </c>
      <c r="I11">
        <v>8</v>
      </c>
      <c r="J11">
        <v>8</v>
      </c>
      <c r="K11">
        <v>7</v>
      </c>
      <c r="L11">
        <v>8</v>
      </c>
      <c r="M11">
        <v>13</v>
      </c>
      <c r="N11">
        <v>13</v>
      </c>
      <c r="O11">
        <v>12</v>
      </c>
      <c r="P11">
        <v>12</v>
      </c>
      <c r="Q11">
        <v>10</v>
      </c>
      <c r="R11">
        <v>9</v>
      </c>
      <c r="S11">
        <v>10</v>
      </c>
      <c r="T11">
        <v>10</v>
      </c>
      <c r="U11">
        <v>11</v>
      </c>
      <c r="V11">
        <v>12</v>
      </c>
      <c r="W11">
        <v>14</v>
      </c>
      <c r="X11">
        <v>15</v>
      </c>
      <c r="Y11">
        <v>15</v>
      </c>
      <c r="Z11">
        <v>15</v>
      </c>
      <c r="AA11">
        <v>16</v>
      </c>
      <c r="AB11">
        <v>16</v>
      </c>
      <c r="AC11">
        <v>15</v>
      </c>
      <c r="AD11">
        <v>23</v>
      </c>
      <c r="AE11">
        <v>21</v>
      </c>
    </row>
    <row r="12" spans="1:31" x14ac:dyDescent="0.3">
      <c r="A12" t="s">
        <v>283</v>
      </c>
      <c r="B12" t="s">
        <v>142</v>
      </c>
      <c r="C12" t="s">
        <v>0</v>
      </c>
      <c r="D12" t="s">
        <v>143</v>
      </c>
      <c r="E12" t="s">
        <v>123</v>
      </c>
      <c r="F12">
        <v>35</v>
      </c>
      <c r="G12">
        <v>33</v>
      </c>
      <c r="H12">
        <v>41</v>
      </c>
      <c r="I12">
        <v>45</v>
      </c>
      <c r="J12">
        <v>51</v>
      </c>
      <c r="K12">
        <v>57</v>
      </c>
      <c r="L12">
        <v>55</v>
      </c>
      <c r="M12">
        <v>47</v>
      </c>
      <c r="N12">
        <v>41</v>
      </c>
      <c r="O12">
        <v>43</v>
      </c>
      <c r="P12">
        <v>45</v>
      </c>
      <c r="Q12">
        <v>65</v>
      </c>
      <c r="R12">
        <v>67</v>
      </c>
      <c r="S12">
        <v>69</v>
      </c>
      <c r="T12">
        <v>64</v>
      </c>
      <c r="U12">
        <v>60</v>
      </c>
      <c r="V12">
        <v>62</v>
      </c>
      <c r="W12">
        <v>59</v>
      </c>
      <c r="X12">
        <v>54</v>
      </c>
      <c r="Y12">
        <v>54</v>
      </c>
      <c r="Z12">
        <v>53</v>
      </c>
      <c r="AA12">
        <v>51</v>
      </c>
      <c r="AB12">
        <v>52</v>
      </c>
      <c r="AC12">
        <v>62</v>
      </c>
      <c r="AD12">
        <v>76</v>
      </c>
      <c r="AE12">
        <v>88</v>
      </c>
    </row>
    <row r="13" spans="1:31" x14ac:dyDescent="0.3">
      <c r="A13" t="s">
        <v>283</v>
      </c>
      <c r="B13" t="s">
        <v>144</v>
      </c>
      <c r="C13" t="s">
        <v>0</v>
      </c>
      <c r="D13" t="s">
        <v>145</v>
      </c>
      <c r="E13" t="s">
        <v>123</v>
      </c>
      <c r="F13">
        <v>34</v>
      </c>
      <c r="G13">
        <v>31</v>
      </c>
      <c r="H13">
        <v>32</v>
      </c>
      <c r="I13">
        <v>39</v>
      </c>
      <c r="J13">
        <v>39</v>
      </c>
      <c r="K13">
        <v>40</v>
      </c>
      <c r="L13">
        <v>58</v>
      </c>
      <c r="M13">
        <v>58</v>
      </c>
      <c r="N13">
        <v>73</v>
      </c>
      <c r="O13">
        <v>78</v>
      </c>
      <c r="P13">
        <v>94</v>
      </c>
      <c r="Q13">
        <v>97</v>
      </c>
      <c r="R13">
        <v>110</v>
      </c>
      <c r="S13">
        <v>111</v>
      </c>
      <c r="T13">
        <v>108</v>
      </c>
      <c r="U13">
        <v>101</v>
      </c>
      <c r="V13">
        <v>97</v>
      </c>
      <c r="W13">
        <v>106</v>
      </c>
      <c r="X13">
        <v>95</v>
      </c>
      <c r="Y13">
        <v>111</v>
      </c>
      <c r="Z13">
        <v>117</v>
      </c>
      <c r="AA13">
        <v>121</v>
      </c>
      <c r="AB13">
        <v>131</v>
      </c>
      <c r="AC13">
        <v>130</v>
      </c>
      <c r="AD13">
        <v>146</v>
      </c>
      <c r="AE13">
        <v>160</v>
      </c>
    </row>
    <row r="14" spans="1:31" x14ac:dyDescent="0.3">
      <c r="A14" t="s">
        <v>283</v>
      </c>
      <c r="B14" t="s">
        <v>146</v>
      </c>
      <c r="C14" t="s">
        <v>0</v>
      </c>
      <c r="D14" t="s">
        <v>147</v>
      </c>
      <c r="E14" t="s">
        <v>123</v>
      </c>
      <c r="F14">
        <v>22</v>
      </c>
      <c r="G14">
        <v>21</v>
      </c>
      <c r="H14">
        <v>24</v>
      </c>
      <c r="I14">
        <v>44</v>
      </c>
      <c r="J14">
        <v>91</v>
      </c>
      <c r="K14">
        <v>127</v>
      </c>
      <c r="L14">
        <v>159</v>
      </c>
      <c r="M14">
        <v>210</v>
      </c>
      <c r="N14">
        <v>243</v>
      </c>
      <c r="O14">
        <v>246</v>
      </c>
      <c r="P14">
        <v>283</v>
      </c>
      <c r="Q14">
        <v>344</v>
      </c>
      <c r="R14">
        <v>397</v>
      </c>
      <c r="S14">
        <v>451</v>
      </c>
      <c r="T14">
        <v>506</v>
      </c>
      <c r="U14">
        <v>561</v>
      </c>
      <c r="V14">
        <v>628</v>
      </c>
      <c r="W14">
        <v>654</v>
      </c>
      <c r="X14">
        <v>637</v>
      </c>
      <c r="Y14">
        <v>588</v>
      </c>
      <c r="Z14">
        <v>534</v>
      </c>
      <c r="AA14">
        <v>477</v>
      </c>
      <c r="AB14">
        <v>458</v>
      </c>
      <c r="AC14">
        <v>439</v>
      </c>
      <c r="AD14">
        <v>426</v>
      </c>
      <c r="AE14">
        <v>388</v>
      </c>
    </row>
    <row r="15" spans="1:31" x14ac:dyDescent="0.3">
      <c r="A15" t="s">
        <v>283</v>
      </c>
      <c r="B15" t="s">
        <v>148</v>
      </c>
      <c r="C15" t="s">
        <v>0</v>
      </c>
      <c r="D15" t="s">
        <v>149</v>
      </c>
      <c r="E15" t="s">
        <v>123</v>
      </c>
      <c r="F15">
        <v>51</v>
      </c>
      <c r="G15">
        <v>52</v>
      </c>
      <c r="H15">
        <v>55</v>
      </c>
      <c r="I15">
        <v>78</v>
      </c>
      <c r="J15">
        <v>126</v>
      </c>
      <c r="K15">
        <v>160</v>
      </c>
      <c r="L15">
        <v>190</v>
      </c>
      <c r="M15">
        <v>233</v>
      </c>
      <c r="N15">
        <v>272</v>
      </c>
      <c r="O15">
        <v>275</v>
      </c>
      <c r="P15">
        <v>314</v>
      </c>
      <c r="Q15">
        <v>380</v>
      </c>
      <c r="R15">
        <v>436</v>
      </c>
      <c r="S15">
        <v>503</v>
      </c>
      <c r="T15">
        <v>570</v>
      </c>
      <c r="U15">
        <v>628</v>
      </c>
      <c r="V15">
        <v>695</v>
      </c>
      <c r="W15">
        <v>720</v>
      </c>
      <c r="X15">
        <v>691</v>
      </c>
      <c r="Y15">
        <v>642</v>
      </c>
      <c r="Z15">
        <v>581</v>
      </c>
      <c r="AA15">
        <v>520</v>
      </c>
      <c r="AB15">
        <v>508</v>
      </c>
      <c r="AC15">
        <v>494</v>
      </c>
      <c r="AD15">
        <v>490</v>
      </c>
      <c r="AE15">
        <v>452</v>
      </c>
    </row>
    <row r="16" spans="1:31" x14ac:dyDescent="0.3">
      <c r="A16" t="s">
        <v>283</v>
      </c>
      <c r="B16" t="s">
        <v>150</v>
      </c>
      <c r="C16" t="s">
        <v>0</v>
      </c>
      <c r="D16" t="s">
        <v>151</v>
      </c>
      <c r="E16" t="s">
        <v>123</v>
      </c>
      <c r="F16">
        <v>29</v>
      </c>
      <c r="G16">
        <v>31</v>
      </c>
      <c r="H16">
        <v>31</v>
      </c>
      <c r="I16">
        <v>34</v>
      </c>
      <c r="J16">
        <v>35</v>
      </c>
      <c r="K16">
        <v>33</v>
      </c>
      <c r="L16">
        <v>31</v>
      </c>
      <c r="M16">
        <v>23</v>
      </c>
      <c r="N16">
        <v>29</v>
      </c>
      <c r="O16">
        <v>29</v>
      </c>
      <c r="P16">
        <v>31</v>
      </c>
      <c r="Q16">
        <v>36</v>
      </c>
      <c r="R16">
        <v>39</v>
      </c>
      <c r="S16">
        <v>52</v>
      </c>
      <c r="T16">
        <v>64</v>
      </c>
      <c r="U16">
        <v>67</v>
      </c>
      <c r="V16">
        <v>67</v>
      </c>
      <c r="W16">
        <v>66</v>
      </c>
      <c r="X16">
        <v>54</v>
      </c>
      <c r="Y16">
        <v>54</v>
      </c>
      <c r="Z16">
        <v>47</v>
      </c>
      <c r="AA16">
        <v>43</v>
      </c>
      <c r="AB16">
        <v>50</v>
      </c>
      <c r="AC16">
        <v>55</v>
      </c>
      <c r="AD16">
        <v>64</v>
      </c>
      <c r="AE16">
        <v>64</v>
      </c>
    </row>
    <row r="17" spans="1:31" x14ac:dyDescent="0.3">
      <c r="A17" t="s">
        <v>283</v>
      </c>
      <c r="B17" t="s">
        <v>152</v>
      </c>
      <c r="C17" t="s">
        <v>0</v>
      </c>
      <c r="D17" t="s">
        <v>153</v>
      </c>
      <c r="E17" t="s">
        <v>123</v>
      </c>
      <c r="F17">
        <v>58</v>
      </c>
      <c r="G17">
        <v>54</v>
      </c>
      <c r="H17">
        <v>67</v>
      </c>
      <c r="I17">
        <v>68</v>
      </c>
      <c r="J17">
        <v>67</v>
      </c>
      <c r="K17">
        <v>75</v>
      </c>
      <c r="L17">
        <v>80</v>
      </c>
      <c r="M17">
        <v>66</v>
      </c>
      <c r="N17">
        <v>85</v>
      </c>
      <c r="O17">
        <v>98</v>
      </c>
      <c r="P17">
        <v>112</v>
      </c>
      <c r="Q17">
        <v>110</v>
      </c>
      <c r="R17">
        <v>130</v>
      </c>
      <c r="S17">
        <v>142</v>
      </c>
      <c r="T17">
        <v>184</v>
      </c>
      <c r="U17">
        <v>208</v>
      </c>
      <c r="V17">
        <v>213</v>
      </c>
      <c r="W17">
        <v>220</v>
      </c>
      <c r="X17">
        <v>244</v>
      </c>
      <c r="Y17">
        <v>273</v>
      </c>
      <c r="Z17">
        <v>318</v>
      </c>
      <c r="AA17">
        <v>312</v>
      </c>
      <c r="AB17">
        <v>321</v>
      </c>
      <c r="AC17">
        <v>363</v>
      </c>
      <c r="AD17">
        <v>361</v>
      </c>
      <c r="AE17">
        <v>384</v>
      </c>
    </row>
    <row r="18" spans="1:31" x14ac:dyDescent="0.3">
      <c r="A18" t="s">
        <v>283</v>
      </c>
      <c r="B18" t="s">
        <v>154</v>
      </c>
      <c r="C18" t="s">
        <v>0</v>
      </c>
      <c r="D18" t="s">
        <v>155</v>
      </c>
      <c r="E18" t="s">
        <v>123</v>
      </c>
      <c r="F18">
        <v>13</v>
      </c>
      <c r="G18">
        <v>12</v>
      </c>
      <c r="H18">
        <v>13</v>
      </c>
      <c r="I18">
        <v>27</v>
      </c>
      <c r="J18">
        <v>26</v>
      </c>
      <c r="K18">
        <v>22</v>
      </c>
      <c r="L18">
        <v>23</v>
      </c>
      <c r="M18">
        <v>18</v>
      </c>
      <c r="N18">
        <v>18</v>
      </c>
      <c r="O18">
        <v>17</v>
      </c>
      <c r="P18">
        <v>17</v>
      </c>
      <c r="Q18">
        <v>13</v>
      </c>
      <c r="R18">
        <v>15</v>
      </c>
      <c r="S18">
        <v>15</v>
      </c>
      <c r="T18">
        <v>17</v>
      </c>
      <c r="U18">
        <v>18</v>
      </c>
      <c r="V18">
        <v>22</v>
      </c>
      <c r="W18">
        <v>28</v>
      </c>
      <c r="X18">
        <v>29</v>
      </c>
      <c r="Y18">
        <v>29</v>
      </c>
      <c r="Z18">
        <v>26</v>
      </c>
      <c r="AA18">
        <v>29</v>
      </c>
      <c r="AB18">
        <v>30</v>
      </c>
      <c r="AC18">
        <v>33</v>
      </c>
      <c r="AD18">
        <v>33</v>
      </c>
      <c r="AE18">
        <v>32</v>
      </c>
    </row>
    <row r="19" spans="1:31" x14ac:dyDescent="0.3">
      <c r="A19" t="s">
        <v>283</v>
      </c>
      <c r="B19" t="s">
        <v>156</v>
      </c>
      <c r="C19" t="s">
        <v>0</v>
      </c>
      <c r="D19" t="s">
        <v>157</v>
      </c>
      <c r="E19" t="s">
        <v>123</v>
      </c>
      <c r="F19">
        <v>24</v>
      </c>
      <c r="G19">
        <v>23</v>
      </c>
      <c r="H19">
        <v>26</v>
      </c>
      <c r="I19">
        <v>28</v>
      </c>
      <c r="J19">
        <v>32</v>
      </c>
      <c r="K19">
        <v>32</v>
      </c>
      <c r="L19">
        <v>38</v>
      </c>
      <c r="M19">
        <v>33</v>
      </c>
      <c r="N19">
        <v>34</v>
      </c>
      <c r="O19">
        <v>35</v>
      </c>
      <c r="P19">
        <v>37</v>
      </c>
      <c r="Q19">
        <v>32</v>
      </c>
      <c r="R19">
        <v>37</v>
      </c>
      <c r="S19">
        <v>32</v>
      </c>
      <c r="T19">
        <v>33</v>
      </c>
      <c r="U19">
        <v>38</v>
      </c>
      <c r="V19">
        <v>38</v>
      </c>
      <c r="W19">
        <v>41</v>
      </c>
      <c r="X19">
        <v>46</v>
      </c>
      <c r="Y19">
        <v>48</v>
      </c>
      <c r="Z19">
        <v>49</v>
      </c>
      <c r="AA19">
        <v>50</v>
      </c>
      <c r="AB19">
        <v>47</v>
      </c>
      <c r="AC19">
        <v>55</v>
      </c>
      <c r="AD19">
        <v>72</v>
      </c>
      <c r="AE19">
        <v>89</v>
      </c>
    </row>
    <row r="20" spans="1:31" x14ac:dyDescent="0.3">
      <c r="A20" t="s">
        <v>283</v>
      </c>
      <c r="B20" t="s">
        <v>158</v>
      </c>
      <c r="C20" t="s">
        <v>0</v>
      </c>
      <c r="D20" t="s">
        <v>159</v>
      </c>
      <c r="E20" t="s">
        <v>123</v>
      </c>
      <c r="F20">
        <v>26</v>
      </c>
      <c r="G20">
        <v>25</v>
      </c>
      <c r="H20">
        <v>27</v>
      </c>
      <c r="I20">
        <v>35</v>
      </c>
      <c r="J20">
        <v>42</v>
      </c>
      <c r="K20">
        <v>46</v>
      </c>
      <c r="L20">
        <v>52</v>
      </c>
      <c r="M20">
        <v>55</v>
      </c>
      <c r="N20">
        <v>52</v>
      </c>
      <c r="O20">
        <v>52</v>
      </c>
      <c r="P20">
        <v>71</v>
      </c>
      <c r="Q20">
        <v>76</v>
      </c>
      <c r="R20">
        <v>82</v>
      </c>
      <c r="S20">
        <v>88</v>
      </c>
      <c r="T20">
        <v>101</v>
      </c>
      <c r="U20">
        <v>105</v>
      </c>
      <c r="V20">
        <v>118</v>
      </c>
      <c r="W20">
        <v>130</v>
      </c>
      <c r="X20">
        <v>153</v>
      </c>
      <c r="Y20">
        <v>162</v>
      </c>
      <c r="Z20">
        <v>170</v>
      </c>
      <c r="AA20">
        <v>181</v>
      </c>
      <c r="AB20">
        <v>183</v>
      </c>
      <c r="AC20">
        <v>204</v>
      </c>
      <c r="AD20">
        <v>216</v>
      </c>
      <c r="AE20">
        <v>226</v>
      </c>
    </row>
    <row r="21" spans="1:31" x14ac:dyDescent="0.3">
      <c r="A21" t="s">
        <v>283</v>
      </c>
      <c r="B21" t="s">
        <v>160</v>
      </c>
      <c r="C21" t="s">
        <v>0</v>
      </c>
      <c r="D21" t="s">
        <v>161</v>
      </c>
      <c r="E21" t="s">
        <v>123</v>
      </c>
      <c r="F21">
        <v>27</v>
      </c>
      <c r="G21">
        <v>25</v>
      </c>
      <c r="H21">
        <v>27</v>
      </c>
      <c r="I21">
        <v>35</v>
      </c>
      <c r="J21">
        <v>43</v>
      </c>
      <c r="K21">
        <v>47</v>
      </c>
      <c r="L21">
        <v>55</v>
      </c>
      <c r="M21">
        <v>57</v>
      </c>
      <c r="N21">
        <v>56</v>
      </c>
      <c r="O21">
        <v>55</v>
      </c>
      <c r="P21">
        <v>76</v>
      </c>
      <c r="Q21">
        <v>81</v>
      </c>
      <c r="R21">
        <v>87</v>
      </c>
      <c r="S21">
        <v>94</v>
      </c>
      <c r="T21">
        <v>106</v>
      </c>
      <c r="U21">
        <v>114</v>
      </c>
      <c r="V21">
        <v>125</v>
      </c>
      <c r="W21">
        <v>136</v>
      </c>
      <c r="X21">
        <v>162</v>
      </c>
      <c r="Y21">
        <v>177</v>
      </c>
      <c r="Z21">
        <v>187</v>
      </c>
      <c r="AA21">
        <v>198</v>
      </c>
      <c r="AB21">
        <v>202</v>
      </c>
      <c r="AC21">
        <v>222</v>
      </c>
      <c r="AD21">
        <v>238</v>
      </c>
      <c r="AE21">
        <v>246</v>
      </c>
    </row>
    <row r="22" spans="1:31" x14ac:dyDescent="0.3">
      <c r="A22" t="s">
        <v>283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3</v>
      </c>
      <c r="M22">
        <v>2</v>
      </c>
      <c r="N22">
        <v>4</v>
      </c>
      <c r="O22">
        <v>3</v>
      </c>
      <c r="P22">
        <v>5</v>
      </c>
      <c r="Q22">
        <v>5</v>
      </c>
      <c r="R22">
        <v>5</v>
      </c>
      <c r="S22">
        <v>6</v>
      </c>
      <c r="T22">
        <v>5</v>
      </c>
      <c r="U22">
        <v>9</v>
      </c>
      <c r="V22">
        <v>7</v>
      </c>
      <c r="W22">
        <v>6</v>
      </c>
      <c r="X22">
        <v>9</v>
      </c>
      <c r="Y22">
        <v>15</v>
      </c>
      <c r="Z22">
        <v>17</v>
      </c>
      <c r="AA22">
        <v>17</v>
      </c>
      <c r="AB22">
        <v>19</v>
      </c>
      <c r="AC22">
        <v>18</v>
      </c>
      <c r="AD22">
        <v>22</v>
      </c>
      <c r="AE22">
        <v>20</v>
      </c>
    </row>
    <row r="23" spans="1:31" x14ac:dyDescent="0.3">
      <c r="A23" t="s">
        <v>283</v>
      </c>
      <c r="B23" t="s">
        <v>164</v>
      </c>
      <c r="C23" t="s">
        <v>0</v>
      </c>
      <c r="D23" t="s">
        <v>165</v>
      </c>
      <c r="E23" t="s">
        <v>123</v>
      </c>
      <c r="F23">
        <v>33</v>
      </c>
      <c r="G23">
        <v>31</v>
      </c>
      <c r="H23">
        <v>34</v>
      </c>
      <c r="I23">
        <v>40</v>
      </c>
      <c r="J23">
        <v>46</v>
      </c>
      <c r="K23">
        <v>50</v>
      </c>
      <c r="L23">
        <v>56</v>
      </c>
      <c r="M23">
        <v>59</v>
      </c>
      <c r="N23">
        <v>65</v>
      </c>
      <c r="O23">
        <v>65</v>
      </c>
      <c r="P23">
        <v>74</v>
      </c>
      <c r="Q23">
        <v>78</v>
      </c>
      <c r="R23">
        <v>69</v>
      </c>
      <c r="S23">
        <v>87</v>
      </c>
      <c r="T23">
        <v>83</v>
      </c>
      <c r="U23">
        <v>84</v>
      </c>
      <c r="V23">
        <v>75</v>
      </c>
      <c r="W23">
        <v>90</v>
      </c>
      <c r="X23">
        <v>94</v>
      </c>
      <c r="Y23">
        <v>117</v>
      </c>
      <c r="Z23">
        <v>140</v>
      </c>
      <c r="AA23">
        <v>157</v>
      </c>
      <c r="AB23">
        <v>199</v>
      </c>
      <c r="AC23">
        <v>195</v>
      </c>
      <c r="AD23">
        <v>210</v>
      </c>
      <c r="AE23">
        <v>210</v>
      </c>
    </row>
    <row r="24" spans="1:31" x14ac:dyDescent="0.3">
      <c r="A24" t="s">
        <v>283</v>
      </c>
      <c r="B24" t="s">
        <v>166</v>
      </c>
      <c r="C24" t="s">
        <v>0</v>
      </c>
      <c r="D24" t="s">
        <v>167</v>
      </c>
      <c r="E24" t="s">
        <v>123</v>
      </c>
      <c r="F24">
        <v>59</v>
      </c>
      <c r="G24">
        <v>64</v>
      </c>
      <c r="H24">
        <v>77</v>
      </c>
      <c r="I24">
        <v>104</v>
      </c>
      <c r="J24">
        <v>135</v>
      </c>
      <c r="K24">
        <v>175</v>
      </c>
      <c r="L24">
        <v>225</v>
      </c>
      <c r="M24">
        <v>270</v>
      </c>
      <c r="N24">
        <v>366</v>
      </c>
      <c r="O24">
        <v>395</v>
      </c>
      <c r="P24">
        <v>431</v>
      </c>
      <c r="Q24">
        <v>418</v>
      </c>
      <c r="R24">
        <v>421</v>
      </c>
      <c r="S24">
        <v>450</v>
      </c>
      <c r="T24">
        <v>467</v>
      </c>
      <c r="U24">
        <v>458</v>
      </c>
      <c r="V24">
        <v>468</v>
      </c>
      <c r="W24">
        <v>546</v>
      </c>
      <c r="X24">
        <v>633</v>
      </c>
      <c r="Y24">
        <v>724</v>
      </c>
      <c r="Z24">
        <v>741</v>
      </c>
      <c r="AA24">
        <v>733</v>
      </c>
      <c r="AB24">
        <v>740</v>
      </c>
      <c r="AC24">
        <v>781</v>
      </c>
      <c r="AD24">
        <v>796</v>
      </c>
      <c r="AE24">
        <v>853</v>
      </c>
    </row>
    <row r="25" spans="1:31" x14ac:dyDescent="0.3">
      <c r="A25" t="s">
        <v>283</v>
      </c>
      <c r="B25" t="s">
        <v>168</v>
      </c>
      <c r="C25" t="s">
        <v>0</v>
      </c>
      <c r="D25" t="s">
        <v>169</v>
      </c>
      <c r="E25" t="s">
        <v>123</v>
      </c>
      <c r="F25">
        <v>10</v>
      </c>
      <c r="G25">
        <v>10</v>
      </c>
      <c r="H25">
        <v>11</v>
      </c>
      <c r="I25">
        <v>14</v>
      </c>
      <c r="J25">
        <v>18</v>
      </c>
      <c r="K25">
        <v>19</v>
      </c>
      <c r="L25">
        <v>22</v>
      </c>
      <c r="M25">
        <v>23</v>
      </c>
      <c r="N25">
        <v>27</v>
      </c>
      <c r="O25">
        <v>27</v>
      </c>
      <c r="P25">
        <v>28</v>
      </c>
      <c r="Q25">
        <v>28</v>
      </c>
      <c r="R25">
        <v>31</v>
      </c>
      <c r="S25">
        <v>36</v>
      </c>
      <c r="T25">
        <v>39</v>
      </c>
      <c r="U25">
        <v>41</v>
      </c>
      <c r="V25">
        <v>37</v>
      </c>
      <c r="W25">
        <v>42</v>
      </c>
      <c r="X25">
        <v>43</v>
      </c>
      <c r="Y25">
        <v>48</v>
      </c>
      <c r="Z25">
        <v>47</v>
      </c>
      <c r="AA25">
        <v>50</v>
      </c>
      <c r="AB25">
        <v>51</v>
      </c>
      <c r="AC25">
        <v>66</v>
      </c>
      <c r="AD25">
        <v>70</v>
      </c>
      <c r="AE25">
        <v>78</v>
      </c>
    </row>
    <row r="26" spans="1:31" x14ac:dyDescent="0.3">
      <c r="A26" t="s">
        <v>283</v>
      </c>
      <c r="B26" t="s">
        <v>170</v>
      </c>
      <c r="C26" t="s">
        <v>0</v>
      </c>
      <c r="D26" t="s">
        <v>171</v>
      </c>
      <c r="E26" t="s">
        <v>123</v>
      </c>
      <c r="F26">
        <v>39</v>
      </c>
      <c r="G26">
        <v>43</v>
      </c>
      <c r="H26">
        <v>52</v>
      </c>
      <c r="I26">
        <v>71</v>
      </c>
      <c r="J26">
        <v>93</v>
      </c>
      <c r="K26">
        <v>124</v>
      </c>
      <c r="L26">
        <v>162</v>
      </c>
      <c r="M26">
        <v>198</v>
      </c>
      <c r="N26">
        <v>277</v>
      </c>
      <c r="O26">
        <v>300</v>
      </c>
      <c r="P26">
        <v>323</v>
      </c>
      <c r="Q26">
        <v>307</v>
      </c>
      <c r="R26">
        <v>296</v>
      </c>
      <c r="S26">
        <v>310</v>
      </c>
      <c r="T26">
        <v>325</v>
      </c>
      <c r="U26">
        <v>308</v>
      </c>
      <c r="V26">
        <v>323</v>
      </c>
      <c r="W26">
        <v>373</v>
      </c>
      <c r="X26">
        <v>422</v>
      </c>
      <c r="Y26">
        <v>464</v>
      </c>
      <c r="Z26">
        <v>494</v>
      </c>
      <c r="AA26">
        <v>482</v>
      </c>
      <c r="AB26">
        <v>501</v>
      </c>
      <c r="AC26">
        <v>520</v>
      </c>
      <c r="AD26">
        <v>511</v>
      </c>
      <c r="AE26">
        <v>546</v>
      </c>
    </row>
    <row r="27" spans="1:31" x14ac:dyDescent="0.3">
      <c r="A27" t="s">
        <v>283</v>
      </c>
      <c r="B27" t="s">
        <v>172</v>
      </c>
      <c r="C27" t="s">
        <v>0</v>
      </c>
      <c r="D27" t="s">
        <v>173</v>
      </c>
      <c r="E27" t="s">
        <v>123</v>
      </c>
      <c r="F27">
        <v>10</v>
      </c>
      <c r="G27">
        <v>11</v>
      </c>
      <c r="H27">
        <v>14</v>
      </c>
      <c r="I27">
        <v>19</v>
      </c>
      <c r="J27">
        <v>24</v>
      </c>
      <c r="K27">
        <v>32</v>
      </c>
      <c r="L27">
        <v>41</v>
      </c>
      <c r="M27">
        <v>49</v>
      </c>
      <c r="N27">
        <v>62</v>
      </c>
      <c r="O27">
        <v>68</v>
      </c>
      <c r="P27">
        <v>80</v>
      </c>
      <c r="Q27">
        <v>83</v>
      </c>
      <c r="R27">
        <v>94</v>
      </c>
      <c r="S27">
        <v>104</v>
      </c>
      <c r="T27">
        <v>103</v>
      </c>
      <c r="U27">
        <v>109</v>
      </c>
      <c r="V27">
        <v>108</v>
      </c>
      <c r="W27">
        <v>131</v>
      </c>
      <c r="X27">
        <v>168</v>
      </c>
      <c r="Y27">
        <v>212</v>
      </c>
      <c r="Z27">
        <v>200</v>
      </c>
      <c r="AA27">
        <v>201</v>
      </c>
      <c r="AB27">
        <v>188</v>
      </c>
      <c r="AC27">
        <v>195</v>
      </c>
      <c r="AD27">
        <v>215</v>
      </c>
      <c r="AE27">
        <v>229</v>
      </c>
    </row>
    <row r="28" spans="1:31" x14ac:dyDescent="0.3">
      <c r="A28" t="s">
        <v>283</v>
      </c>
      <c r="B28" t="s">
        <v>174</v>
      </c>
      <c r="C28" t="s">
        <v>0</v>
      </c>
      <c r="D28" t="s">
        <v>175</v>
      </c>
      <c r="E28" t="s">
        <v>123</v>
      </c>
      <c r="F28">
        <v>98</v>
      </c>
      <c r="G28">
        <v>105</v>
      </c>
      <c r="H28">
        <v>119</v>
      </c>
      <c r="I28">
        <v>143</v>
      </c>
      <c r="J28">
        <v>163</v>
      </c>
      <c r="K28">
        <v>174</v>
      </c>
      <c r="L28">
        <v>175</v>
      </c>
      <c r="M28">
        <v>168</v>
      </c>
      <c r="N28">
        <v>160</v>
      </c>
      <c r="O28">
        <v>173</v>
      </c>
      <c r="P28">
        <v>176</v>
      </c>
      <c r="Q28">
        <v>177</v>
      </c>
      <c r="R28">
        <v>174</v>
      </c>
      <c r="S28">
        <v>167</v>
      </c>
      <c r="T28">
        <v>202</v>
      </c>
      <c r="U28">
        <v>190</v>
      </c>
      <c r="V28">
        <v>187</v>
      </c>
      <c r="W28">
        <v>194</v>
      </c>
      <c r="X28">
        <v>188</v>
      </c>
      <c r="Y28">
        <v>195</v>
      </c>
      <c r="Z28">
        <v>201</v>
      </c>
      <c r="AA28">
        <v>216</v>
      </c>
      <c r="AB28">
        <v>242</v>
      </c>
      <c r="AC28">
        <v>260</v>
      </c>
      <c r="AD28">
        <v>280</v>
      </c>
      <c r="AE28">
        <v>300</v>
      </c>
    </row>
    <row r="29" spans="1:31" x14ac:dyDescent="0.3">
      <c r="A29" t="s">
        <v>283</v>
      </c>
      <c r="B29" t="s">
        <v>176</v>
      </c>
      <c r="C29" t="s">
        <v>0</v>
      </c>
      <c r="D29" t="s">
        <v>177</v>
      </c>
      <c r="E29" t="s">
        <v>123</v>
      </c>
      <c r="F29">
        <v>18</v>
      </c>
      <c r="G29">
        <v>16</v>
      </c>
      <c r="H29">
        <v>18</v>
      </c>
      <c r="I29">
        <v>18</v>
      </c>
      <c r="J29">
        <v>18</v>
      </c>
      <c r="K29">
        <v>19</v>
      </c>
      <c r="L29">
        <v>22</v>
      </c>
      <c r="M29">
        <v>24</v>
      </c>
      <c r="N29">
        <v>23</v>
      </c>
      <c r="O29">
        <v>27</v>
      </c>
      <c r="P29">
        <v>26</v>
      </c>
      <c r="Q29">
        <v>29</v>
      </c>
      <c r="R29">
        <v>33</v>
      </c>
      <c r="S29">
        <v>28</v>
      </c>
      <c r="T29">
        <v>52</v>
      </c>
      <c r="U29">
        <v>47</v>
      </c>
      <c r="V29">
        <v>36</v>
      </c>
      <c r="W29">
        <v>30</v>
      </c>
      <c r="X29">
        <v>27</v>
      </c>
      <c r="Y29">
        <v>36</v>
      </c>
      <c r="Z29">
        <v>35</v>
      </c>
      <c r="AA29">
        <v>37</v>
      </c>
      <c r="AB29">
        <v>57</v>
      </c>
      <c r="AC29">
        <v>59</v>
      </c>
      <c r="AD29">
        <v>64</v>
      </c>
      <c r="AE29">
        <v>64</v>
      </c>
    </row>
    <row r="30" spans="1:31" x14ac:dyDescent="0.3">
      <c r="A30" t="s">
        <v>283</v>
      </c>
      <c r="B30" t="s">
        <v>178</v>
      </c>
      <c r="C30" t="s">
        <v>0</v>
      </c>
      <c r="D30" t="s">
        <v>179</v>
      </c>
      <c r="E30" t="s">
        <v>123</v>
      </c>
      <c r="F30">
        <v>4</v>
      </c>
      <c r="G30">
        <v>4</v>
      </c>
      <c r="H30">
        <v>5</v>
      </c>
      <c r="I30">
        <v>5</v>
      </c>
      <c r="J30">
        <v>6</v>
      </c>
      <c r="K30">
        <v>7</v>
      </c>
      <c r="L30">
        <v>8</v>
      </c>
      <c r="M30">
        <v>9</v>
      </c>
      <c r="N30">
        <v>9</v>
      </c>
      <c r="O30">
        <v>9</v>
      </c>
      <c r="P30">
        <v>11</v>
      </c>
      <c r="Q30">
        <v>11</v>
      </c>
      <c r="R30">
        <v>11</v>
      </c>
      <c r="S30">
        <v>12</v>
      </c>
      <c r="T30">
        <v>13</v>
      </c>
      <c r="U30">
        <v>13</v>
      </c>
      <c r="V30">
        <v>11</v>
      </c>
      <c r="W30">
        <v>10</v>
      </c>
      <c r="X30">
        <v>9</v>
      </c>
      <c r="Y30">
        <v>9</v>
      </c>
      <c r="Z30">
        <v>10</v>
      </c>
      <c r="AA30">
        <v>10</v>
      </c>
      <c r="AB30">
        <v>10</v>
      </c>
      <c r="AC30">
        <v>11</v>
      </c>
      <c r="AD30">
        <v>10</v>
      </c>
      <c r="AE30">
        <v>10</v>
      </c>
    </row>
    <row r="31" spans="1:31" x14ac:dyDescent="0.3">
      <c r="A31" t="s">
        <v>283</v>
      </c>
      <c r="B31" t="s">
        <v>180</v>
      </c>
      <c r="C31" t="s">
        <v>0</v>
      </c>
      <c r="D31" t="s">
        <v>181</v>
      </c>
      <c r="E31" t="s">
        <v>123</v>
      </c>
      <c r="F31">
        <v>29</v>
      </c>
      <c r="G31">
        <v>28</v>
      </c>
      <c r="H31">
        <v>29</v>
      </c>
      <c r="I31">
        <v>34</v>
      </c>
      <c r="J31">
        <v>39</v>
      </c>
      <c r="K31">
        <v>44</v>
      </c>
      <c r="L31">
        <v>49</v>
      </c>
      <c r="M31">
        <v>52</v>
      </c>
      <c r="N31">
        <v>52</v>
      </c>
      <c r="O31">
        <v>65</v>
      </c>
      <c r="P31">
        <v>67</v>
      </c>
      <c r="Q31">
        <v>65</v>
      </c>
      <c r="R31">
        <v>61</v>
      </c>
      <c r="S31">
        <v>54</v>
      </c>
      <c r="T31">
        <v>51</v>
      </c>
      <c r="U31">
        <v>42</v>
      </c>
      <c r="V31">
        <v>37</v>
      </c>
      <c r="W31">
        <v>36</v>
      </c>
      <c r="X31">
        <v>36</v>
      </c>
      <c r="Y31">
        <v>34</v>
      </c>
      <c r="Z31">
        <v>44</v>
      </c>
      <c r="AA31">
        <v>60</v>
      </c>
      <c r="AB31">
        <v>63</v>
      </c>
      <c r="AC31">
        <v>73</v>
      </c>
      <c r="AD31">
        <v>78</v>
      </c>
      <c r="AE31">
        <v>69</v>
      </c>
    </row>
    <row r="32" spans="1:31" x14ac:dyDescent="0.3">
      <c r="A32" t="s">
        <v>283</v>
      </c>
      <c r="B32" t="s">
        <v>182</v>
      </c>
      <c r="C32" t="s">
        <v>0</v>
      </c>
      <c r="D32" t="s">
        <v>183</v>
      </c>
      <c r="E32" t="s">
        <v>123</v>
      </c>
      <c r="F32">
        <v>17</v>
      </c>
      <c r="G32">
        <v>16</v>
      </c>
      <c r="H32">
        <v>15</v>
      </c>
      <c r="I32">
        <v>20</v>
      </c>
      <c r="J32">
        <v>23</v>
      </c>
      <c r="K32">
        <v>28</v>
      </c>
      <c r="L32">
        <v>30</v>
      </c>
      <c r="M32">
        <v>33</v>
      </c>
      <c r="N32">
        <v>32</v>
      </c>
      <c r="O32">
        <v>34</v>
      </c>
      <c r="P32">
        <v>36</v>
      </c>
      <c r="Q32">
        <v>37</v>
      </c>
      <c r="R32">
        <v>37</v>
      </c>
      <c r="S32">
        <v>40</v>
      </c>
      <c r="T32">
        <v>48</v>
      </c>
      <c r="U32">
        <v>48</v>
      </c>
      <c r="V32">
        <v>60</v>
      </c>
      <c r="W32">
        <v>63</v>
      </c>
      <c r="X32">
        <v>58</v>
      </c>
      <c r="Y32">
        <v>56</v>
      </c>
      <c r="Z32">
        <v>55</v>
      </c>
      <c r="AA32">
        <v>62</v>
      </c>
      <c r="AB32">
        <v>77</v>
      </c>
      <c r="AC32">
        <v>78</v>
      </c>
      <c r="AD32">
        <v>92</v>
      </c>
      <c r="AE32">
        <v>114</v>
      </c>
    </row>
    <row r="33" spans="1:31" x14ac:dyDescent="0.3">
      <c r="A33" t="s">
        <v>283</v>
      </c>
      <c r="B33" t="s">
        <v>184</v>
      </c>
      <c r="C33" t="s">
        <v>0</v>
      </c>
      <c r="D33" t="s">
        <v>185</v>
      </c>
      <c r="E33" t="s">
        <v>123</v>
      </c>
      <c r="F33">
        <v>30</v>
      </c>
      <c r="G33">
        <v>41</v>
      </c>
      <c r="H33">
        <v>52</v>
      </c>
      <c r="I33">
        <v>66</v>
      </c>
      <c r="J33">
        <v>77</v>
      </c>
      <c r="K33">
        <v>76</v>
      </c>
      <c r="L33">
        <v>66</v>
      </c>
      <c r="M33">
        <v>50</v>
      </c>
      <c r="N33">
        <v>44</v>
      </c>
      <c r="O33">
        <v>38</v>
      </c>
      <c r="P33">
        <v>36</v>
      </c>
      <c r="Q33">
        <v>35</v>
      </c>
      <c r="R33">
        <v>32</v>
      </c>
      <c r="S33">
        <v>33</v>
      </c>
      <c r="T33">
        <v>38</v>
      </c>
      <c r="U33">
        <v>40</v>
      </c>
      <c r="V33">
        <v>43</v>
      </c>
      <c r="W33">
        <v>55</v>
      </c>
      <c r="X33">
        <v>58</v>
      </c>
      <c r="Y33">
        <v>60</v>
      </c>
      <c r="Z33">
        <v>57</v>
      </c>
      <c r="AA33">
        <v>47</v>
      </c>
      <c r="AB33">
        <v>35</v>
      </c>
      <c r="AC33">
        <v>39</v>
      </c>
      <c r="AD33">
        <v>36</v>
      </c>
      <c r="AE33">
        <v>43</v>
      </c>
    </row>
    <row r="34" spans="1:31" x14ac:dyDescent="0.3">
      <c r="A34" t="s">
        <v>283</v>
      </c>
      <c r="B34" t="s">
        <v>186</v>
      </c>
      <c r="C34" t="s">
        <v>0</v>
      </c>
      <c r="D34" t="s">
        <v>187</v>
      </c>
      <c r="E34" t="s">
        <v>123</v>
      </c>
      <c r="F34">
        <v>7</v>
      </c>
      <c r="G34">
        <v>6</v>
      </c>
      <c r="H34">
        <v>7</v>
      </c>
      <c r="I34">
        <v>8</v>
      </c>
      <c r="J34">
        <v>9</v>
      </c>
      <c r="K34">
        <v>12</v>
      </c>
      <c r="L34">
        <v>13</v>
      </c>
      <c r="M34">
        <v>14</v>
      </c>
      <c r="N34">
        <v>17</v>
      </c>
      <c r="O34">
        <v>17</v>
      </c>
      <c r="P34">
        <v>17</v>
      </c>
      <c r="Q34">
        <v>17</v>
      </c>
      <c r="R34">
        <v>19</v>
      </c>
      <c r="S34">
        <v>23</v>
      </c>
      <c r="T34">
        <v>27</v>
      </c>
      <c r="U34">
        <v>33</v>
      </c>
      <c r="V34">
        <v>36</v>
      </c>
      <c r="W34">
        <v>39</v>
      </c>
      <c r="X34">
        <v>41</v>
      </c>
      <c r="Y34">
        <v>41</v>
      </c>
      <c r="Z34">
        <v>42</v>
      </c>
      <c r="AA34">
        <v>45</v>
      </c>
      <c r="AB34">
        <v>47</v>
      </c>
      <c r="AC34">
        <v>48</v>
      </c>
      <c r="AD34">
        <v>57</v>
      </c>
      <c r="AE34">
        <v>57</v>
      </c>
    </row>
    <row r="35" spans="1:31" x14ac:dyDescent="0.3">
      <c r="A35" t="s">
        <v>283</v>
      </c>
      <c r="B35" t="s">
        <v>188</v>
      </c>
      <c r="C35" t="s">
        <v>0</v>
      </c>
      <c r="D35" t="s">
        <v>189</v>
      </c>
      <c r="E35" t="s">
        <v>123</v>
      </c>
      <c r="F35">
        <v>292</v>
      </c>
      <c r="G35">
        <v>292</v>
      </c>
      <c r="H35">
        <v>308</v>
      </c>
      <c r="I35">
        <v>354</v>
      </c>
      <c r="J35">
        <v>405</v>
      </c>
      <c r="K35">
        <v>468</v>
      </c>
      <c r="L35">
        <v>536</v>
      </c>
      <c r="M35">
        <v>557</v>
      </c>
      <c r="N35">
        <v>635</v>
      </c>
      <c r="O35">
        <v>607</v>
      </c>
      <c r="P35">
        <v>718</v>
      </c>
      <c r="Q35">
        <v>750</v>
      </c>
      <c r="R35">
        <v>842</v>
      </c>
      <c r="S35">
        <v>851</v>
      </c>
      <c r="T35">
        <v>880</v>
      </c>
      <c r="U35">
        <v>860</v>
      </c>
      <c r="V35">
        <v>822</v>
      </c>
      <c r="W35">
        <v>789</v>
      </c>
      <c r="X35">
        <v>840</v>
      </c>
      <c r="Y35">
        <v>907</v>
      </c>
      <c r="Z35">
        <v>969</v>
      </c>
      <c r="AA35">
        <v>1032</v>
      </c>
      <c r="AB35">
        <v>1062</v>
      </c>
      <c r="AC35">
        <v>1220</v>
      </c>
      <c r="AD35">
        <v>1331</v>
      </c>
      <c r="AE35">
        <v>1350</v>
      </c>
    </row>
    <row r="36" spans="1:31" x14ac:dyDescent="0.3">
      <c r="A36" t="s">
        <v>283</v>
      </c>
      <c r="B36" t="s">
        <v>190</v>
      </c>
      <c r="C36" t="s">
        <v>0</v>
      </c>
      <c r="D36" t="s">
        <v>191</v>
      </c>
      <c r="E36" t="s">
        <v>123</v>
      </c>
      <c r="F36">
        <v>51</v>
      </c>
      <c r="G36">
        <v>54</v>
      </c>
      <c r="H36">
        <v>55</v>
      </c>
      <c r="I36">
        <v>60</v>
      </c>
      <c r="J36">
        <v>71</v>
      </c>
      <c r="K36">
        <v>76</v>
      </c>
      <c r="L36">
        <v>87</v>
      </c>
      <c r="M36">
        <v>78</v>
      </c>
      <c r="N36">
        <v>82</v>
      </c>
      <c r="O36">
        <v>94</v>
      </c>
      <c r="P36">
        <v>105</v>
      </c>
      <c r="Q36">
        <v>103</v>
      </c>
      <c r="R36">
        <v>129</v>
      </c>
      <c r="S36">
        <v>134</v>
      </c>
      <c r="T36">
        <v>162</v>
      </c>
      <c r="U36">
        <v>179</v>
      </c>
      <c r="V36">
        <v>186</v>
      </c>
      <c r="W36">
        <v>201</v>
      </c>
      <c r="X36">
        <v>199</v>
      </c>
      <c r="Y36">
        <v>200</v>
      </c>
      <c r="Z36">
        <v>206</v>
      </c>
      <c r="AA36">
        <v>218</v>
      </c>
      <c r="AB36">
        <v>218</v>
      </c>
      <c r="AC36">
        <v>240</v>
      </c>
      <c r="AD36">
        <v>250</v>
      </c>
      <c r="AE36">
        <v>260</v>
      </c>
    </row>
    <row r="37" spans="1:31" x14ac:dyDescent="0.3">
      <c r="A37" t="s">
        <v>283</v>
      </c>
      <c r="B37" t="s">
        <v>192</v>
      </c>
      <c r="C37" t="s">
        <v>0</v>
      </c>
      <c r="D37" t="s">
        <v>193</v>
      </c>
      <c r="E37" t="s">
        <v>123</v>
      </c>
      <c r="F37">
        <v>97</v>
      </c>
      <c r="G37">
        <v>90</v>
      </c>
      <c r="H37">
        <v>93</v>
      </c>
      <c r="I37">
        <v>107</v>
      </c>
      <c r="J37">
        <v>119</v>
      </c>
      <c r="K37">
        <v>146</v>
      </c>
      <c r="L37">
        <v>165</v>
      </c>
      <c r="M37">
        <v>178</v>
      </c>
      <c r="N37">
        <v>241</v>
      </c>
      <c r="O37">
        <v>198</v>
      </c>
      <c r="P37">
        <v>228</v>
      </c>
      <c r="Q37">
        <v>220</v>
      </c>
      <c r="R37">
        <v>249</v>
      </c>
      <c r="S37">
        <v>211</v>
      </c>
      <c r="T37">
        <v>215</v>
      </c>
      <c r="U37">
        <v>201</v>
      </c>
      <c r="V37">
        <v>165</v>
      </c>
      <c r="W37">
        <v>145</v>
      </c>
      <c r="X37">
        <v>144</v>
      </c>
      <c r="Y37">
        <v>150</v>
      </c>
      <c r="Z37">
        <v>153</v>
      </c>
      <c r="AA37">
        <v>166</v>
      </c>
      <c r="AB37">
        <v>194</v>
      </c>
      <c r="AC37">
        <v>214</v>
      </c>
      <c r="AD37">
        <v>212</v>
      </c>
      <c r="AE37">
        <v>199</v>
      </c>
    </row>
    <row r="38" spans="1:31" x14ac:dyDescent="0.3">
      <c r="A38" t="s">
        <v>283</v>
      </c>
      <c r="B38" t="s">
        <v>194</v>
      </c>
      <c r="C38" t="s">
        <v>0</v>
      </c>
      <c r="D38" t="s">
        <v>195</v>
      </c>
      <c r="E38" t="s">
        <v>123</v>
      </c>
      <c r="F38">
        <v>144</v>
      </c>
      <c r="G38">
        <v>148</v>
      </c>
      <c r="H38">
        <v>160</v>
      </c>
      <c r="I38">
        <v>187</v>
      </c>
      <c r="J38">
        <v>215</v>
      </c>
      <c r="K38">
        <v>246</v>
      </c>
      <c r="L38">
        <v>284</v>
      </c>
      <c r="M38">
        <v>301</v>
      </c>
      <c r="N38">
        <v>312</v>
      </c>
      <c r="O38">
        <v>315</v>
      </c>
      <c r="P38">
        <v>385</v>
      </c>
      <c r="Q38">
        <v>427</v>
      </c>
      <c r="R38">
        <v>464</v>
      </c>
      <c r="S38">
        <v>506</v>
      </c>
      <c r="T38">
        <v>503</v>
      </c>
      <c r="U38">
        <v>480</v>
      </c>
      <c r="V38">
        <v>471</v>
      </c>
      <c r="W38">
        <v>443</v>
      </c>
      <c r="X38">
        <v>497</v>
      </c>
      <c r="Y38">
        <v>557</v>
      </c>
      <c r="Z38">
        <v>610</v>
      </c>
      <c r="AA38">
        <v>648</v>
      </c>
      <c r="AB38">
        <v>650</v>
      </c>
      <c r="AC38">
        <v>766</v>
      </c>
      <c r="AD38">
        <v>869</v>
      </c>
      <c r="AE38">
        <v>891</v>
      </c>
    </row>
    <row r="39" spans="1:31" x14ac:dyDescent="0.3">
      <c r="A39" t="s">
        <v>283</v>
      </c>
      <c r="B39" t="s">
        <v>196</v>
      </c>
      <c r="C39" t="s">
        <v>0</v>
      </c>
      <c r="D39" t="s">
        <v>197</v>
      </c>
      <c r="E39" t="s">
        <v>123</v>
      </c>
      <c r="F39">
        <v>372</v>
      </c>
      <c r="G39">
        <v>331</v>
      </c>
      <c r="H39">
        <v>315</v>
      </c>
      <c r="I39">
        <v>321</v>
      </c>
      <c r="J39">
        <v>341</v>
      </c>
      <c r="K39">
        <v>363</v>
      </c>
      <c r="L39">
        <v>405</v>
      </c>
      <c r="M39">
        <v>408</v>
      </c>
      <c r="N39">
        <v>452</v>
      </c>
      <c r="O39">
        <v>498</v>
      </c>
      <c r="P39">
        <v>551</v>
      </c>
      <c r="Q39">
        <v>595</v>
      </c>
      <c r="R39">
        <v>694</v>
      </c>
      <c r="S39">
        <v>741</v>
      </c>
      <c r="T39">
        <v>759</v>
      </c>
      <c r="U39">
        <v>755</v>
      </c>
      <c r="V39">
        <v>747</v>
      </c>
      <c r="W39">
        <v>663</v>
      </c>
      <c r="X39">
        <v>614</v>
      </c>
      <c r="Y39">
        <v>661</v>
      </c>
      <c r="Z39">
        <v>679</v>
      </c>
      <c r="AA39">
        <v>697</v>
      </c>
      <c r="AB39">
        <v>944</v>
      </c>
      <c r="AC39">
        <v>838</v>
      </c>
      <c r="AD39">
        <v>788</v>
      </c>
      <c r="AE39">
        <v>682</v>
      </c>
    </row>
    <row r="40" spans="1:31" x14ac:dyDescent="0.3">
      <c r="A40" t="s">
        <v>283</v>
      </c>
      <c r="B40" t="s">
        <v>198</v>
      </c>
      <c r="C40" t="s">
        <v>0</v>
      </c>
      <c r="D40" t="s">
        <v>199</v>
      </c>
      <c r="E40" t="s">
        <v>123</v>
      </c>
      <c r="F40">
        <v>6</v>
      </c>
      <c r="G40">
        <v>6</v>
      </c>
      <c r="H40">
        <v>6</v>
      </c>
      <c r="I40">
        <v>6</v>
      </c>
      <c r="J40">
        <v>5</v>
      </c>
      <c r="K40">
        <v>5</v>
      </c>
      <c r="L40">
        <v>5</v>
      </c>
      <c r="M40">
        <v>6</v>
      </c>
      <c r="N40">
        <v>5</v>
      </c>
      <c r="O40">
        <v>4</v>
      </c>
      <c r="P40">
        <v>5</v>
      </c>
      <c r="Q40">
        <v>8</v>
      </c>
      <c r="R40">
        <v>8</v>
      </c>
      <c r="S40">
        <v>13</v>
      </c>
      <c r="T40">
        <v>20</v>
      </c>
      <c r="U40">
        <v>32</v>
      </c>
      <c r="V40">
        <v>33</v>
      </c>
      <c r="W40">
        <v>35</v>
      </c>
      <c r="X40">
        <v>40</v>
      </c>
      <c r="Y40">
        <v>50</v>
      </c>
      <c r="Z40">
        <v>53</v>
      </c>
      <c r="AA40">
        <v>52</v>
      </c>
      <c r="AB40">
        <v>53</v>
      </c>
      <c r="AC40">
        <v>60</v>
      </c>
      <c r="AD40">
        <v>57</v>
      </c>
      <c r="AE40">
        <v>59</v>
      </c>
    </row>
    <row r="41" spans="1:31" x14ac:dyDescent="0.3">
      <c r="A41" t="s">
        <v>283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283</v>
      </c>
      <c r="B42" t="s">
        <v>202</v>
      </c>
      <c r="C42" t="s">
        <v>0</v>
      </c>
      <c r="D42" t="s">
        <v>203</v>
      </c>
      <c r="E42" t="s">
        <v>123</v>
      </c>
      <c r="F42">
        <v>75</v>
      </c>
      <c r="G42">
        <v>69</v>
      </c>
      <c r="H42">
        <v>72</v>
      </c>
      <c r="I42">
        <v>83</v>
      </c>
      <c r="J42">
        <v>99</v>
      </c>
      <c r="K42">
        <v>118</v>
      </c>
      <c r="L42">
        <v>133</v>
      </c>
      <c r="M42">
        <v>141</v>
      </c>
      <c r="N42">
        <v>157</v>
      </c>
      <c r="O42">
        <v>163</v>
      </c>
      <c r="P42">
        <v>190</v>
      </c>
      <c r="Q42">
        <v>189</v>
      </c>
      <c r="R42">
        <v>228</v>
      </c>
      <c r="S42">
        <v>260</v>
      </c>
      <c r="T42">
        <v>256</v>
      </c>
      <c r="U42">
        <v>264</v>
      </c>
      <c r="V42">
        <v>279</v>
      </c>
      <c r="W42">
        <v>278</v>
      </c>
      <c r="X42">
        <v>294</v>
      </c>
      <c r="Y42">
        <v>310</v>
      </c>
      <c r="Z42">
        <v>327</v>
      </c>
      <c r="AA42">
        <v>334</v>
      </c>
      <c r="AB42">
        <v>337</v>
      </c>
      <c r="AC42">
        <v>331</v>
      </c>
      <c r="AD42">
        <v>406</v>
      </c>
      <c r="AE42">
        <v>437</v>
      </c>
    </row>
    <row r="43" spans="1:31" x14ac:dyDescent="0.3">
      <c r="A43" t="s">
        <v>283</v>
      </c>
      <c r="B43" t="s">
        <v>204</v>
      </c>
      <c r="C43" t="s">
        <v>0</v>
      </c>
      <c r="D43" t="s">
        <v>205</v>
      </c>
      <c r="E43" t="s">
        <v>123</v>
      </c>
      <c r="F43">
        <v>111</v>
      </c>
      <c r="G43">
        <v>100</v>
      </c>
      <c r="H43">
        <v>105</v>
      </c>
      <c r="I43">
        <v>123</v>
      </c>
      <c r="J43">
        <v>141</v>
      </c>
      <c r="K43">
        <v>163</v>
      </c>
      <c r="L43">
        <v>185</v>
      </c>
      <c r="M43">
        <v>194</v>
      </c>
      <c r="N43">
        <v>215</v>
      </c>
      <c r="O43">
        <v>220</v>
      </c>
      <c r="P43">
        <v>255</v>
      </c>
      <c r="Q43">
        <v>260</v>
      </c>
      <c r="R43">
        <v>302</v>
      </c>
      <c r="S43">
        <v>340</v>
      </c>
      <c r="T43">
        <v>344</v>
      </c>
      <c r="U43">
        <v>359</v>
      </c>
      <c r="V43">
        <v>378</v>
      </c>
      <c r="W43">
        <v>393</v>
      </c>
      <c r="X43">
        <v>416</v>
      </c>
      <c r="Y43">
        <v>447</v>
      </c>
      <c r="Z43">
        <v>464</v>
      </c>
      <c r="AA43">
        <v>489</v>
      </c>
      <c r="AB43">
        <v>513</v>
      </c>
      <c r="AC43">
        <v>519</v>
      </c>
      <c r="AD43">
        <v>618</v>
      </c>
      <c r="AE43">
        <v>653</v>
      </c>
    </row>
    <row r="44" spans="1:31" x14ac:dyDescent="0.3">
      <c r="A44" t="s">
        <v>283</v>
      </c>
      <c r="B44" t="s">
        <v>206</v>
      </c>
      <c r="C44" t="s">
        <v>0</v>
      </c>
      <c r="D44" t="s">
        <v>207</v>
      </c>
      <c r="E44" t="s">
        <v>123</v>
      </c>
      <c r="F44">
        <v>1396</v>
      </c>
      <c r="G44">
        <v>1342</v>
      </c>
      <c r="H44">
        <v>1426</v>
      </c>
      <c r="I44">
        <v>1657</v>
      </c>
      <c r="J44">
        <v>1896</v>
      </c>
      <c r="K44">
        <v>2159</v>
      </c>
      <c r="L44">
        <v>2486</v>
      </c>
      <c r="M44">
        <v>2580</v>
      </c>
      <c r="N44">
        <v>2908</v>
      </c>
      <c r="O44">
        <v>2990</v>
      </c>
      <c r="P44">
        <v>3410</v>
      </c>
      <c r="Q44">
        <v>3622</v>
      </c>
      <c r="R44">
        <v>3956</v>
      </c>
      <c r="S44">
        <v>4168</v>
      </c>
      <c r="T44">
        <v>4396</v>
      </c>
      <c r="U44">
        <v>4463</v>
      </c>
      <c r="V44">
        <v>4486</v>
      </c>
      <c r="W44">
        <v>4543</v>
      </c>
      <c r="X44">
        <v>4630</v>
      </c>
      <c r="Y44">
        <v>4891</v>
      </c>
      <c r="Z44">
        <v>5001</v>
      </c>
      <c r="AA44">
        <v>5091</v>
      </c>
      <c r="AB44">
        <v>5515</v>
      </c>
      <c r="AC44">
        <v>5736</v>
      </c>
      <c r="AD44">
        <v>6059</v>
      </c>
      <c r="AE44">
        <v>6159</v>
      </c>
    </row>
    <row r="45" spans="1:31" x14ac:dyDescent="0.3">
      <c r="A45" t="s">
        <v>283</v>
      </c>
      <c r="B45" t="s">
        <v>208</v>
      </c>
      <c r="C45" t="s">
        <v>0</v>
      </c>
      <c r="D45" t="s">
        <v>209</v>
      </c>
      <c r="E45" t="s">
        <v>123</v>
      </c>
      <c r="F45">
        <v>1393</v>
      </c>
      <c r="G45">
        <v>1339</v>
      </c>
      <c r="H45">
        <v>1423</v>
      </c>
      <c r="I45">
        <v>1654</v>
      </c>
      <c r="J45">
        <v>1892</v>
      </c>
      <c r="K45">
        <v>2154</v>
      </c>
      <c r="L45">
        <v>2481</v>
      </c>
      <c r="M45">
        <v>2575</v>
      </c>
      <c r="N45">
        <v>2902</v>
      </c>
      <c r="O45">
        <v>2984</v>
      </c>
      <c r="P45">
        <v>3403</v>
      </c>
      <c r="Q45">
        <v>3613</v>
      </c>
      <c r="R45">
        <v>3947</v>
      </c>
      <c r="S45">
        <v>4159</v>
      </c>
      <c r="T45">
        <v>4386</v>
      </c>
      <c r="U45">
        <v>4452</v>
      </c>
      <c r="V45">
        <v>4475</v>
      </c>
      <c r="W45">
        <v>4533</v>
      </c>
      <c r="X45">
        <v>4619</v>
      </c>
      <c r="Y45">
        <v>4881</v>
      </c>
      <c r="Z45">
        <v>4991</v>
      </c>
      <c r="AA45">
        <v>5081</v>
      </c>
      <c r="AB45">
        <v>5505</v>
      </c>
      <c r="AC45">
        <v>5726</v>
      </c>
      <c r="AD45">
        <v>6049</v>
      </c>
      <c r="AE45">
        <v>6149</v>
      </c>
    </row>
    <row r="46" spans="1:31" x14ac:dyDescent="0.3">
      <c r="A46" t="s">
        <v>283</v>
      </c>
      <c r="B46" t="s">
        <v>210</v>
      </c>
      <c r="C46" t="s">
        <v>0</v>
      </c>
      <c r="D46" t="s">
        <v>211</v>
      </c>
      <c r="E46" t="s">
        <v>123</v>
      </c>
      <c r="F46">
        <v>36</v>
      </c>
      <c r="G46">
        <v>31</v>
      </c>
      <c r="H46">
        <v>33</v>
      </c>
      <c r="I46">
        <v>40</v>
      </c>
      <c r="J46">
        <v>42</v>
      </c>
      <c r="K46">
        <v>45</v>
      </c>
      <c r="L46">
        <v>52</v>
      </c>
      <c r="M46">
        <v>53</v>
      </c>
      <c r="N46">
        <v>58</v>
      </c>
      <c r="O46">
        <v>57</v>
      </c>
      <c r="P46">
        <v>65</v>
      </c>
      <c r="Q46">
        <v>71</v>
      </c>
      <c r="R46">
        <v>74</v>
      </c>
      <c r="S46">
        <v>80</v>
      </c>
      <c r="T46">
        <v>88</v>
      </c>
      <c r="U46">
        <v>95</v>
      </c>
      <c r="V46">
        <v>99</v>
      </c>
      <c r="W46">
        <v>115</v>
      </c>
      <c r="X46">
        <v>122</v>
      </c>
      <c r="Y46">
        <v>137</v>
      </c>
      <c r="Z46">
        <v>137</v>
      </c>
      <c r="AA46">
        <v>155</v>
      </c>
      <c r="AB46">
        <v>176</v>
      </c>
      <c r="AC46">
        <v>188</v>
      </c>
      <c r="AD46">
        <v>212</v>
      </c>
      <c r="AE46">
        <v>216</v>
      </c>
    </row>
    <row r="47" spans="1:31" x14ac:dyDescent="0.3">
      <c r="A47" t="s">
        <v>283</v>
      </c>
      <c r="B47" t="s">
        <v>212</v>
      </c>
      <c r="C47" t="s">
        <v>0</v>
      </c>
      <c r="D47" t="s">
        <v>213</v>
      </c>
      <c r="E47" t="s">
        <v>123</v>
      </c>
      <c r="F47">
        <v>95</v>
      </c>
      <c r="G47">
        <v>97</v>
      </c>
      <c r="H47">
        <v>101</v>
      </c>
      <c r="I47">
        <v>112</v>
      </c>
      <c r="J47">
        <v>122</v>
      </c>
      <c r="K47">
        <v>139</v>
      </c>
      <c r="L47">
        <v>173</v>
      </c>
      <c r="M47">
        <v>192</v>
      </c>
      <c r="N47">
        <v>224</v>
      </c>
      <c r="O47">
        <v>244</v>
      </c>
      <c r="P47">
        <v>270</v>
      </c>
      <c r="Q47">
        <v>266</v>
      </c>
      <c r="R47">
        <v>271</v>
      </c>
      <c r="S47">
        <v>283</v>
      </c>
      <c r="T47">
        <v>293</v>
      </c>
      <c r="U47">
        <v>314</v>
      </c>
      <c r="V47">
        <v>330</v>
      </c>
      <c r="W47">
        <v>330</v>
      </c>
      <c r="X47">
        <v>327</v>
      </c>
      <c r="Y47">
        <v>328</v>
      </c>
      <c r="Z47">
        <v>355</v>
      </c>
      <c r="AA47">
        <v>380</v>
      </c>
      <c r="AB47">
        <v>384</v>
      </c>
      <c r="AC47">
        <v>412</v>
      </c>
      <c r="AD47">
        <v>429</v>
      </c>
      <c r="AE47">
        <v>411</v>
      </c>
    </row>
    <row r="48" spans="1:31" x14ac:dyDescent="0.3">
      <c r="A48" t="s">
        <v>283</v>
      </c>
      <c r="B48" t="s">
        <v>214</v>
      </c>
      <c r="C48" t="s">
        <v>0</v>
      </c>
      <c r="D48" t="s">
        <v>215</v>
      </c>
      <c r="E48" t="s">
        <v>123</v>
      </c>
      <c r="F48">
        <v>150</v>
      </c>
      <c r="G48">
        <v>151</v>
      </c>
      <c r="H48">
        <v>157</v>
      </c>
      <c r="I48">
        <v>180</v>
      </c>
      <c r="J48">
        <v>199</v>
      </c>
      <c r="K48">
        <v>224</v>
      </c>
      <c r="L48">
        <v>264</v>
      </c>
      <c r="M48">
        <v>297</v>
      </c>
      <c r="N48">
        <v>331</v>
      </c>
      <c r="O48">
        <v>350</v>
      </c>
      <c r="P48">
        <v>384</v>
      </c>
      <c r="Q48">
        <v>392</v>
      </c>
      <c r="R48">
        <v>404</v>
      </c>
      <c r="S48">
        <v>418</v>
      </c>
      <c r="T48">
        <v>427</v>
      </c>
      <c r="U48">
        <v>461</v>
      </c>
      <c r="V48">
        <v>479</v>
      </c>
      <c r="W48">
        <v>500</v>
      </c>
      <c r="X48">
        <v>520</v>
      </c>
      <c r="Y48">
        <v>548</v>
      </c>
      <c r="Z48">
        <v>572</v>
      </c>
      <c r="AA48">
        <v>625</v>
      </c>
      <c r="AB48">
        <v>663</v>
      </c>
      <c r="AC48">
        <v>721</v>
      </c>
      <c r="AD48">
        <v>773</v>
      </c>
      <c r="AE48">
        <v>797</v>
      </c>
    </row>
    <row r="49" spans="1:31" x14ac:dyDescent="0.3">
      <c r="A49" t="s">
        <v>283</v>
      </c>
      <c r="B49" t="s">
        <v>216</v>
      </c>
      <c r="C49" t="s">
        <v>0</v>
      </c>
      <c r="D49" t="s">
        <v>217</v>
      </c>
      <c r="E49" t="s">
        <v>123</v>
      </c>
      <c r="F49">
        <v>27</v>
      </c>
      <c r="G49">
        <v>26</v>
      </c>
      <c r="H49">
        <v>27</v>
      </c>
      <c r="I49">
        <v>33</v>
      </c>
      <c r="J49">
        <v>38</v>
      </c>
      <c r="K49">
        <v>41</v>
      </c>
      <c r="L49">
        <v>42</v>
      </c>
      <c r="M49">
        <v>51</v>
      </c>
      <c r="N49">
        <v>51</v>
      </c>
      <c r="O49">
        <v>48</v>
      </c>
      <c r="P49">
        <v>48</v>
      </c>
      <c r="Q49">
        <v>45</v>
      </c>
      <c r="R49">
        <v>42</v>
      </c>
      <c r="S49">
        <v>46</v>
      </c>
      <c r="T49">
        <v>44</v>
      </c>
      <c r="U49">
        <v>48</v>
      </c>
      <c r="V49">
        <v>51</v>
      </c>
      <c r="W49">
        <v>54</v>
      </c>
      <c r="X49">
        <v>57</v>
      </c>
      <c r="Y49">
        <v>68</v>
      </c>
      <c r="Z49">
        <v>75</v>
      </c>
      <c r="AA49">
        <v>91</v>
      </c>
      <c r="AB49">
        <v>104</v>
      </c>
      <c r="AC49">
        <v>112</v>
      </c>
      <c r="AD49">
        <v>120</v>
      </c>
      <c r="AE49">
        <v>137</v>
      </c>
    </row>
    <row r="50" spans="1:31" x14ac:dyDescent="0.3">
      <c r="A50" t="s">
        <v>283</v>
      </c>
      <c r="B50" t="s">
        <v>218</v>
      </c>
      <c r="C50" t="s">
        <v>0</v>
      </c>
      <c r="D50" t="s">
        <v>219</v>
      </c>
      <c r="E50" t="s">
        <v>123</v>
      </c>
      <c r="F50">
        <v>28</v>
      </c>
      <c r="G50">
        <v>28</v>
      </c>
      <c r="H50">
        <v>29</v>
      </c>
      <c r="I50">
        <v>35</v>
      </c>
      <c r="J50">
        <v>39</v>
      </c>
      <c r="K50">
        <v>44</v>
      </c>
      <c r="L50">
        <v>49</v>
      </c>
      <c r="M50">
        <v>54</v>
      </c>
      <c r="N50">
        <v>56</v>
      </c>
      <c r="O50">
        <v>58</v>
      </c>
      <c r="P50">
        <v>66</v>
      </c>
      <c r="Q50">
        <v>81</v>
      </c>
      <c r="R50">
        <v>91</v>
      </c>
      <c r="S50">
        <v>89</v>
      </c>
      <c r="T50">
        <v>90</v>
      </c>
      <c r="U50">
        <v>99</v>
      </c>
      <c r="V50">
        <v>98</v>
      </c>
      <c r="W50">
        <v>116</v>
      </c>
      <c r="X50">
        <v>136</v>
      </c>
      <c r="Y50">
        <v>152</v>
      </c>
      <c r="Z50">
        <v>142</v>
      </c>
      <c r="AA50">
        <v>154</v>
      </c>
      <c r="AB50">
        <v>175</v>
      </c>
      <c r="AC50">
        <v>197</v>
      </c>
      <c r="AD50">
        <v>224</v>
      </c>
      <c r="AE50">
        <v>249</v>
      </c>
    </row>
    <row r="51" spans="1:31" x14ac:dyDescent="0.3">
      <c r="A51" t="s">
        <v>283</v>
      </c>
      <c r="B51" t="s">
        <v>220</v>
      </c>
      <c r="C51" t="s">
        <v>0</v>
      </c>
      <c r="D51" t="s">
        <v>221</v>
      </c>
      <c r="E51" t="s">
        <v>123</v>
      </c>
      <c r="F51">
        <v>26</v>
      </c>
      <c r="G51">
        <v>26</v>
      </c>
      <c r="H51">
        <v>27</v>
      </c>
      <c r="I51">
        <v>32</v>
      </c>
      <c r="J51">
        <v>36</v>
      </c>
      <c r="K51">
        <v>40</v>
      </c>
      <c r="L51">
        <v>45</v>
      </c>
      <c r="M51">
        <v>50</v>
      </c>
      <c r="N51">
        <v>52</v>
      </c>
      <c r="O51">
        <v>53</v>
      </c>
      <c r="P51">
        <v>62</v>
      </c>
      <c r="Q51">
        <v>78</v>
      </c>
      <c r="R51">
        <v>88</v>
      </c>
      <c r="S51">
        <v>87</v>
      </c>
      <c r="T51">
        <v>87</v>
      </c>
      <c r="U51">
        <v>93</v>
      </c>
      <c r="V51">
        <v>92</v>
      </c>
      <c r="W51">
        <v>108</v>
      </c>
      <c r="X51">
        <v>126</v>
      </c>
      <c r="Y51">
        <v>142</v>
      </c>
      <c r="Z51">
        <v>129</v>
      </c>
      <c r="AA51">
        <v>140</v>
      </c>
      <c r="AB51">
        <v>156</v>
      </c>
      <c r="AC51">
        <v>177</v>
      </c>
      <c r="AD51">
        <v>199</v>
      </c>
      <c r="AE51">
        <v>218</v>
      </c>
    </row>
    <row r="52" spans="1:31" x14ac:dyDescent="0.3">
      <c r="A52" t="s">
        <v>283</v>
      </c>
      <c r="B52" t="s">
        <v>222</v>
      </c>
      <c r="C52" t="s">
        <v>0</v>
      </c>
      <c r="D52" t="s">
        <v>223</v>
      </c>
      <c r="E52" t="s">
        <v>123</v>
      </c>
      <c r="F52">
        <v>2</v>
      </c>
      <c r="G52">
        <v>2</v>
      </c>
      <c r="H52">
        <v>2</v>
      </c>
      <c r="I52">
        <v>3</v>
      </c>
      <c r="J52">
        <v>3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3</v>
      </c>
      <c r="S52">
        <v>2</v>
      </c>
      <c r="T52">
        <v>3</v>
      </c>
      <c r="U52">
        <v>6</v>
      </c>
      <c r="V52">
        <v>6</v>
      </c>
      <c r="W52">
        <v>8</v>
      </c>
      <c r="X52">
        <v>10</v>
      </c>
      <c r="Y52">
        <v>10</v>
      </c>
      <c r="Z52">
        <v>13</v>
      </c>
      <c r="AA52">
        <v>14</v>
      </c>
      <c r="AB52">
        <v>19</v>
      </c>
      <c r="AC52">
        <v>20</v>
      </c>
      <c r="AD52">
        <v>25</v>
      </c>
      <c r="AE52">
        <v>31</v>
      </c>
    </row>
    <row r="53" spans="1:31" x14ac:dyDescent="0.3">
      <c r="A53" t="s">
        <v>283</v>
      </c>
      <c r="B53" t="s">
        <v>224</v>
      </c>
      <c r="C53" t="s">
        <v>0</v>
      </c>
      <c r="D53" t="s">
        <v>225</v>
      </c>
      <c r="E53" t="s">
        <v>123</v>
      </c>
      <c r="F53">
        <v>17</v>
      </c>
      <c r="G53">
        <v>16</v>
      </c>
      <c r="H53">
        <v>18</v>
      </c>
      <c r="I53">
        <v>20</v>
      </c>
      <c r="J53">
        <v>22</v>
      </c>
      <c r="K53">
        <v>26</v>
      </c>
      <c r="L53">
        <v>27</v>
      </c>
      <c r="M53">
        <v>28</v>
      </c>
      <c r="N53">
        <v>27</v>
      </c>
      <c r="O53">
        <v>30</v>
      </c>
      <c r="P53">
        <v>37</v>
      </c>
      <c r="Q53">
        <v>52</v>
      </c>
      <c r="R53">
        <v>54</v>
      </c>
      <c r="S53">
        <v>72</v>
      </c>
      <c r="T53">
        <v>66</v>
      </c>
      <c r="U53">
        <v>78</v>
      </c>
      <c r="V53">
        <v>68</v>
      </c>
      <c r="W53">
        <v>58</v>
      </c>
      <c r="X53">
        <v>58</v>
      </c>
      <c r="Y53">
        <v>56</v>
      </c>
      <c r="Z53">
        <v>43</v>
      </c>
      <c r="AA53">
        <v>40</v>
      </c>
      <c r="AB53">
        <v>53</v>
      </c>
      <c r="AC53">
        <v>49</v>
      </c>
      <c r="AD53">
        <v>56</v>
      </c>
      <c r="AE53">
        <v>55</v>
      </c>
    </row>
    <row r="54" spans="1:31" x14ac:dyDescent="0.3">
      <c r="A54" t="s">
        <v>283</v>
      </c>
      <c r="B54" t="s">
        <v>226</v>
      </c>
      <c r="C54" t="s">
        <v>0</v>
      </c>
      <c r="D54" t="s">
        <v>227</v>
      </c>
      <c r="E54" t="s">
        <v>123</v>
      </c>
      <c r="F54">
        <v>30</v>
      </c>
      <c r="G54">
        <v>29</v>
      </c>
      <c r="H54">
        <v>32</v>
      </c>
      <c r="I54">
        <v>37</v>
      </c>
      <c r="J54">
        <v>41</v>
      </c>
      <c r="K54">
        <v>48</v>
      </c>
      <c r="L54">
        <v>52</v>
      </c>
      <c r="M54">
        <v>58</v>
      </c>
      <c r="N54">
        <v>54</v>
      </c>
      <c r="O54">
        <v>53</v>
      </c>
      <c r="P54">
        <v>62</v>
      </c>
      <c r="Q54">
        <v>70</v>
      </c>
      <c r="R54">
        <v>77</v>
      </c>
      <c r="S54">
        <v>97</v>
      </c>
      <c r="T54">
        <v>98</v>
      </c>
      <c r="U54">
        <v>113</v>
      </c>
      <c r="V54">
        <v>102</v>
      </c>
      <c r="W54">
        <v>93</v>
      </c>
      <c r="X54">
        <v>97</v>
      </c>
      <c r="Y54">
        <v>97</v>
      </c>
      <c r="Z54">
        <v>84</v>
      </c>
      <c r="AA54">
        <v>82</v>
      </c>
      <c r="AB54">
        <v>95</v>
      </c>
      <c r="AC54">
        <v>99</v>
      </c>
      <c r="AD54">
        <v>113</v>
      </c>
      <c r="AE54">
        <v>104</v>
      </c>
    </row>
    <row r="55" spans="1:31" x14ac:dyDescent="0.3">
      <c r="A55" t="s">
        <v>283</v>
      </c>
      <c r="B55" t="s">
        <v>228</v>
      </c>
      <c r="C55" t="s">
        <v>0</v>
      </c>
      <c r="D55" t="s">
        <v>229</v>
      </c>
      <c r="E55" t="s">
        <v>123</v>
      </c>
      <c r="F55">
        <v>13</v>
      </c>
      <c r="G55">
        <v>13</v>
      </c>
      <c r="H55">
        <v>14</v>
      </c>
      <c r="I55">
        <v>17</v>
      </c>
      <c r="J55">
        <v>19</v>
      </c>
      <c r="K55">
        <v>22</v>
      </c>
      <c r="L55">
        <v>25</v>
      </c>
      <c r="M55">
        <v>30</v>
      </c>
      <c r="N55">
        <v>27</v>
      </c>
      <c r="O55">
        <v>23</v>
      </c>
      <c r="P55">
        <v>25</v>
      </c>
      <c r="Q55">
        <v>18</v>
      </c>
      <c r="R55">
        <v>23</v>
      </c>
      <c r="S55">
        <v>25</v>
      </c>
      <c r="T55">
        <v>32</v>
      </c>
      <c r="U55">
        <v>35</v>
      </c>
      <c r="V55">
        <v>34</v>
      </c>
      <c r="W55">
        <v>35</v>
      </c>
      <c r="X55">
        <v>39</v>
      </c>
      <c r="Y55">
        <v>41</v>
      </c>
      <c r="Z55">
        <v>41</v>
      </c>
      <c r="AA55">
        <v>42</v>
      </c>
      <c r="AB55">
        <v>42</v>
      </c>
      <c r="AC55">
        <v>50</v>
      </c>
      <c r="AD55">
        <v>57</v>
      </c>
      <c r="AE55">
        <v>49</v>
      </c>
    </row>
    <row r="56" spans="1:31" x14ac:dyDescent="0.3">
      <c r="A56" t="s">
        <v>283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283</v>
      </c>
      <c r="B57" t="s">
        <v>232</v>
      </c>
      <c r="C57" t="s">
        <v>0</v>
      </c>
      <c r="D57" t="s">
        <v>233</v>
      </c>
      <c r="E57" t="s">
        <v>123</v>
      </c>
      <c r="F57">
        <v>1552</v>
      </c>
      <c r="G57">
        <v>1499</v>
      </c>
      <c r="H57">
        <v>1589</v>
      </c>
      <c r="I57">
        <v>1843</v>
      </c>
      <c r="J57">
        <v>2100</v>
      </c>
      <c r="K57">
        <v>2388</v>
      </c>
      <c r="L57">
        <v>2755</v>
      </c>
      <c r="M57">
        <v>2883</v>
      </c>
      <c r="N57">
        <v>3244</v>
      </c>
      <c r="O57">
        <v>3344</v>
      </c>
      <c r="P57">
        <v>3799</v>
      </c>
      <c r="Q57">
        <v>4022</v>
      </c>
      <c r="R57">
        <v>4368</v>
      </c>
      <c r="S57">
        <v>4599</v>
      </c>
      <c r="T57">
        <v>4843</v>
      </c>
      <c r="U57">
        <v>4956</v>
      </c>
      <c r="V57">
        <v>4998</v>
      </c>
      <c r="W57">
        <v>5078</v>
      </c>
      <c r="X57">
        <v>5190</v>
      </c>
      <c r="Y57">
        <v>5489</v>
      </c>
      <c r="Z57">
        <v>5626</v>
      </c>
      <c r="AA57">
        <v>5768</v>
      </c>
      <c r="AB57">
        <v>6231</v>
      </c>
      <c r="AC57">
        <v>6517</v>
      </c>
      <c r="AD57">
        <v>6889</v>
      </c>
      <c r="AE57">
        <v>7015</v>
      </c>
    </row>
    <row r="58" spans="1:31" x14ac:dyDescent="0.3">
      <c r="A58" t="s">
        <v>283</v>
      </c>
      <c r="B58" t="s">
        <v>234</v>
      </c>
      <c r="C58" t="s">
        <v>0</v>
      </c>
      <c r="D58" t="s">
        <v>235</v>
      </c>
      <c r="E58" t="s">
        <v>123</v>
      </c>
      <c r="F58">
        <v>1552</v>
      </c>
      <c r="G58">
        <v>1499</v>
      </c>
      <c r="H58">
        <v>1589</v>
      </c>
      <c r="I58">
        <v>1843</v>
      </c>
      <c r="J58">
        <v>2100</v>
      </c>
      <c r="K58">
        <v>2388</v>
      </c>
      <c r="L58">
        <v>2755</v>
      </c>
      <c r="M58">
        <v>2883</v>
      </c>
      <c r="N58">
        <v>3244</v>
      </c>
      <c r="O58">
        <v>3344</v>
      </c>
      <c r="P58">
        <v>3799</v>
      </c>
      <c r="Q58">
        <v>4022</v>
      </c>
      <c r="R58">
        <v>4368</v>
      </c>
      <c r="S58">
        <v>4599</v>
      </c>
      <c r="T58">
        <v>4843</v>
      </c>
      <c r="U58">
        <v>4956</v>
      </c>
      <c r="V58">
        <v>4998</v>
      </c>
      <c r="W58">
        <v>5078</v>
      </c>
      <c r="X58">
        <v>5190</v>
      </c>
      <c r="Y58">
        <v>5489</v>
      </c>
      <c r="Z58">
        <v>5626</v>
      </c>
      <c r="AA58">
        <v>5768</v>
      </c>
      <c r="AB58">
        <v>6231</v>
      </c>
      <c r="AC58">
        <v>6517</v>
      </c>
      <c r="AD58">
        <v>6889</v>
      </c>
      <c r="AE58">
        <v>7015</v>
      </c>
    </row>
    <row r="59" spans="1:31" x14ac:dyDescent="0.3">
      <c r="A59" t="s">
        <v>283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284</v>
      </c>
      <c r="B2" t="s">
        <v>121</v>
      </c>
      <c r="C2" t="s">
        <v>0</v>
      </c>
      <c r="D2" t="s">
        <v>122</v>
      </c>
      <c r="E2" t="s">
        <v>123</v>
      </c>
      <c r="F2">
        <v>2040</v>
      </c>
      <c r="G2">
        <v>1692</v>
      </c>
      <c r="H2">
        <v>1660</v>
      </c>
      <c r="I2">
        <v>1628</v>
      </c>
      <c r="J2">
        <v>1644</v>
      </c>
      <c r="K2">
        <v>1723</v>
      </c>
      <c r="L2">
        <v>1805</v>
      </c>
      <c r="M2">
        <v>1884</v>
      </c>
      <c r="N2">
        <v>1954</v>
      </c>
      <c r="O2">
        <v>2001</v>
      </c>
      <c r="P2">
        <v>2035</v>
      </c>
      <c r="Q2">
        <v>2041</v>
      </c>
      <c r="R2">
        <v>2180</v>
      </c>
      <c r="S2">
        <v>2208</v>
      </c>
      <c r="T2">
        <v>2195</v>
      </c>
      <c r="U2">
        <v>2196</v>
      </c>
      <c r="V2">
        <v>2213</v>
      </c>
      <c r="W2">
        <v>2231</v>
      </c>
      <c r="X2">
        <v>2346</v>
      </c>
      <c r="Y2">
        <v>2344</v>
      </c>
      <c r="Z2">
        <v>2318</v>
      </c>
      <c r="AA2">
        <v>2305</v>
      </c>
      <c r="AB2">
        <v>2251</v>
      </c>
      <c r="AC2">
        <v>2180</v>
      </c>
      <c r="AD2">
        <v>2164</v>
      </c>
      <c r="AE2">
        <v>2120</v>
      </c>
    </row>
    <row r="3" spans="1:31" x14ac:dyDescent="0.3">
      <c r="A3" t="s">
        <v>284</v>
      </c>
      <c r="B3" t="s">
        <v>124</v>
      </c>
      <c r="C3" t="s">
        <v>0</v>
      </c>
      <c r="D3" t="s">
        <v>125</v>
      </c>
      <c r="E3" t="s">
        <v>123</v>
      </c>
      <c r="F3">
        <v>10</v>
      </c>
      <c r="G3">
        <v>12</v>
      </c>
      <c r="H3">
        <v>11</v>
      </c>
      <c r="I3">
        <v>12</v>
      </c>
      <c r="J3">
        <v>15</v>
      </c>
      <c r="K3">
        <v>15</v>
      </c>
      <c r="L3">
        <v>14</v>
      </c>
      <c r="M3">
        <v>16</v>
      </c>
      <c r="N3">
        <v>17</v>
      </c>
      <c r="O3">
        <v>19</v>
      </c>
      <c r="P3">
        <v>21</v>
      </c>
      <c r="Q3">
        <v>21</v>
      </c>
      <c r="R3">
        <v>23</v>
      </c>
      <c r="S3">
        <v>28</v>
      </c>
      <c r="T3">
        <v>26</v>
      </c>
      <c r="U3">
        <v>25</v>
      </c>
      <c r="V3">
        <v>29</v>
      </c>
      <c r="W3">
        <v>53</v>
      </c>
      <c r="X3">
        <v>68</v>
      </c>
      <c r="Y3">
        <v>72</v>
      </c>
      <c r="Z3">
        <v>71</v>
      </c>
      <c r="AA3">
        <v>66</v>
      </c>
      <c r="AB3">
        <v>63</v>
      </c>
      <c r="AC3">
        <v>57</v>
      </c>
      <c r="AD3">
        <v>50</v>
      </c>
      <c r="AE3">
        <v>46</v>
      </c>
    </row>
    <row r="4" spans="1:31" x14ac:dyDescent="0.3">
      <c r="A4" t="s">
        <v>284</v>
      </c>
      <c r="B4" t="s">
        <v>126</v>
      </c>
      <c r="C4" t="s">
        <v>0</v>
      </c>
      <c r="D4" t="s">
        <v>127</v>
      </c>
      <c r="E4" t="s">
        <v>123</v>
      </c>
      <c r="F4">
        <v>384</v>
      </c>
      <c r="G4">
        <v>357</v>
      </c>
      <c r="H4">
        <v>362</v>
      </c>
      <c r="I4">
        <v>388</v>
      </c>
      <c r="J4">
        <v>392</v>
      </c>
      <c r="K4">
        <v>408</v>
      </c>
      <c r="L4">
        <v>438</v>
      </c>
      <c r="M4">
        <v>445</v>
      </c>
      <c r="N4">
        <v>456</v>
      </c>
      <c r="O4">
        <v>455</v>
      </c>
      <c r="P4">
        <v>467</v>
      </c>
      <c r="Q4">
        <v>533</v>
      </c>
      <c r="R4">
        <v>575</v>
      </c>
      <c r="S4">
        <v>664</v>
      </c>
      <c r="T4">
        <v>646</v>
      </c>
      <c r="U4">
        <v>615</v>
      </c>
      <c r="V4">
        <v>582</v>
      </c>
      <c r="W4">
        <v>568</v>
      </c>
      <c r="X4">
        <v>539</v>
      </c>
      <c r="Y4">
        <v>514</v>
      </c>
      <c r="Z4">
        <v>517</v>
      </c>
      <c r="AA4">
        <v>513</v>
      </c>
      <c r="AB4">
        <v>529</v>
      </c>
      <c r="AC4">
        <v>520</v>
      </c>
      <c r="AD4">
        <v>506</v>
      </c>
      <c r="AE4">
        <v>488</v>
      </c>
    </row>
    <row r="5" spans="1:31" x14ac:dyDescent="0.3">
      <c r="A5" t="s">
        <v>284</v>
      </c>
      <c r="B5" t="s">
        <v>128</v>
      </c>
      <c r="C5" t="s">
        <v>0</v>
      </c>
      <c r="D5" t="s">
        <v>129</v>
      </c>
      <c r="E5" t="s">
        <v>123</v>
      </c>
      <c r="F5">
        <v>48</v>
      </c>
      <c r="G5">
        <v>43</v>
      </c>
      <c r="H5">
        <v>43</v>
      </c>
      <c r="I5">
        <v>41</v>
      </c>
      <c r="J5">
        <v>40</v>
      </c>
      <c r="K5">
        <v>39</v>
      </c>
      <c r="L5">
        <v>42</v>
      </c>
      <c r="M5">
        <v>40</v>
      </c>
      <c r="N5">
        <v>39</v>
      </c>
      <c r="O5">
        <v>37</v>
      </c>
      <c r="P5">
        <v>38</v>
      </c>
      <c r="Q5">
        <v>42</v>
      </c>
      <c r="R5">
        <v>43</v>
      </c>
      <c r="S5">
        <v>45</v>
      </c>
      <c r="T5">
        <v>43</v>
      </c>
      <c r="U5">
        <v>42</v>
      </c>
      <c r="V5">
        <v>40</v>
      </c>
      <c r="W5">
        <v>40</v>
      </c>
      <c r="X5">
        <v>41</v>
      </c>
      <c r="Y5">
        <v>43</v>
      </c>
      <c r="Z5">
        <v>42</v>
      </c>
      <c r="AA5">
        <v>44</v>
      </c>
      <c r="AB5">
        <v>54</v>
      </c>
      <c r="AC5">
        <v>52</v>
      </c>
      <c r="AD5">
        <v>48</v>
      </c>
      <c r="AE5">
        <v>46</v>
      </c>
    </row>
    <row r="6" spans="1:31" x14ac:dyDescent="0.3">
      <c r="A6" t="s">
        <v>284</v>
      </c>
      <c r="B6" t="s">
        <v>130</v>
      </c>
      <c r="C6" t="s">
        <v>0</v>
      </c>
      <c r="D6" t="s">
        <v>131</v>
      </c>
      <c r="E6" t="s">
        <v>123</v>
      </c>
      <c r="F6">
        <v>11</v>
      </c>
      <c r="G6">
        <v>10</v>
      </c>
      <c r="H6">
        <v>11</v>
      </c>
      <c r="I6">
        <v>11</v>
      </c>
      <c r="J6">
        <v>10</v>
      </c>
      <c r="K6">
        <v>12</v>
      </c>
      <c r="L6">
        <v>13</v>
      </c>
      <c r="M6">
        <v>13</v>
      </c>
      <c r="N6">
        <v>12</v>
      </c>
      <c r="O6">
        <v>11</v>
      </c>
      <c r="P6">
        <v>11</v>
      </c>
      <c r="Q6">
        <v>11</v>
      </c>
      <c r="R6">
        <v>11</v>
      </c>
      <c r="S6">
        <v>11</v>
      </c>
      <c r="T6">
        <v>9</v>
      </c>
      <c r="U6">
        <v>7</v>
      </c>
      <c r="V6">
        <v>5</v>
      </c>
      <c r="W6">
        <v>3</v>
      </c>
      <c r="X6">
        <v>3</v>
      </c>
      <c r="Y6">
        <v>3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284</v>
      </c>
      <c r="B7" t="s">
        <v>132</v>
      </c>
      <c r="C7" t="s">
        <v>0</v>
      </c>
      <c r="D7" t="s">
        <v>133</v>
      </c>
      <c r="E7" t="s">
        <v>123</v>
      </c>
      <c r="F7">
        <v>95</v>
      </c>
      <c r="G7">
        <v>90</v>
      </c>
      <c r="H7">
        <v>92</v>
      </c>
      <c r="I7">
        <v>100</v>
      </c>
      <c r="J7">
        <v>103</v>
      </c>
      <c r="K7">
        <v>107</v>
      </c>
      <c r="L7">
        <v>114</v>
      </c>
      <c r="M7">
        <v>116</v>
      </c>
      <c r="N7">
        <v>117</v>
      </c>
      <c r="O7">
        <v>117</v>
      </c>
      <c r="P7">
        <v>117</v>
      </c>
      <c r="Q7">
        <v>131</v>
      </c>
      <c r="R7">
        <v>136</v>
      </c>
      <c r="S7">
        <v>143</v>
      </c>
      <c r="T7">
        <v>128</v>
      </c>
      <c r="U7">
        <v>118</v>
      </c>
      <c r="V7">
        <v>113</v>
      </c>
      <c r="W7">
        <v>107</v>
      </c>
      <c r="X7">
        <v>101</v>
      </c>
      <c r="Y7">
        <v>92</v>
      </c>
      <c r="Z7">
        <v>89</v>
      </c>
      <c r="AA7">
        <v>92</v>
      </c>
      <c r="AB7">
        <v>111</v>
      </c>
      <c r="AC7">
        <v>105</v>
      </c>
      <c r="AD7">
        <v>102</v>
      </c>
      <c r="AE7">
        <v>96</v>
      </c>
    </row>
    <row r="8" spans="1:31" x14ac:dyDescent="0.3">
      <c r="A8" t="s">
        <v>284</v>
      </c>
      <c r="B8" t="s">
        <v>134</v>
      </c>
      <c r="C8" t="s">
        <v>0</v>
      </c>
      <c r="D8" t="s">
        <v>135</v>
      </c>
      <c r="E8" t="s">
        <v>123</v>
      </c>
      <c r="F8">
        <v>6</v>
      </c>
      <c r="G8">
        <v>7</v>
      </c>
      <c r="H8">
        <v>8</v>
      </c>
      <c r="I8">
        <v>9</v>
      </c>
      <c r="J8">
        <v>9</v>
      </c>
      <c r="K8">
        <v>9</v>
      </c>
      <c r="L8">
        <v>9</v>
      </c>
      <c r="M8">
        <v>9</v>
      </c>
      <c r="N8">
        <v>9</v>
      </c>
      <c r="O8">
        <v>8</v>
      </c>
      <c r="P8">
        <v>8</v>
      </c>
      <c r="Q8">
        <v>8</v>
      </c>
      <c r="R8">
        <v>9</v>
      </c>
      <c r="S8">
        <v>9</v>
      </c>
      <c r="T8">
        <v>10</v>
      </c>
      <c r="U8">
        <v>13</v>
      </c>
      <c r="V8">
        <v>12</v>
      </c>
      <c r="W8">
        <v>12</v>
      </c>
      <c r="X8">
        <v>12</v>
      </c>
      <c r="Y8">
        <v>12</v>
      </c>
      <c r="Z8">
        <v>17</v>
      </c>
      <c r="AA8">
        <v>13</v>
      </c>
      <c r="AB8">
        <v>0</v>
      </c>
      <c r="AC8">
        <v>0</v>
      </c>
      <c r="AD8">
        <v>0</v>
      </c>
      <c r="AE8">
        <v>1</v>
      </c>
    </row>
    <row r="9" spans="1:31" x14ac:dyDescent="0.3">
      <c r="A9" t="s">
        <v>284</v>
      </c>
      <c r="B9" t="s">
        <v>136</v>
      </c>
      <c r="C9" t="s">
        <v>0</v>
      </c>
      <c r="D9" t="s">
        <v>137</v>
      </c>
      <c r="E9" t="s">
        <v>123</v>
      </c>
      <c r="F9">
        <v>27</v>
      </c>
      <c r="G9">
        <v>26</v>
      </c>
      <c r="H9">
        <v>27</v>
      </c>
      <c r="I9">
        <v>29</v>
      </c>
      <c r="J9">
        <v>28</v>
      </c>
      <c r="K9">
        <v>28</v>
      </c>
      <c r="L9">
        <v>30</v>
      </c>
      <c r="M9">
        <v>31</v>
      </c>
      <c r="N9">
        <v>29</v>
      </c>
      <c r="O9">
        <v>29</v>
      </c>
      <c r="P9">
        <v>29</v>
      </c>
      <c r="Q9">
        <v>28</v>
      </c>
      <c r="R9">
        <v>30</v>
      </c>
      <c r="S9">
        <v>30</v>
      </c>
      <c r="T9">
        <v>27</v>
      </c>
      <c r="U9">
        <v>25</v>
      </c>
      <c r="V9">
        <v>23</v>
      </c>
      <c r="W9">
        <v>23</v>
      </c>
      <c r="X9">
        <v>25</v>
      </c>
      <c r="Y9">
        <v>24</v>
      </c>
      <c r="Z9">
        <v>28</v>
      </c>
      <c r="AA9">
        <v>35</v>
      </c>
      <c r="AB9">
        <v>44</v>
      </c>
      <c r="AC9">
        <v>47</v>
      </c>
      <c r="AD9">
        <v>49</v>
      </c>
      <c r="AE9">
        <v>49</v>
      </c>
    </row>
    <row r="10" spans="1:31" x14ac:dyDescent="0.3">
      <c r="A10" t="s">
        <v>284</v>
      </c>
      <c r="B10" t="s">
        <v>138</v>
      </c>
      <c r="C10" t="s">
        <v>0</v>
      </c>
      <c r="D10" t="s">
        <v>139</v>
      </c>
      <c r="E10" t="s">
        <v>123</v>
      </c>
      <c r="F10">
        <v>32</v>
      </c>
      <c r="G10">
        <v>31</v>
      </c>
      <c r="H10">
        <v>31</v>
      </c>
      <c r="I10">
        <v>34</v>
      </c>
      <c r="J10">
        <v>33</v>
      </c>
      <c r="K10">
        <v>33</v>
      </c>
      <c r="L10">
        <v>34</v>
      </c>
      <c r="M10">
        <v>35</v>
      </c>
      <c r="N10">
        <v>34</v>
      </c>
      <c r="O10">
        <v>33</v>
      </c>
      <c r="P10">
        <v>33</v>
      </c>
      <c r="Q10">
        <v>32</v>
      </c>
      <c r="R10">
        <v>33</v>
      </c>
      <c r="S10">
        <v>35</v>
      </c>
      <c r="T10">
        <v>31</v>
      </c>
      <c r="U10">
        <v>28</v>
      </c>
      <c r="V10">
        <v>26</v>
      </c>
      <c r="W10">
        <v>25</v>
      </c>
      <c r="X10">
        <v>27</v>
      </c>
      <c r="Y10">
        <v>25</v>
      </c>
      <c r="Z10">
        <v>29</v>
      </c>
      <c r="AA10">
        <v>36</v>
      </c>
      <c r="AB10">
        <v>45</v>
      </c>
      <c r="AC10">
        <v>48</v>
      </c>
      <c r="AD10">
        <v>49</v>
      </c>
      <c r="AE10">
        <v>49</v>
      </c>
    </row>
    <row r="11" spans="1:31" x14ac:dyDescent="0.3">
      <c r="A11" t="s">
        <v>284</v>
      </c>
      <c r="B11" t="s">
        <v>140</v>
      </c>
      <c r="C11" t="s">
        <v>0</v>
      </c>
      <c r="D11" t="s">
        <v>141</v>
      </c>
      <c r="E11" t="s">
        <v>123</v>
      </c>
      <c r="F11">
        <v>5</v>
      </c>
      <c r="G11">
        <v>5</v>
      </c>
      <c r="H11">
        <v>4</v>
      </c>
      <c r="I11">
        <v>5</v>
      </c>
      <c r="J11">
        <v>5</v>
      </c>
      <c r="K11">
        <v>5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3</v>
      </c>
      <c r="S11">
        <v>5</v>
      </c>
      <c r="T11">
        <v>4</v>
      </c>
      <c r="U11">
        <v>3</v>
      </c>
      <c r="V11">
        <v>3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</row>
    <row r="12" spans="1:31" x14ac:dyDescent="0.3">
      <c r="A12" t="s">
        <v>284</v>
      </c>
      <c r="B12" t="s">
        <v>142</v>
      </c>
      <c r="C12" t="s">
        <v>0</v>
      </c>
      <c r="D12" t="s">
        <v>143</v>
      </c>
      <c r="E12" t="s">
        <v>123</v>
      </c>
      <c r="F12">
        <v>45</v>
      </c>
      <c r="G12">
        <v>40</v>
      </c>
      <c r="H12">
        <v>39</v>
      </c>
      <c r="I12">
        <v>43</v>
      </c>
      <c r="J12">
        <v>41</v>
      </c>
      <c r="K12">
        <v>42</v>
      </c>
      <c r="L12">
        <v>44</v>
      </c>
      <c r="M12">
        <v>45</v>
      </c>
      <c r="N12">
        <v>44</v>
      </c>
      <c r="O12">
        <v>43</v>
      </c>
      <c r="P12">
        <v>42</v>
      </c>
      <c r="Q12">
        <v>47</v>
      </c>
      <c r="R12">
        <v>48</v>
      </c>
      <c r="S12">
        <v>53</v>
      </c>
      <c r="T12">
        <v>50</v>
      </c>
      <c r="U12">
        <v>47</v>
      </c>
      <c r="V12">
        <v>43</v>
      </c>
      <c r="W12">
        <v>42</v>
      </c>
      <c r="X12">
        <v>39</v>
      </c>
      <c r="Y12">
        <v>37</v>
      </c>
      <c r="Z12">
        <v>37</v>
      </c>
      <c r="AA12">
        <v>34</v>
      </c>
      <c r="AB12">
        <v>31</v>
      </c>
      <c r="AC12">
        <v>28</v>
      </c>
      <c r="AD12">
        <v>25</v>
      </c>
      <c r="AE12">
        <v>22</v>
      </c>
    </row>
    <row r="13" spans="1:31" x14ac:dyDescent="0.3">
      <c r="A13" t="s">
        <v>284</v>
      </c>
      <c r="B13" t="s">
        <v>144</v>
      </c>
      <c r="C13" t="s">
        <v>0</v>
      </c>
      <c r="D13" t="s">
        <v>145</v>
      </c>
      <c r="E13" t="s">
        <v>123</v>
      </c>
      <c r="F13">
        <v>44</v>
      </c>
      <c r="G13">
        <v>38</v>
      </c>
      <c r="H13">
        <v>36</v>
      </c>
      <c r="I13">
        <v>40</v>
      </c>
      <c r="J13">
        <v>40</v>
      </c>
      <c r="K13">
        <v>44</v>
      </c>
      <c r="L13">
        <v>47</v>
      </c>
      <c r="M13">
        <v>47</v>
      </c>
      <c r="N13">
        <v>50</v>
      </c>
      <c r="O13">
        <v>50</v>
      </c>
      <c r="P13">
        <v>49</v>
      </c>
      <c r="Q13">
        <v>63</v>
      </c>
      <c r="R13">
        <v>81</v>
      </c>
      <c r="S13">
        <v>101</v>
      </c>
      <c r="T13">
        <v>113</v>
      </c>
      <c r="U13">
        <v>111</v>
      </c>
      <c r="V13">
        <v>106</v>
      </c>
      <c r="W13">
        <v>114</v>
      </c>
      <c r="X13">
        <v>106</v>
      </c>
      <c r="Y13">
        <v>99</v>
      </c>
      <c r="Z13">
        <v>96</v>
      </c>
      <c r="AA13">
        <v>92</v>
      </c>
      <c r="AB13">
        <v>89</v>
      </c>
      <c r="AC13">
        <v>90</v>
      </c>
      <c r="AD13">
        <v>94</v>
      </c>
      <c r="AE13">
        <v>90</v>
      </c>
    </row>
    <row r="14" spans="1:31" x14ac:dyDescent="0.3">
      <c r="A14" t="s">
        <v>284</v>
      </c>
      <c r="B14" t="s">
        <v>146</v>
      </c>
      <c r="C14" t="s">
        <v>0</v>
      </c>
      <c r="D14" t="s">
        <v>147</v>
      </c>
      <c r="E14" t="s">
        <v>123</v>
      </c>
      <c r="F14">
        <v>9</v>
      </c>
      <c r="G14">
        <v>12</v>
      </c>
      <c r="H14">
        <v>16</v>
      </c>
      <c r="I14">
        <v>21</v>
      </c>
      <c r="J14">
        <v>26</v>
      </c>
      <c r="K14">
        <v>31</v>
      </c>
      <c r="L14">
        <v>36</v>
      </c>
      <c r="M14">
        <v>43</v>
      </c>
      <c r="N14">
        <v>49</v>
      </c>
      <c r="O14">
        <v>55</v>
      </c>
      <c r="P14">
        <v>61</v>
      </c>
      <c r="Q14">
        <v>72</v>
      </c>
      <c r="R14">
        <v>76</v>
      </c>
      <c r="S14">
        <v>107</v>
      </c>
      <c r="T14">
        <v>96</v>
      </c>
      <c r="U14">
        <v>94</v>
      </c>
      <c r="V14">
        <v>90</v>
      </c>
      <c r="W14">
        <v>85</v>
      </c>
      <c r="X14">
        <v>79</v>
      </c>
      <c r="Y14">
        <v>77</v>
      </c>
      <c r="Z14">
        <v>76</v>
      </c>
      <c r="AA14">
        <v>75</v>
      </c>
      <c r="AB14">
        <v>76</v>
      </c>
      <c r="AC14">
        <v>72</v>
      </c>
      <c r="AD14">
        <v>71</v>
      </c>
      <c r="AE14">
        <v>73</v>
      </c>
    </row>
    <row r="15" spans="1:31" x14ac:dyDescent="0.3">
      <c r="A15" t="s">
        <v>284</v>
      </c>
      <c r="B15" t="s">
        <v>148</v>
      </c>
      <c r="C15" t="s">
        <v>0</v>
      </c>
      <c r="D15" t="s">
        <v>149</v>
      </c>
      <c r="E15" t="s">
        <v>123</v>
      </c>
      <c r="F15">
        <v>19</v>
      </c>
      <c r="G15">
        <v>20</v>
      </c>
      <c r="H15">
        <v>25</v>
      </c>
      <c r="I15">
        <v>31</v>
      </c>
      <c r="J15">
        <v>37</v>
      </c>
      <c r="K15">
        <v>42</v>
      </c>
      <c r="L15">
        <v>48</v>
      </c>
      <c r="M15">
        <v>54</v>
      </c>
      <c r="N15">
        <v>63</v>
      </c>
      <c r="O15">
        <v>70</v>
      </c>
      <c r="P15">
        <v>76</v>
      </c>
      <c r="Q15">
        <v>88</v>
      </c>
      <c r="R15">
        <v>92</v>
      </c>
      <c r="S15">
        <v>127</v>
      </c>
      <c r="T15">
        <v>115</v>
      </c>
      <c r="U15">
        <v>112</v>
      </c>
      <c r="V15">
        <v>106</v>
      </c>
      <c r="W15">
        <v>100</v>
      </c>
      <c r="X15">
        <v>94</v>
      </c>
      <c r="Y15">
        <v>89</v>
      </c>
      <c r="Z15">
        <v>87</v>
      </c>
      <c r="AA15">
        <v>85</v>
      </c>
      <c r="AB15">
        <v>85</v>
      </c>
      <c r="AC15">
        <v>81</v>
      </c>
      <c r="AD15">
        <v>78</v>
      </c>
      <c r="AE15">
        <v>80</v>
      </c>
    </row>
    <row r="16" spans="1:31" x14ac:dyDescent="0.3">
      <c r="A16" t="s">
        <v>284</v>
      </c>
      <c r="B16" t="s">
        <v>150</v>
      </c>
      <c r="C16" t="s">
        <v>0</v>
      </c>
      <c r="D16" t="s">
        <v>151</v>
      </c>
      <c r="E16" t="s">
        <v>123</v>
      </c>
      <c r="F16">
        <v>10</v>
      </c>
      <c r="G16">
        <v>8</v>
      </c>
      <c r="H16">
        <v>9</v>
      </c>
      <c r="I16">
        <v>10</v>
      </c>
      <c r="J16">
        <v>11</v>
      </c>
      <c r="K16">
        <v>11</v>
      </c>
      <c r="L16">
        <v>12</v>
      </c>
      <c r="M16">
        <v>11</v>
      </c>
      <c r="N16">
        <v>14</v>
      </c>
      <c r="O16">
        <v>15</v>
      </c>
      <c r="P16">
        <v>15</v>
      </c>
      <c r="Q16">
        <v>16</v>
      </c>
      <c r="R16">
        <v>16</v>
      </c>
      <c r="S16">
        <v>20</v>
      </c>
      <c r="T16">
        <v>19</v>
      </c>
      <c r="U16">
        <v>18</v>
      </c>
      <c r="V16">
        <v>16</v>
      </c>
      <c r="W16">
        <v>15</v>
      </c>
      <c r="X16">
        <v>15</v>
      </c>
      <c r="Y16">
        <v>12</v>
      </c>
      <c r="Z16">
        <v>11</v>
      </c>
      <c r="AA16">
        <v>10</v>
      </c>
      <c r="AB16">
        <v>9</v>
      </c>
      <c r="AC16">
        <v>9</v>
      </c>
      <c r="AD16">
        <v>7</v>
      </c>
      <c r="AE16">
        <v>7</v>
      </c>
    </row>
    <row r="17" spans="1:31" x14ac:dyDescent="0.3">
      <c r="A17" t="s">
        <v>284</v>
      </c>
      <c r="B17" t="s">
        <v>152</v>
      </c>
      <c r="C17" t="s">
        <v>0</v>
      </c>
      <c r="D17" t="s">
        <v>153</v>
      </c>
      <c r="E17" t="s">
        <v>123</v>
      </c>
      <c r="F17">
        <v>38</v>
      </c>
      <c r="G17">
        <v>37</v>
      </c>
      <c r="H17">
        <v>36</v>
      </c>
      <c r="I17">
        <v>38</v>
      </c>
      <c r="J17">
        <v>39</v>
      </c>
      <c r="K17">
        <v>38</v>
      </c>
      <c r="L17">
        <v>44</v>
      </c>
      <c r="M17">
        <v>43</v>
      </c>
      <c r="N17">
        <v>44</v>
      </c>
      <c r="O17">
        <v>43</v>
      </c>
      <c r="P17">
        <v>48</v>
      </c>
      <c r="Q17">
        <v>59</v>
      </c>
      <c r="R17">
        <v>65</v>
      </c>
      <c r="S17">
        <v>78</v>
      </c>
      <c r="T17">
        <v>86</v>
      </c>
      <c r="U17">
        <v>78</v>
      </c>
      <c r="V17">
        <v>76</v>
      </c>
      <c r="W17">
        <v>74</v>
      </c>
      <c r="X17">
        <v>71</v>
      </c>
      <c r="Y17">
        <v>68</v>
      </c>
      <c r="Z17">
        <v>67</v>
      </c>
      <c r="AA17">
        <v>64</v>
      </c>
      <c r="AB17">
        <v>59</v>
      </c>
      <c r="AC17">
        <v>60</v>
      </c>
      <c r="AD17">
        <v>61</v>
      </c>
      <c r="AE17">
        <v>56</v>
      </c>
    </row>
    <row r="18" spans="1:31" x14ac:dyDescent="0.3">
      <c r="A18" t="s">
        <v>284</v>
      </c>
      <c r="B18" t="s">
        <v>154</v>
      </c>
      <c r="C18" t="s">
        <v>0</v>
      </c>
      <c r="D18" t="s">
        <v>155</v>
      </c>
      <c r="E18" t="s">
        <v>123</v>
      </c>
      <c r="F18">
        <v>28</v>
      </c>
      <c r="G18">
        <v>24</v>
      </c>
      <c r="H18">
        <v>23</v>
      </c>
      <c r="I18">
        <v>21</v>
      </c>
      <c r="J18">
        <v>20</v>
      </c>
      <c r="K18">
        <v>21</v>
      </c>
      <c r="L18">
        <v>21</v>
      </c>
      <c r="M18">
        <v>20</v>
      </c>
      <c r="N18">
        <v>19</v>
      </c>
      <c r="O18">
        <v>18</v>
      </c>
      <c r="P18">
        <v>19</v>
      </c>
      <c r="Q18">
        <v>23</v>
      </c>
      <c r="R18">
        <v>25</v>
      </c>
      <c r="S18">
        <v>26</v>
      </c>
      <c r="T18">
        <v>27</v>
      </c>
      <c r="U18">
        <v>26</v>
      </c>
      <c r="V18">
        <v>24</v>
      </c>
      <c r="W18">
        <v>23</v>
      </c>
      <c r="X18">
        <v>20</v>
      </c>
      <c r="Y18">
        <v>17</v>
      </c>
      <c r="Z18">
        <v>14</v>
      </c>
      <c r="AA18">
        <v>13</v>
      </c>
      <c r="AB18">
        <v>11</v>
      </c>
      <c r="AC18">
        <v>11</v>
      </c>
      <c r="AD18">
        <v>0</v>
      </c>
      <c r="AE18">
        <v>0</v>
      </c>
    </row>
    <row r="19" spans="1:31" x14ac:dyDescent="0.3">
      <c r="A19" t="s">
        <v>284</v>
      </c>
      <c r="B19" t="s">
        <v>156</v>
      </c>
      <c r="C19" t="s">
        <v>0</v>
      </c>
      <c r="D19" t="s">
        <v>157</v>
      </c>
      <c r="E19" t="s">
        <v>123</v>
      </c>
      <c r="F19">
        <v>18</v>
      </c>
      <c r="G19">
        <v>17</v>
      </c>
      <c r="H19">
        <v>18</v>
      </c>
      <c r="I19">
        <v>20</v>
      </c>
      <c r="J19">
        <v>20</v>
      </c>
      <c r="K19">
        <v>21</v>
      </c>
      <c r="L19">
        <v>22</v>
      </c>
      <c r="M19">
        <v>23</v>
      </c>
      <c r="N19">
        <v>25</v>
      </c>
      <c r="O19">
        <v>25</v>
      </c>
      <c r="P19">
        <v>26</v>
      </c>
      <c r="Q19">
        <v>29</v>
      </c>
      <c r="R19">
        <v>32</v>
      </c>
      <c r="S19">
        <v>36</v>
      </c>
      <c r="T19">
        <v>34</v>
      </c>
      <c r="U19">
        <v>33</v>
      </c>
      <c r="V19">
        <v>31</v>
      </c>
      <c r="W19">
        <v>28</v>
      </c>
      <c r="X19">
        <v>25</v>
      </c>
      <c r="Y19">
        <v>29</v>
      </c>
      <c r="Z19">
        <v>38</v>
      </c>
      <c r="AA19">
        <v>40</v>
      </c>
      <c r="AB19">
        <v>44</v>
      </c>
      <c r="AC19">
        <v>45</v>
      </c>
      <c r="AD19">
        <v>49</v>
      </c>
      <c r="AE19">
        <v>48</v>
      </c>
    </row>
    <row r="20" spans="1:31" x14ac:dyDescent="0.3">
      <c r="A20" t="s">
        <v>284</v>
      </c>
      <c r="B20" t="s">
        <v>158</v>
      </c>
      <c r="C20" t="s">
        <v>0</v>
      </c>
      <c r="D20" t="s">
        <v>159</v>
      </c>
      <c r="E20" t="s">
        <v>123</v>
      </c>
      <c r="F20">
        <v>75</v>
      </c>
      <c r="G20">
        <v>68</v>
      </c>
      <c r="H20">
        <v>67</v>
      </c>
      <c r="I20">
        <v>69</v>
      </c>
      <c r="J20">
        <v>67</v>
      </c>
      <c r="K20">
        <v>67</v>
      </c>
      <c r="L20">
        <v>69</v>
      </c>
      <c r="M20">
        <v>70</v>
      </c>
      <c r="N20">
        <v>69</v>
      </c>
      <c r="O20">
        <v>68</v>
      </c>
      <c r="P20">
        <v>66</v>
      </c>
      <c r="Q20">
        <v>65</v>
      </c>
      <c r="R20">
        <v>64</v>
      </c>
      <c r="S20">
        <v>69</v>
      </c>
      <c r="T20">
        <v>68</v>
      </c>
      <c r="U20">
        <v>97</v>
      </c>
      <c r="V20">
        <v>89</v>
      </c>
      <c r="W20">
        <v>110</v>
      </c>
      <c r="X20">
        <v>137</v>
      </c>
      <c r="Y20">
        <v>165</v>
      </c>
      <c r="Z20">
        <v>194</v>
      </c>
      <c r="AA20">
        <v>233</v>
      </c>
      <c r="AB20">
        <v>250</v>
      </c>
      <c r="AC20">
        <v>257</v>
      </c>
      <c r="AD20">
        <v>257</v>
      </c>
      <c r="AE20">
        <v>271</v>
      </c>
    </row>
    <row r="21" spans="1:31" x14ac:dyDescent="0.3">
      <c r="A21" t="s">
        <v>284</v>
      </c>
      <c r="B21" t="s">
        <v>160</v>
      </c>
      <c r="C21" t="s">
        <v>0</v>
      </c>
      <c r="D21" t="s">
        <v>161</v>
      </c>
      <c r="E21" t="s">
        <v>123</v>
      </c>
      <c r="F21">
        <v>208</v>
      </c>
      <c r="G21">
        <v>193</v>
      </c>
      <c r="H21">
        <v>189</v>
      </c>
      <c r="I21">
        <v>206</v>
      </c>
      <c r="J21">
        <v>210</v>
      </c>
      <c r="K21">
        <v>213</v>
      </c>
      <c r="L21">
        <v>226</v>
      </c>
      <c r="M21">
        <v>214</v>
      </c>
      <c r="N21">
        <v>195</v>
      </c>
      <c r="O21">
        <v>180</v>
      </c>
      <c r="P21">
        <v>172</v>
      </c>
      <c r="Q21">
        <v>163</v>
      </c>
      <c r="R21">
        <v>158</v>
      </c>
      <c r="S21">
        <v>160</v>
      </c>
      <c r="T21">
        <v>153</v>
      </c>
      <c r="U21">
        <v>184</v>
      </c>
      <c r="V21">
        <v>169</v>
      </c>
      <c r="W21">
        <v>210</v>
      </c>
      <c r="X21">
        <v>237</v>
      </c>
      <c r="Y21">
        <v>264</v>
      </c>
      <c r="Z21">
        <v>292</v>
      </c>
      <c r="AA21">
        <v>341</v>
      </c>
      <c r="AB21">
        <v>362</v>
      </c>
      <c r="AC21">
        <v>363</v>
      </c>
      <c r="AD21">
        <v>354</v>
      </c>
      <c r="AE21">
        <v>358</v>
      </c>
    </row>
    <row r="22" spans="1:31" x14ac:dyDescent="0.3">
      <c r="A22" t="s">
        <v>284</v>
      </c>
      <c r="B22" t="s">
        <v>162</v>
      </c>
      <c r="C22" t="s">
        <v>0</v>
      </c>
      <c r="D22" t="s">
        <v>163</v>
      </c>
      <c r="E22" t="s">
        <v>123</v>
      </c>
      <c r="F22">
        <v>133</v>
      </c>
      <c r="G22">
        <v>125</v>
      </c>
      <c r="H22">
        <v>122</v>
      </c>
      <c r="I22">
        <v>137</v>
      </c>
      <c r="J22">
        <v>143</v>
      </c>
      <c r="K22">
        <v>146</v>
      </c>
      <c r="L22">
        <v>157</v>
      </c>
      <c r="M22">
        <v>144</v>
      </c>
      <c r="N22">
        <v>126</v>
      </c>
      <c r="O22">
        <v>112</v>
      </c>
      <c r="P22">
        <v>106</v>
      </c>
      <c r="Q22">
        <v>98</v>
      </c>
      <c r="R22">
        <v>94</v>
      </c>
      <c r="S22">
        <v>91</v>
      </c>
      <c r="T22">
        <v>85</v>
      </c>
      <c r="U22">
        <v>87</v>
      </c>
      <c r="V22">
        <v>80</v>
      </c>
      <c r="W22">
        <v>100</v>
      </c>
      <c r="X22">
        <v>100</v>
      </c>
      <c r="Y22">
        <v>99</v>
      </c>
      <c r="Z22">
        <v>98</v>
      </c>
      <c r="AA22">
        <v>108</v>
      </c>
      <c r="AB22">
        <v>112</v>
      </c>
      <c r="AC22">
        <v>106</v>
      </c>
      <c r="AD22">
        <v>97</v>
      </c>
      <c r="AE22">
        <v>87</v>
      </c>
    </row>
    <row r="23" spans="1:31" x14ac:dyDescent="0.3">
      <c r="A23" t="s">
        <v>284</v>
      </c>
      <c r="B23" t="s">
        <v>164</v>
      </c>
      <c r="C23" t="s">
        <v>0</v>
      </c>
      <c r="D23" t="s">
        <v>165</v>
      </c>
      <c r="E23" t="s">
        <v>123</v>
      </c>
      <c r="F23">
        <v>211</v>
      </c>
      <c r="G23">
        <v>235</v>
      </c>
      <c r="H23">
        <v>267</v>
      </c>
      <c r="I23">
        <v>319</v>
      </c>
      <c r="J23">
        <v>362</v>
      </c>
      <c r="K23">
        <v>408</v>
      </c>
      <c r="L23">
        <v>468</v>
      </c>
      <c r="M23">
        <v>513</v>
      </c>
      <c r="N23">
        <v>546</v>
      </c>
      <c r="O23">
        <v>576</v>
      </c>
      <c r="P23">
        <v>608</v>
      </c>
      <c r="Q23">
        <v>641</v>
      </c>
      <c r="R23">
        <v>692</v>
      </c>
      <c r="S23">
        <v>742</v>
      </c>
      <c r="T23">
        <v>734</v>
      </c>
      <c r="U23">
        <v>791</v>
      </c>
      <c r="V23">
        <v>795</v>
      </c>
      <c r="W23">
        <v>792</v>
      </c>
      <c r="X23">
        <v>785</v>
      </c>
      <c r="Y23">
        <v>750</v>
      </c>
      <c r="Z23">
        <v>737</v>
      </c>
      <c r="AA23">
        <v>743</v>
      </c>
      <c r="AB23">
        <v>748</v>
      </c>
      <c r="AC23">
        <v>729</v>
      </c>
      <c r="AD23">
        <v>697</v>
      </c>
      <c r="AE23">
        <v>642</v>
      </c>
    </row>
    <row r="24" spans="1:31" x14ac:dyDescent="0.3">
      <c r="A24" t="s">
        <v>284</v>
      </c>
      <c r="B24" t="s">
        <v>166</v>
      </c>
      <c r="C24" t="s">
        <v>0</v>
      </c>
      <c r="D24" t="s">
        <v>167</v>
      </c>
      <c r="E24" t="s">
        <v>123</v>
      </c>
      <c r="F24">
        <v>1312</v>
      </c>
      <c r="G24">
        <v>1288</v>
      </c>
      <c r="H24">
        <v>1241</v>
      </c>
      <c r="I24">
        <v>1263</v>
      </c>
      <c r="J24">
        <v>1246</v>
      </c>
      <c r="K24">
        <v>1259</v>
      </c>
      <c r="L24">
        <v>1368</v>
      </c>
      <c r="M24">
        <v>1402</v>
      </c>
      <c r="N24">
        <v>1392</v>
      </c>
      <c r="O24">
        <v>1368</v>
      </c>
      <c r="P24">
        <v>1359</v>
      </c>
      <c r="Q24">
        <v>1318</v>
      </c>
      <c r="R24">
        <v>1343</v>
      </c>
      <c r="S24">
        <v>1392</v>
      </c>
      <c r="T24">
        <v>1353</v>
      </c>
      <c r="U24">
        <v>1404</v>
      </c>
      <c r="V24">
        <v>1395</v>
      </c>
      <c r="W24">
        <v>1411</v>
      </c>
      <c r="X24">
        <v>1372</v>
      </c>
      <c r="Y24">
        <v>1284</v>
      </c>
      <c r="Z24">
        <v>1210</v>
      </c>
      <c r="AA24">
        <v>1143</v>
      </c>
      <c r="AB24">
        <v>1037</v>
      </c>
      <c r="AC24">
        <v>930</v>
      </c>
      <c r="AD24">
        <v>829</v>
      </c>
      <c r="AE24">
        <v>713</v>
      </c>
    </row>
    <row r="25" spans="1:31" x14ac:dyDescent="0.3">
      <c r="A25" t="s">
        <v>284</v>
      </c>
      <c r="B25" t="s">
        <v>168</v>
      </c>
      <c r="C25" t="s">
        <v>0</v>
      </c>
      <c r="D25" t="s">
        <v>169</v>
      </c>
      <c r="E25" t="s">
        <v>123</v>
      </c>
      <c r="F25">
        <v>129</v>
      </c>
      <c r="G25">
        <v>122</v>
      </c>
      <c r="H25">
        <v>121</v>
      </c>
      <c r="I25">
        <v>126</v>
      </c>
      <c r="J25">
        <v>124</v>
      </c>
      <c r="K25">
        <v>139</v>
      </c>
      <c r="L25">
        <v>159</v>
      </c>
      <c r="M25">
        <v>168</v>
      </c>
      <c r="N25">
        <v>172</v>
      </c>
      <c r="O25">
        <v>173</v>
      </c>
      <c r="P25">
        <v>168</v>
      </c>
      <c r="Q25">
        <v>173</v>
      </c>
      <c r="R25">
        <v>170</v>
      </c>
      <c r="S25">
        <v>183</v>
      </c>
      <c r="T25">
        <v>179</v>
      </c>
      <c r="U25">
        <v>195</v>
      </c>
      <c r="V25">
        <v>207</v>
      </c>
      <c r="W25">
        <v>207</v>
      </c>
      <c r="X25">
        <v>192</v>
      </c>
      <c r="Y25">
        <v>177</v>
      </c>
      <c r="Z25">
        <v>166</v>
      </c>
      <c r="AA25">
        <v>162</v>
      </c>
      <c r="AB25">
        <v>147</v>
      </c>
      <c r="AC25">
        <v>134</v>
      </c>
      <c r="AD25">
        <v>121</v>
      </c>
      <c r="AE25">
        <v>108</v>
      </c>
    </row>
    <row r="26" spans="1:31" x14ac:dyDescent="0.3">
      <c r="A26" t="s">
        <v>284</v>
      </c>
      <c r="B26" t="s">
        <v>170</v>
      </c>
      <c r="C26" t="s">
        <v>0</v>
      </c>
      <c r="D26" t="s">
        <v>171</v>
      </c>
      <c r="E26" t="s">
        <v>123</v>
      </c>
      <c r="F26">
        <v>907</v>
      </c>
      <c r="G26">
        <v>913</v>
      </c>
      <c r="H26">
        <v>877</v>
      </c>
      <c r="I26">
        <v>888</v>
      </c>
      <c r="J26">
        <v>871</v>
      </c>
      <c r="K26">
        <v>856</v>
      </c>
      <c r="L26">
        <v>908</v>
      </c>
      <c r="M26">
        <v>909</v>
      </c>
      <c r="N26">
        <v>868</v>
      </c>
      <c r="O26">
        <v>830</v>
      </c>
      <c r="P26">
        <v>808</v>
      </c>
      <c r="Q26">
        <v>753</v>
      </c>
      <c r="R26">
        <v>762</v>
      </c>
      <c r="S26">
        <v>775</v>
      </c>
      <c r="T26">
        <v>737</v>
      </c>
      <c r="U26">
        <v>734</v>
      </c>
      <c r="V26">
        <v>713</v>
      </c>
      <c r="W26">
        <v>714</v>
      </c>
      <c r="X26">
        <v>692</v>
      </c>
      <c r="Y26">
        <v>640</v>
      </c>
      <c r="Z26">
        <v>588</v>
      </c>
      <c r="AA26">
        <v>544</v>
      </c>
      <c r="AB26">
        <v>490</v>
      </c>
      <c r="AC26">
        <v>432</v>
      </c>
      <c r="AD26">
        <v>377</v>
      </c>
      <c r="AE26">
        <v>315</v>
      </c>
    </row>
    <row r="27" spans="1:31" x14ac:dyDescent="0.3">
      <c r="A27" t="s">
        <v>284</v>
      </c>
      <c r="B27" t="s">
        <v>172</v>
      </c>
      <c r="C27" t="s">
        <v>0</v>
      </c>
      <c r="D27" t="s">
        <v>173</v>
      </c>
      <c r="E27" t="s">
        <v>123</v>
      </c>
      <c r="F27">
        <v>276</v>
      </c>
      <c r="G27">
        <v>253</v>
      </c>
      <c r="H27">
        <v>243</v>
      </c>
      <c r="I27">
        <v>249</v>
      </c>
      <c r="J27">
        <v>251</v>
      </c>
      <c r="K27">
        <v>264</v>
      </c>
      <c r="L27">
        <v>301</v>
      </c>
      <c r="M27">
        <v>325</v>
      </c>
      <c r="N27">
        <v>352</v>
      </c>
      <c r="O27">
        <v>365</v>
      </c>
      <c r="P27">
        <v>383</v>
      </c>
      <c r="Q27">
        <v>392</v>
      </c>
      <c r="R27">
        <v>411</v>
      </c>
      <c r="S27">
        <v>434</v>
      </c>
      <c r="T27">
        <v>437</v>
      </c>
      <c r="U27">
        <v>475</v>
      </c>
      <c r="V27">
        <v>475</v>
      </c>
      <c r="W27">
        <v>490</v>
      </c>
      <c r="X27">
        <v>488</v>
      </c>
      <c r="Y27">
        <v>467</v>
      </c>
      <c r="Z27">
        <v>456</v>
      </c>
      <c r="AA27">
        <v>437</v>
      </c>
      <c r="AB27">
        <v>400</v>
      </c>
      <c r="AC27">
        <v>364</v>
      </c>
      <c r="AD27">
        <v>331</v>
      </c>
      <c r="AE27">
        <v>290</v>
      </c>
    </row>
    <row r="28" spans="1:31" x14ac:dyDescent="0.3">
      <c r="A28" t="s">
        <v>284</v>
      </c>
      <c r="B28" t="s">
        <v>174</v>
      </c>
      <c r="C28" t="s">
        <v>0</v>
      </c>
      <c r="D28" t="s">
        <v>175</v>
      </c>
      <c r="E28" t="s">
        <v>123</v>
      </c>
      <c r="F28">
        <v>6398</v>
      </c>
      <c r="G28">
        <v>6004</v>
      </c>
      <c r="H28">
        <v>6135</v>
      </c>
      <c r="I28">
        <v>6490</v>
      </c>
      <c r="J28">
        <v>6685</v>
      </c>
      <c r="K28">
        <v>6637</v>
      </c>
      <c r="L28">
        <v>7164</v>
      </c>
      <c r="M28">
        <v>7212</v>
      </c>
      <c r="N28">
        <v>6890</v>
      </c>
      <c r="O28">
        <v>7026</v>
      </c>
      <c r="P28">
        <v>7077</v>
      </c>
      <c r="Q28">
        <v>7189</v>
      </c>
      <c r="R28">
        <v>7301</v>
      </c>
      <c r="S28">
        <v>7129</v>
      </c>
      <c r="T28">
        <v>7128</v>
      </c>
      <c r="U28">
        <v>6928</v>
      </c>
      <c r="V28">
        <v>6918</v>
      </c>
      <c r="W28">
        <v>6928</v>
      </c>
      <c r="X28">
        <v>7116</v>
      </c>
      <c r="Y28">
        <v>6769</v>
      </c>
      <c r="Z28">
        <v>6842</v>
      </c>
      <c r="AA28">
        <v>7327</v>
      </c>
      <c r="AB28">
        <v>7449</v>
      </c>
      <c r="AC28">
        <v>7157</v>
      </c>
      <c r="AD28">
        <v>7554</v>
      </c>
      <c r="AE28">
        <v>7412</v>
      </c>
    </row>
    <row r="29" spans="1:31" x14ac:dyDescent="0.3">
      <c r="A29" t="s">
        <v>284</v>
      </c>
      <c r="B29" t="s">
        <v>176</v>
      </c>
      <c r="C29" t="s">
        <v>0</v>
      </c>
      <c r="D29" t="s">
        <v>177</v>
      </c>
      <c r="E29" t="s">
        <v>123</v>
      </c>
      <c r="F29">
        <v>1972</v>
      </c>
      <c r="G29">
        <v>1964</v>
      </c>
      <c r="H29">
        <v>2030</v>
      </c>
      <c r="I29">
        <v>2193</v>
      </c>
      <c r="J29">
        <v>2306</v>
      </c>
      <c r="K29">
        <v>2349</v>
      </c>
      <c r="L29">
        <v>2528</v>
      </c>
      <c r="M29">
        <v>2621</v>
      </c>
      <c r="N29">
        <v>2632</v>
      </c>
      <c r="O29">
        <v>2704</v>
      </c>
      <c r="P29">
        <v>2797</v>
      </c>
      <c r="Q29">
        <v>2734</v>
      </c>
      <c r="R29">
        <v>2677</v>
      </c>
      <c r="S29">
        <v>2721</v>
      </c>
      <c r="T29">
        <v>2624</v>
      </c>
      <c r="U29">
        <v>2588</v>
      </c>
      <c r="V29">
        <v>2621</v>
      </c>
      <c r="W29">
        <v>2565</v>
      </c>
      <c r="X29">
        <v>2519</v>
      </c>
      <c r="Y29">
        <v>2403</v>
      </c>
      <c r="Z29">
        <v>2501</v>
      </c>
      <c r="AA29">
        <v>2662</v>
      </c>
      <c r="AB29">
        <v>2853</v>
      </c>
      <c r="AC29">
        <v>2657</v>
      </c>
      <c r="AD29">
        <v>3004</v>
      </c>
      <c r="AE29">
        <v>2974</v>
      </c>
    </row>
    <row r="30" spans="1:31" x14ac:dyDescent="0.3">
      <c r="A30" t="s">
        <v>284</v>
      </c>
      <c r="B30" t="s">
        <v>178</v>
      </c>
      <c r="C30" t="s">
        <v>0</v>
      </c>
      <c r="D30" t="s">
        <v>179</v>
      </c>
      <c r="E30" t="s">
        <v>123</v>
      </c>
      <c r="F30">
        <v>3427</v>
      </c>
      <c r="G30">
        <v>3112</v>
      </c>
      <c r="H30">
        <v>3182</v>
      </c>
      <c r="I30">
        <v>3314</v>
      </c>
      <c r="J30">
        <v>3276</v>
      </c>
      <c r="K30">
        <v>3152</v>
      </c>
      <c r="L30">
        <v>3361</v>
      </c>
      <c r="M30">
        <v>3351</v>
      </c>
      <c r="N30">
        <v>3100</v>
      </c>
      <c r="O30">
        <v>3198</v>
      </c>
      <c r="P30">
        <v>3063</v>
      </c>
      <c r="Q30">
        <v>3074</v>
      </c>
      <c r="R30">
        <v>3141</v>
      </c>
      <c r="S30">
        <v>2903</v>
      </c>
      <c r="T30">
        <v>2752</v>
      </c>
      <c r="U30">
        <v>2588</v>
      </c>
      <c r="V30">
        <v>2614</v>
      </c>
      <c r="W30">
        <v>2750</v>
      </c>
      <c r="X30">
        <v>2807</v>
      </c>
      <c r="Y30">
        <v>2719</v>
      </c>
      <c r="Z30">
        <v>2589</v>
      </c>
      <c r="AA30">
        <v>2450</v>
      </c>
      <c r="AB30">
        <v>2232</v>
      </c>
      <c r="AC30">
        <v>2189</v>
      </c>
      <c r="AD30">
        <v>2116</v>
      </c>
      <c r="AE30">
        <v>2026</v>
      </c>
    </row>
    <row r="31" spans="1:31" x14ac:dyDescent="0.3">
      <c r="A31" t="s">
        <v>284</v>
      </c>
      <c r="B31" t="s">
        <v>180</v>
      </c>
      <c r="C31" t="s">
        <v>0</v>
      </c>
      <c r="D31" t="s">
        <v>181</v>
      </c>
      <c r="E31" t="s">
        <v>123</v>
      </c>
      <c r="F31">
        <v>843</v>
      </c>
      <c r="G31">
        <v>787</v>
      </c>
      <c r="H31">
        <v>755</v>
      </c>
      <c r="I31">
        <v>765</v>
      </c>
      <c r="J31">
        <v>902</v>
      </c>
      <c r="K31">
        <v>935</v>
      </c>
      <c r="L31">
        <v>1067</v>
      </c>
      <c r="M31">
        <v>1037</v>
      </c>
      <c r="N31">
        <v>964</v>
      </c>
      <c r="O31">
        <v>929</v>
      </c>
      <c r="P31">
        <v>1037</v>
      </c>
      <c r="Q31">
        <v>1170</v>
      </c>
      <c r="R31">
        <v>1277</v>
      </c>
      <c r="S31">
        <v>1305</v>
      </c>
      <c r="T31">
        <v>1534</v>
      </c>
      <c r="U31">
        <v>1482</v>
      </c>
      <c r="V31">
        <v>1403</v>
      </c>
      <c r="W31">
        <v>1354</v>
      </c>
      <c r="X31">
        <v>1534</v>
      </c>
      <c r="Y31">
        <v>1375</v>
      </c>
      <c r="Z31">
        <v>1477</v>
      </c>
      <c r="AA31">
        <v>1849</v>
      </c>
      <c r="AB31">
        <v>1961</v>
      </c>
      <c r="AC31">
        <v>1922</v>
      </c>
      <c r="AD31">
        <v>2021</v>
      </c>
      <c r="AE31">
        <v>2006</v>
      </c>
    </row>
    <row r="32" spans="1:31" x14ac:dyDescent="0.3">
      <c r="A32" t="s">
        <v>284</v>
      </c>
      <c r="B32" t="s">
        <v>182</v>
      </c>
      <c r="C32" t="s">
        <v>0</v>
      </c>
      <c r="D32" t="s">
        <v>183</v>
      </c>
      <c r="E32" t="s">
        <v>123</v>
      </c>
      <c r="F32">
        <v>124</v>
      </c>
      <c r="G32">
        <v>112</v>
      </c>
      <c r="H32">
        <v>141</v>
      </c>
      <c r="I32">
        <v>191</v>
      </c>
      <c r="J32">
        <v>175</v>
      </c>
      <c r="K32">
        <v>165</v>
      </c>
      <c r="L32">
        <v>168</v>
      </c>
      <c r="M32">
        <v>160</v>
      </c>
      <c r="N32">
        <v>151</v>
      </c>
      <c r="O32">
        <v>145</v>
      </c>
      <c r="P32">
        <v>137</v>
      </c>
      <c r="Q32">
        <v>149</v>
      </c>
      <c r="R32">
        <v>142</v>
      </c>
      <c r="S32">
        <v>138</v>
      </c>
      <c r="T32">
        <v>146</v>
      </c>
      <c r="U32">
        <v>174</v>
      </c>
      <c r="V32">
        <v>180</v>
      </c>
      <c r="W32">
        <v>166</v>
      </c>
      <c r="X32">
        <v>161</v>
      </c>
      <c r="Y32">
        <v>175</v>
      </c>
      <c r="Z32">
        <v>187</v>
      </c>
      <c r="AA32">
        <v>280</v>
      </c>
      <c r="AB32">
        <v>311</v>
      </c>
      <c r="AC32">
        <v>304</v>
      </c>
      <c r="AD32">
        <v>333</v>
      </c>
      <c r="AE32">
        <v>333</v>
      </c>
    </row>
    <row r="33" spans="1:31" x14ac:dyDescent="0.3">
      <c r="A33" t="s">
        <v>284</v>
      </c>
      <c r="B33" t="s">
        <v>184</v>
      </c>
      <c r="C33" t="s">
        <v>0</v>
      </c>
      <c r="D33" t="s">
        <v>185</v>
      </c>
      <c r="E33" t="s">
        <v>123</v>
      </c>
      <c r="F33">
        <v>32</v>
      </c>
      <c r="G33">
        <v>29</v>
      </c>
      <c r="H33">
        <v>27</v>
      </c>
      <c r="I33">
        <v>27</v>
      </c>
      <c r="J33">
        <v>26</v>
      </c>
      <c r="K33">
        <v>36</v>
      </c>
      <c r="L33">
        <v>40</v>
      </c>
      <c r="M33">
        <v>43</v>
      </c>
      <c r="N33">
        <v>43</v>
      </c>
      <c r="O33">
        <v>50</v>
      </c>
      <c r="P33">
        <v>43</v>
      </c>
      <c r="Q33">
        <v>62</v>
      </c>
      <c r="R33">
        <v>64</v>
      </c>
      <c r="S33">
        <v>62</v>
      </c>
      <c r="T33">
        <v>72</v>
      </c>
      <c r="U33">
        <v>96</v>
      </c>
      <c r="V33">
        <v>100</v>
      </c>
      <c r="W33">
        <v>93</v>
      </c>
      <c r="X33">
        <v>95</v>
      </c>
      <c r="Y33">
        <v>97</v>
      </c>
      <c r="Z33">
        <v>88</v>
      </c>
      <c r="AA33">
        <v>86</v>
      </c>
      <c r="AB33">
        <v>92</v>
      </c>
      <c r="AC33">
        <v>85</v>
      </c>
      <c r="AD33">
        <v>80</v>
      </c>
      <c r="AE33">
        <v>73</v>
      </c>
    </row>
    <row r="34" spans="1:31" x14ac:dyDescent="0.3">
      <c r="A34" t="s">
        <v>284</v>
      </c>
      <c r="B34" t="s">
        <v>186</v>
      </c>
      <c r="C34" t="s">
        <v>0</v>
      </c>
      <c r="D34" t="s">
        <v>187</v>
      </c>
      <c r="E34" t="s">
        <v>123</v>
      </c>
      <c r="F34">
        <v>52</v>
      </c>
      <c r="G34">
        <v>54</v>
      </c>
      <c r="H34">
        <v>51</v>
      </c>
      <c r="I34">
        <v>57</v>
      </c>
      <c r="J34">
        <v>60</v>
      </c>
      <c r="K34">
        <v>65</v>
      </c>
      <c r="L34">
        <v>71</v>
      </c>
      <c r="M34">
        <v>77</v>
      </c>
      <c r="N34">
        <v>81</v>
      </c>
      <c r="O34">
        <v>84</v>
      </c>
      <c r="P34">
        <v>89</v>
      </c>
      <c r="Q34">
        <v>95</v>
      </c>
      <c r="R34">
        <v>93</v>
      </c>
      <c r="S34">
        <v>90</v>
      </c>
      <c r="T34">
        <v>87</v>
      </c>
      <c r="U34">
        <v>92</v>
      </c>
      <c r="V34">
        <v>92</v>
      </c>
      <c r="W34">
        <v>99</v>
      </c>
      <c r="X34">
        <v>98</v>
      </c>
      <c r="Y34">
        <v>94</v>
      </c>
      <c r="Z34">
        <v>89</v>
      </c>
      <c r="AA34">
        <v>87</v>
      </c>
      <c r="AB34">
        <v>80</v>
      </c>
      <c r="AC34">
        <v>74</v>
      </c>
      <c r="AD34">
        <v>70</v>
      </c>
      <c r="AE34">
        <v>61</v>
      </c>
    </row>
    <row r="35" spans="1:31" x14ac:dyDescent="0.3">
      <c r="A35" t="s">
        <v>284</v>
      </c>
      <c r="B35" t="s">
        <v>188</v>
      </c>
      <c r="C35" t="s">
        <v>0</v>
      </c>
      <c r="D35" t="s">
        <v>189</v>
      </c>
      <c r="E35" t="s">
        <v>123</v>
      </c>
      <c r="F35">
        <v>147</v>
      </c>
      <c r="G35">
        <v>139</v>
      </c>
      <c r="H35">
        <v>144</v>
      </c>
      <c r="I35">
        <v>154</v>
      </c>
      <c r="J35">
        <v>159</v>
      </c>
      <c r="K35">
        <v>176</v>
      </c>
      <c r="L35">
        <v>200</v>
      </c>
      <c r="M35">
        <v>211</v>
      </c>
      <c r="N35">
        <v>209</v>
      </c>
      <c r="O35">
        <v>245</v>
      </c>
      <c r="P35">
        <v>269</v>
      </c>
      <c r="Q35">
        <v>278</v>
      </c>
      <c r="R35">
        <v>289</v>
      </c>
      <c r="S35">
        <v>326</v>
      </c>
      <c r="T35">
        <v>339</v>
      </c>
      <c r="U35">
        <v>396</v>
      </c>
      <c r="V35">
        <v>378</v>
      </c>
      <c r="W35">
        <v>369</v>
      </c>
      <c r="X35">
        <v>350</v>
      </c>
      <c r="Y35">
        <v>318</v>
      </c>
      <c r="Z35">
        <v>287</v>
      </c>
      <c r="AA35">
        <v>268</v>
      </c>
      <c r="AB35">
        <v>242</v>
      </c>
      <c r="AC35">
        <v>223</v>
      </c>
      <c r="AD35">
        <v>199</v>
      </c>
      <c r="AE35">
        <v>177</v>
      </c>
    </row>
    <row r="36" spans="1:31" x14ac:dyDescent="0.3">
      <c r="A36" t="s">
        <v>284</v>
      </c>
      <c r="B36" t="s">
        <v>190</v>
      </c>
      <c r="C36" t="s">
        <v>0</v>
      </c>
      <c r="D36" t="s">
        <v>191</v>
      </c>
      <c r="E36" t="s">
        <v>123</v>
      </c>
      <c r="F36">
        <v>29</v>
      </c>
      <c r="G36">
        <v>27</v>
      </c>
      <c r="H36">
        <v>29</v>
      </c>
      <c r="I36">
        <v>33</v>
      </c>
      <c r="J36">
        <v>34</v>
      </c>
      <c r="K36">
        <v>37</v>
      </c>
      <c r="L36">
        <v>42</v>
      </c>
      <c r="M36">
        <v>43</v>
      </c>
      <c r="N36">
        <v>44</v>
      </c>
      <c r="O36">
        <v>42</v>
      </c>
      <c r="P36">
        <v>45</v>
      </c>
      <c r="Q36">
        <v>47</v>
      </c>
      <c r="R36">
        <v>47</v>
      </c>
      <c r="S36">
        <v>46</v>
      </c>
      <c r="T36">
        <v>46</v>
      </c>
      <c r="U36">
        <v>49</v>
      </c>
      <c r="V36">
        <v>50</v>
      </c>
      <c r="W36">
        <v>50</v>
      </c>
      <c r="X36">
        <v>45</v>
      </c>
      <c r="Y36">
        <v>38</v>
      </c>
      <c r="Z36">
        <v>32</v>
      </c>
      <c r="AA36">
        <v>28</v>
      </c>
      <c r="AB36">
        <v>25</v>
      </c>
      <c r="AC36">
        <v>23</v>
      </c>
      <c r="AD36">
        <v>20</v>
      </c>
      <c r="AE36">
        <v>17</v>
      </c>
    </row>
    <row r="37" spans="1:31" x14ac:dyDescent="0.3">
      <c r="A37" t="s">
        <v>284</v>
      </c>
      <c r="B37" t="s">
        <v>192</v>
      </c>
      <c r="C37" t="s">
        <v>0</v>
      </c>
      <c r="D37" t="s">
        <v>193</v>
      </c>
      <c r="E37" t="s">
        <v>123</v>
      </c>
      <c r="F37">
        <v>55</v>
      </c>
      <c r="G37">
        <v>51</v>
      </c>
      <c r="H37">
        <v>55</v>
      </c>
      <c r="I37">
        <v>60</v>
      </c>
      <c r="J37">
        <v>62</v>
      </c>
      <c r="K37">
        <v>73</v>
      </c>
      <c r="L37">
        <v>84</v>
      </c>
      <c r="M37">
        <v>88</v>
      </c>
      <c r="N37">
        <v>86</v>
      </c>
      <c r="O37">
        <v>126</v>
      </c>
      <c r="P37">
        <v>148</v>
      </c>
      <c r="Q37">
        <v>153</v>
      </c>
      <c r="R37">
        <v>180</v>
      </c>
      <c r="S37">
        <v>218</v>
      </c>
      <c r="T37">
        <v>245</v>
      </c>
      <c r="U37">
        <v>297</v>
      </c>
      <c r="V37">
        <v>285</v>
      </c>
      <c r="W37">
        <v>271</v>
      </c>
      <c r="X37">
        <v>258</v>
      </c>
      <c r="Y37">
        <v>237</v>
      </c>
      <c r="Z37">
        <v>213</v>
      </c>
      <c r="AA37">
        <v>199</v>
      </c>
      <c r="AB37">
        <v>179</v>
      </c>
      <c r="AC37">
        <v>163</v>
      </c>
      <c r="AD37">
        <v>147</v>
      </c>
      <c r="AE37">
        <v>134</v>
      </c>
    </row>
    <row r="38" spans="1:31" x14ac:dyDescent="0.3">
      <c r="A38" t="s">
        <v>284</v>
      </c>
      <c r="B38" t="s">
        <v>194</v>
      </c>
      <c r="C38" t="s">
        <v>0</v>
      </c>
      <c r="D38" t="s">
        <v>195</v>
      </c>
      <c r="E38" t="s">
        <v>123</v>
      </c>
      <c r="F38">
        <v>63</v>
      </c>
      <c r="G38">
        <v>61</v>
      </c>
      <c r="H38">
        <v>60</v>
      </c>
      <c r="I38">
        <v>61</v>
      </c>
      <c r="J38">
        <v>63</v>
      </c>
      <c r="K38">
        <v>66</v>
      </c>
      <c r="L38">
        <v>74</v>
      </c>
      <c r="M38">
        <v>80</v>
      </c>
      <c r="N38">
        <v>79</v>
      </c>
      <c r="O38">
        <v>77</v>
      </c>
      <c r="P38">
        <v>76</v>
      </c>
      <c r="Q38">
        <v>78</v>
      </c>
      <c r="R38">
        <v>62</v>
      </c>
      <c r="S38">
        <v>62</v>
      </c>
      <c r="T38">
        <v>48</v>
      </c>
      <c r="U38">
        <v>50</v>
      </c>
      <c r="V38">
        <v>43</v>
      </c>
      <c r="W38">
        <v>48</v>
      </c>
      <c r="X38">
        <v>47</v>
      </c>
      <c r="Y38">
        <v>43</v>
      </c>
      <c r="Z38">
        <v>42</v>
      </c>
      <c r="AA38">
        <v>41</v>
      </c>
      <c r="AB38">
        <v>38</v>
      </c>
      <c r="AC38">
        <v>37</v>
      </c>
      <c r="AD38">
        <v>32</v>
      </c>
      <c r="AE38">
        <v>26</v>
      </c>
    </row>
    <row r="39" spans="1:31" x14ac:dyDescent="0.3">
      <c r="A39" t="s">
        <v>284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284</v>
      </c>
      <c r="B40" t="s">
        <v>198</v>
      </c>
      <c r="C40" t="s">
        <v>0</v>
      </c>
      <c r="D40" t="s">
        <v>199</v>
      </c>
      <c r="E40" t="s">
        <v>123</v>
      </c>
      <c r="F40">
        <v>55</v>
      </c>
      <c r="G40">
        <v>56</v>
      </c>
      <c r="H40">
        <v>53</v>
      </c>
      <c r="I40">
        <v>50</v>
      </c>
      <c r="J40">
        <v>48</v>
      </c>
      <c r="K40">
        <v>49</v>
      </c>
      <c r="L40">
        <v>49</v>
      </c>
      <c r="M40">
        <v>55</v>
      </c>
      <c r="N40">
        <v>63</v>
      </c>
      <c r="O40">
        <v>67</v>
      </c>
      <c r="P40">
        <v>81</v>
      </c>
      <c r="Q40">
        <v>95</v>
      </c>
      <c r="R40">
        <v>105</v>
      </c>
      <c r="S40">
        <v>127</v>
      </c>
      <c r="T40">
        <v>149</v>
      </c>
      <c r="U40">
        <v>162</v>
      </c>
      <c r="V40">
        <v>161</v>
      </c>
      <c r="W40">
        <v>171</v>
      </c>
      <c r="X40">
        <v>187</v>
      </c>
      <c r="Y40">
        <v>193</v>
      </c>
      <c r="Z40">
        <v>194</v>
      </c>
      <c r="AA40">
        <v>202</v>
      </c>
      <c r="AB40">
        <v>192</v>
      </c>
      <c r="AC40">
        <v>182</v>
      </c>
      <c r="AD40">
        <v>170</v>
      </c>
      <c r="AE40">
        <v>150</v>
      </c>
    </row>
    <row r="41" spans="1:31" x14ac:dyDescent="0.3">
      <c r="A41" t="s">
        <v>284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284</v>
      </c>
      <c r="B42" t="s">
        <v>202</v>
      </c>
      <c r="C42" t="s">
        <v>0</v>
      </c>
      <c r="D42" t="s">
        <v>203</v>
      </c>
      <c r="E42" t="s">
        <v>123</v>
      </c>
      <c r="F42">
        <v>118</v>
      </c>
      <c r="G42">
        <v>123</v>
      </c>
      <c r="H42">
        <v>144</v>
      </c>
      <c r="I42">
        <v>162</v>
      </c>
      <c r="J42">
        <v>175</v>
      </c>
      <c r="K42">
        <v>186</v>
      </c>
      <c r="L42">
        <v>202</v>
      </c>
      <c r="M42">
        <v>211</v>
      </c>
      <c r="N42">
        <v>218</v>
      </c>
      <c r="O42">
        <v>223</v>
      </c>
      <c r="P42">
        <v>223</v>
      </c>
      <c r="Q42">
        <v>222</v>
      </c>
      <c r="R42">
        <v>234</v>
      </c>
      <c r="S42">
        <v>247</v>
      </c>
      <c r="T42">
        <v>218</v>
      </c>
      <c r="U42">
        <v>210</v>
      </c>
      <c r="V42">
        <v>215</v>
      </c>
      <c r="W42">
        <v>200</v>
      </c>
      <c r="X42">
        <v>186</v>
      </c>
      <c r="Y42">
        <v>170</v>
      </c>
      <c r="Z42">
        <v>151</v>
      </c>
      <c r="AA42">
        <v>138</v>
      </c>
      <c r="AB42">
        <v>127</v>
      </c>
      <c r="AC42">
        <v>111</v>
      </c>
      <c r="AD42">
        <v>103</v>
      </c>
      <c r="AE42">
        <v>87</v>
      </c>
    </row>
    <row r="43" spans="1:31" x14ac:dyDescent="0.3">
      <c r="A43" t="s">
        <v>284</v>
      </c>
      <c r="B43" t="s">
        <v>204</v>
      </c>
      <c r="C43" t="s">
        <v>0</v>
      </c>
      <c r="D43" t="s">
        <v>205</v>
      </c>
      <c r="E43" t="s">
        <v>123</v>
      </c>
      <c r="F43">
        <v>269</v>
      </c>
      <c r="G43">
        <v>273</v>
      </c>
      <c r="H43">
        <v>312</v>
      </c>
      <c r="I43">
        <v>355</v>
      </c>
      <c r="J43">
        <v>378</v>
      </c>
      <c r="K43">
        <v>407</v>
      </c>
      <c r="L43">
        <v>516</v>
      </c>
      <c r="M43">
        <v>662</v>
      </c>
      <c r="N43">
        <v>799</v>
      </c>
      <c r="O43">
        <v>825</v>
      </c>
      <c r="P43">
        <v>847</v>
      </c>
      <c r="Q43">
        <v>980</v>
      </c>
      <c r="R43">
        <v>1005</v>
      </c>
      <c r="S43">
        <v>1000</v>
      </c>
      <c r="T43">
        <v>913</v>
      </c>
      <c r="U43">
        <v>881</v>
      </c>
      <c r="V43">
        <v>883</v>
      </c>
      <c r="W43">
        <v>884</v>
      </c>
      <c r="X43">
        <v>883</v>
      </c>
      <c r="Y43">
        <v>880</v>
      </c>
      <c r="Z43">
        <v>880</v>
      </c>
      <c r="AA43">
        <v>885</v>
      </c>
      <c r="AB43">
        <v>988</v>
      </c>
      <c r="AC43">
        <v>964</v>
      </c>
      <c r="AD43">
        <v>956</v>
      </c>
      <c r="AE43">
        <v>892</v>
      </c>
    </row>
    <row r="44" spans="1:31" x14ac:dyDescent="0.3">
      <c r="A44" t="s">
        <v>284</v>
      </c>
      <c r="B44" t="s">
        <v>206</v>
      </c>
      <c r="C44" t="s">
        <v>0</v>
      </c>
      <c r="D44" t="s">
        <v>207</v>
      </c>
      <c r="E44" t="s">
        <v>123</v>
      </c>
      <c r="F44">
        <v>11100</v>
      </c>
      <c r="G44">
        <v>10317</v>
      </c>
      <c r="H44">
        <v>10446</v>
      </c>
      <c r="I44">
        <v>10953</v>
      </c>
      <c r="J44">
        <v>11239</v>
      </c>
      <c r="K44">
        <v>11402</v>
      </c>
      <c r="L44">
        <v>12370</v>
      </c>
      <c r="M44">
        <v>12746</v>
      </c>
      <c r="N44">
        <v>12660</v>
      </c>
      <c r="O44">
        <v>12913</v>
      </c>
      <c r="P44">
        <v>13095</v>
      </c>
      <c r="Q44">
        <v>13421</v>
      </c>
      <c r="R44">
        <v>13839</v>
      </c>
      <c r="S44">
        <v>13921</v>
      </c>
      <c r="T44">
        <v>13760</v>
      </c>
      <c r="U44">
        <v>13694</v>
      </c>
      <c r="V44">
        <v>13636</v>
      </c>
      <c r="W44">
        <v>13723</v>
      </c>
      <c r="X44">
        <v>13970</v>
      </c>
      <c r="Y44">
        <v>13451</v>
      </c>
      <c r="Z44">
        <v>13394</v>
      </c>
      <c r="AA44">
        <v>13823</v>
      </c>
      <c r="AB44">
        <v>13882</v>
      </c>
      <c r="AC44">
        <v>13317</v>
      </c>
      <c r="AD44">
        <v>13479</v>
      </c>
      <c r="AE44">
        <v>12995</v>
      </c>
    </row>
    <row r="45" spans="1:31" x14ac:dyDescent="0.3">
      <c r="A45" t="s">
        <v>284</v>
      </c>
      <c r="B45" t="s">
        <v>208</v>
      </c>
      <c r="C45" t="s">
        <v>0</v>
      </c>
      <c r="D45" t="s">
        <v>209</v>
      </c>
      <c r="E45" t="s">
        <v>123</v>
      </c>
      <c r="F45">
        <v>9060</v>
      </c>
      <c r="G45">
        <v>8625</v>
      </c>
      <c r="H45">
        <v>8786</v>
      </c>
      <c r="I45">
        <v>9325</v>
      </c>
      <c r="J45">
        <v>9595</v>
      </c>
      <c r="K45">
        <v>9679</v>
      </c>
      <c r="L45">
        <v>10565</v>
      </c>
      <c r="M45">
        <v>10862</v>
      </c>
      <c r="N45">
        <v>10706</v>
      </c>
      <c r="O45">
        <v>10912</v>
      </c>
      <c r="P45">
        <v>11060</v>
      </c>
      <c r="Q45">
        <v>11380</v>
      </c>
      <c r="R45">
        <v>11659</v>
      </c>
      <c r="S45">
        <v>11713</v>
      </c>
      <c r="T45">
        <v>11565</v>
      </c>
      <c r="U45">
        <v>11498</v>
      </c>
      <c r="V45">
        <v>11423</v>
      </c>
      <c r="W45">
        <v>11492</v>
      </c>
      <c r="X45">
        <v>11624</v>
      </c>
      <c r="Y45">
        <v>11107</v>
      </c>
      <c r="Z45">
        <v>11076</v>
      </c>
      <c r="AA45">
        <v>11518</v>
      </c>
      <c r="AB45">
        <v>11631</v>
      </c>
      <c r="AC45">
        <v>11137</v>
      </c>
      <c r="AD45">
        <v>11315</v>
      </c>
      <c r="AE45">
        <v>10875</v>
      </c>
    </row>
    <row r="46" spans="1:31" x14ac:dyDescent="0.3">
      <c r="A46" t="s">
        <v>284</v>
      </c>
      <c r="B46" t="s">
        <v>210</v>
      </c>
      <c r="C46" t="s">
        <v>0</v>
      </c>
      <c r="D46" t="s">
        <v>211</v>
      </c>
      <c r="E46" t="s">
        <v>123</v>
      </c>
      <c r="F46">
        <v>151</v>
      </c>
      <c r="G46">
        <v>150</v>
      </c>
      <c r="H46">
        <v>168</v>
      </c>
      <c r="I46">
        <v>193</v>
      </c>
      <c r="J46">
        <v>203</v>
      </c>
      <c r="K46">
        <v>221</v>
      </c>
      <c r="L46">
        <v>314</v>
      </c>
      <c r="M46">
        <v>451</v>
      </c>
      <c r="N46">
        <v>581</v>
      </c>
      <c r="O46">
        <v>602</v>
      </c>
      <c r="P46">
        <v>624</v>
      </c>
      <c r="Q46">
        <v>758</v>
      </c>
      <c r="R46">
        <v>771</v>
      </c>
      <c r="S46">
        <v>753</v>
      </c>
      <c r="T46">
        <v>695</v>
      </c>
      <c r="U46">
        <v>671</v>
      </c>
      <c r="V46">
        <v>668</v>
      </c>
      <c r="W46">
        <v>684</v>
      </c>
      <c r="X46">
        <v>697</v>
      </c>
      <c r="Y46">
        <v>710</v>
      </c>
      <c r="Z46">
        <v>729</v>
      </c>
      <c r="AA46">
        <v>747</v>
      </c>
      <c r="AB46">
        <v>861</v>
      </c>
      <c r="AC46">
        <v>853</v>
      </c>
      <c r="AD46">
        <v>853</v>
      </c>
      <c r="AE46">
        <v>805</v>
      </c>
    </row>
    <row r="47" spans="1:31" x14ac:dyDescent="0.3">
      <c r="A47" t="s">
        <v>284</v>
      </c>
      <c r="B47" t="s">
        <v>212</v>
      </c>
      <c r="C47" t="s">
        <v>0</v>
      </c>
      <c r="D47" t="s">
        <v>213</v>
      </c>
      <c r="E47" t="s">
        <v>123</v>
      </c>
      <c r="F47">
        <v>140</v>
      </c>
      <c r="G47">
        <v>155</v>
      </c>
      <c r="H47">
        <v>160</v>
      </c>
      <c r="I47">
        <v>173</v>
      </c>
      <c r="J47">
        <v>190</v>
      </c>
      <c r="K47">
        <v>215</v>
      </c>
      <c r="L47">
        <v>233</v>
      </c>
      <c r="M47">
        <v>264</v>
      </c>
      <c r="N47">
        <v>279</v>
      </c>
      <c r="O47">
        <v>288</v>
      </c>
      <c r="P47">
        <v>309</v>
      </c>
      <c r="Q47">
        <v>313</v>
      </c>
      <c r="R47">
        <v>303</v>
      </c>
      <c r="S47">
        <v>305</v>
      </c>
      <c r="T47">
        <v>301</v>
      </c>
      <c r="U47">
        <v>339</v>
      </c>
      <c r="V47">
        <v>367</v>
      </c>
      <c r="W47">
        <v>396</v>
      </c>
      <c r="X47">
        <v>442</v>
      </c>
      <c r="Y47">
        <v>449</v>
      </c>
      <c r="Z47">
        <v>466</v>
      </c>
      <c r="AA47">
        <v>493</v>
      </c>
      <c r="AB47">
        <v>487</v>
      </c>
      <c r="AC47">
        <v>470</v>
      </c>
      <c r="AD47">
        <v>470</v>
      </c>
      <c r="AE47">
        <v>486</v>
      </c>
    </row>
    <row r="48" spans="1:31" x14ac:dyDescent="0.3">
      <c r="A48" t="s">
        <v>284</v>
      </c>
      <c r="B48" t="s">
        <v>214</v>
      </c>
      <c r="C48" t="s">
        <v>0</v>
      </c>
      <c r="D48" t="s">
        <v>215</v>
      </c>
      <c r="E48" t="s">
        <v>123</v>
      </c>
      <c r="F48">
        <v>239</v>
      </c>
      <c r="G48">
        <v>254</v>
      </c>
      <c r="H48">
        <v>259</v>
      </c>
      <c r="I48">
        <v>280</v>
      </c>
      <c r="J48">
        <v>300</v>
      </c>
      <c r="K48">
        <v>330</v>
      </c>
      <c r="L48">
        <v>358</v>
      </c>
      <c r="M48">
        <v>399</v>
      </c>
      <c r="N48">
        <v>426</v>
      </c>
      <c r="O48">
        <v>450</v>
      </c>
      <c r="P48">
        <v>486</v>
      </c>
      <c r="Q48">
        <v>502</v>
      </c>
      <c r="R48">
        <v>518</v>
      </c>
      <c r="S48">
        <v>534</v>
      </c>
      <c r="T48">
        <v>536</v>
      </c>
      <c r="U48">
        <v>582</v>
      </c>
      <c r="V48">
        <v>621</v>
      </c>
      <c r="W48">
        <v>650</v>
      </c>
      <c r="X48">
        <v>700</v>
      </c>
      <c r="Y48">
        <v>698</v>
      </c>
      <c r="Z48">
        <v>709</v>
      </c>
      <c r="AA48">
        <v>729</v>
      </c>
      <c r="AB48">
        <v>703</v>
      </c>
      <c r="AC48">
        <v>667</v>
      </c>
      <c r="AD48">
        <v>654</v>
      </c>
      <c r="AE48">
        <v>649</v>
      </c>
    </row>
    <row r="49" spans="1:31" x14ac:dyDescent="0.3">
      <c r="A49" t="s">
        <v>284</v>
      </c>
      <c r="B49" t="s">
        <v>216</v>
      </c>
      <c r="C49" t="s">
        <v>0</v>
      </c>
      <c r="D49" t="s">
        <v>217</v>
      </c>
      <c r="E49" t="s">
        <v>123</v>
      </c>
      <c r="F49">
        <v>83</v>
      </c>
      <c r="G49">
        <v>79</v>
      </c>
      <c r="H49">
        <v>78</v>
      </c>
      <c r="I49">
        <v>80</v>
      </c>
      <c r="J49">
        <v>80</v>
      </c>
      <c r="K49">
        <v>83</v>
      </c>
      <c r="L49">
        <v>87</v>
      </c>
      <c r="M49">
        <v>93</v>
      </c>
      <c r="N49">
        <v>93</v>
      </c>
      <c r="O49">
        <v>93</v>
      </c>
      <c r="P49">
        <v>94</v>
      </c>
      <c r="Q49">
        <v>94</v>
      </c>
      <c r="R49">
        <v>98</v>
      </c>
      <c r="S49">
        <v>102</v>
      </c>
      <c r="T49">
        <v>103</v>
      </c>
      <c r="U49">
        <v>100</v>
      </c>
      <c r="V49">
        <v>101</v>
      </c>
      <c r="W49">
        <v>99</v>
      </c>
      <c r="X49">
        <v>98</v>
      </c>
      <c r="Y49">
        <v>96</v>
      </c>
      <c r="Z49">
        <v>94</v>
      </c>
      <c r="AA49">
        <v>91</v>
      </c>
      <c r="AB49">
        <v>84</v>
      </c>
      <c r="AC49">
        <v>76</v>
      </c>
      <c r="AD49">
        <v>71</v>
      </c>
      <c r="AE49">
        <v>65</v>
      </c>
    </row>
    <row r="50" spans="1:31" x14ac:dyDescent="0.3">
      <c r="A50" t="s">
        <v>284</v>
      </c>
      <c r="B50" t="s">
        <v>218</v>
      </c>
      <c r="C50" t="s">
        <v>0</v>
      </c>
      <c r="D50" t="s">
        <v>219</v>
      </c>
      <c r="E50" t="s">
        <v>123</v>
      </c>
      <c r="F50">
        <v>16</v>
      </c>
      <c r="G50">
        <v>20</v>
      </c>
      <c r="H50">
        <v>21</v>
      </c>
      <c r="I50">
        <v>27</v>
      </c>
      <c r="J50">
        <v>30</v>
      </c>
      <c r="K50">
        <v>32</v>
      </c>
      <c r="L50">
        <v>38</v>
      </c>
      <c r="M50">
        <v>42</v>
      </c>
      <c r="N50">
        <v>54</v>
      </c>
      <c r="O50">
        <v>69</v>
      </c>
      <c r="P50">
        <v>83</v>
      </c>
      <c r="Q50">
        <v>95</v>
      </c>
      <c r="R50">
        <v>117</v>
      </c>
      <c r="S50">
        <v>127</v>
      </c>
      <c r="T50">
        <v>132</v>
      </c>
      <c r="U50">
        <v>143</v>
      </c>
      <c r="V50">
        <v>153</v>
      </c>
      <c r="W50">
        <v>155</v>
      </c>
      <c r="X50">
        <v>160</v>
      </c>
      <c r="Y50">
        <v>153</v>
      </c>
      <c r="Z50">
        <v>149</v>
      </c>
      <c r="AA50">
        <v>145</v>
      </c>
      <c r="AB50">
        <v>132</v>
      </c>
      <c r="AC50">
        <v>121</v>
      </c>
      <c r="AD50">
        <v>113</v>
      </c>
      <c r="AE50">
        <v>98</v>
      </c>
    </row>
    <row r="51" spans="1:31" x14ac:dyDescent="0.3">
      <c r="A51" t="s">
        <v>284</v>
      </c>
      <c r="B51" t="s">
        <v>220</v>
      </c>
      <c r="C51" t="s">
        <v>0</v>
      </c>
      <c r="D51" t="s">
        <v>221</v>
      </c>
      <c r="E51" t="s">
        <v>123</v>
      </c>
      <c r="F51">
        <v>15</v>
      </c>
      <c r="G51">
        <v>17</v>
      </c>
      <c r="H51">
        <v>18</v>
      </c>
      <c r="I51">
        <v>21</v>
      </c>
      <c r="J51">
        <v>23</v>
      </c>
      <c r="K51">
        <v>24</v>
      </c>
      <c r="L51">
        <v>27</v>
      </c>
      <c r="M51">
        <v>29</v>
      </c>
      <c r="N51">
        <v>36</v>
      </c>
      <c r="O51">
        <v>45</v>
      </c>
      <c r="P51">
        <v>54</v>
      </c>
      <c r="Q51">
        <v>60</v>
      </c>
      <c r="R51">
        <v>73</v>
      </c>
      <c r="S51">
        <v>79</v>
      </c>
      <c r="T51">
        <v>84</v>
      </c>
      <c r="U51">
        <v>92</v>
      </c>
      <c r="V51">
        <v>99</v>
      </c>
      <c r="W51">
        <v>100</v>
      </c>
      <c r="X51">
        <v>104</v>
      </c>
      <c r="Y51">
        <v>99</v>
      </c>
      <c r="Z51">
        <v>97</v>
      </c>
      <c r="AA51">
        <v>94</v>
      </c>
      <c r="AB51">
        <v>88</v>
      </c>
      <c r="AC51">
        <v>80</v>
      </c>
      <c r="AD51">
        <v>72</v>
      </c>
      <c r="AE51">
        <v>62</v>
      </c>
    </row>
    <row r="52" spans="1:31" x14ac:dyDescent="0.3">
      <c r="A52" t="s">
        <v>284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3</v>
      </c>
      <c r="H52">
        <v>3</v>
      </c>
      <c r="I52">
        <v>6</v>
      </c>
      <c r="J52">
        <v>7</v>
      </c>
      <c r="K52">
        <v>8</v>
      </c>
      <c r="L52">
        <v>11</v>
      </c>
      <c r="M52">
        <v>13</v>
      </c>
      <c r="N52">
        <v>18</v>
      </c>
      <c r="O52">
        <v>24</v>
      </c>
      <c r="P52">
        <v>29</v>
      </c>
      <c r="Q52">
        <v>35</v>
      </c>
      <c r="R52">
        <v>44</v>
      </c>
      <c r="S52">
        <v>48</v>
      </c>
      <c r="T52">
        <v>48</v>
      </c>
      <c r="U52">
        <v>51</v>
      </c>
      <c r="V52">
        <v>54</v>
      </c>
      <c r="W52">
        <v>55</v>
      </c>
      <c r="X52">
        <v>56</v>
      </c>
      <c r="Y52">
        <v>54</v>
      </c>
      <c r="Z52">
        <v>52</v>
      </c>
      <c r="AA52">
        <v>51</v>
      </c>
      <c r="AB52">
        <v>44</v>
      </c>
      <c r="AC52">
        <v>41</v>
      </c>
      <c r="AD52">
        <v>41</v>
      </c>
      <c r="AE52">
        <v>36</v>
      </c>
    </row>
    <row r="53" spans="1:31" x14ac:dyDescent="0.3">
      <c r="A53" t="s">
        <v>284</v>
      </c>
      <c r="B53" t="s">
        <v>224</v>
      </c>
      <c r="C53" t="s">
        <v>0</v>
      </c>
      <c r="D53" t="s">
        <v>225</v>
      </c>
      <c r="E53" t="s">
        <v>123</v>
      </c>
      <c r="F53">
        <v>28</v>
      </c>
      <c r="G53">
        <v>30</v>
      </c>
      <c r="H53">
        <v>33</v>
      </c>
      <c r="I53">
        <v>37</v>
      </c>
      <c r="J53">
        <v>41</v>
      </c>
      <c r="K53">
        <v>44</v>
      </c>
      <c r="L53">
        <v>48</v>
      </c>
      <c r="M53">
        <v>51</v>
      </c>
      <c r="N53">
        <v>61</v>
      </c>
      <c r="O53">
        <v>70</v>
      </c>
      <c r="P53">
        <v>82</v>
      </c>
      <c r="Q53">
        <v>91</v>
      </c>
      <c r="R53">
        <v>108</v>
      </c>
      <c r="S53">
        <v>109</v>
      </c>
      <c r="T53">
        <v>113</v>
      </c>
      <c r="U53">
        <v>107</v>
      </c>
      <c r="V53">
        <v>110</v>
      </c>
      <c r="W53">
        <v>110</v>
      </c>
      <c r="X53">
        <v>114</v>
      </c>
      <c r="Y53">
        <v>109</v>
      </c>
      <c r="Z53">
        <v>101</v>
      </c>
      <c r="AA53">
        <v>100</v>
      </c>
      <c r="AB53">
        <v>94</v>
      </c>
      <c r="AC53">
        <v>85</v>
      </c>
      <c r="AD53">
        <v>75</v>
      </c>
      <c r="AE53">
        <v>66</v>
      </c>
    </row>
    <row r="54" spans="1:31" x14ac:dyDescent="0.3">
      <c r="A54" t="s">
        <v>284</v>
      </c>
      <c r="B54" t="s">
        <v>226</v>
      </c>
      <c r="C54" t="s">
        <v>0</v>
      </c>
      <c r="D54" t="s">
        <v>227</v>
      </c>
      <c r="E54" t="s">
        <v>123</v>
      </c>
      <c r="F54">
        <v>69</v>
      </c>
      <c r="G54">
        <v>70</v>
      </c>
      <c r="H54">
        <v>74</v>
      </c>
      <c r="I54">
        <v>81</v>
      </c>
      <c r="J54">
        <v>88</v>
      </c>
      <c r="K54">
        <v>91</v>
      </c>
      <c r="L54">
        <v>100</v>
      </c>
      <c r="M54">
        <v>110</v>
      </c>
      <c r="N54">
        <v>121</v>
      </c>
      <c r="O54">
        <v>134</v>
      </c>
      <c r="P54">
        <v>151</v>
      </c>
      <c r="Q54">
        <v>162</v>
      </c>
      <c r="R54">
        <v>180</v>
      </c>
      <c r="S54">
        <v>182</v>
      </c>
      <c r="T54">
        <v>186</v>
      </c>
      <c r="U54">
        <v>182</v>
      </c>
      <c r="V54">
        <v>182</v>
      </c>
      <c r="W54">
        <v>178</v>
      </c>
      <c r="X54">
        <v>176</v>
      </c>
      <c r="Y54">
        <v>162</v>
      </c>
      <c r="Z54">
        <v>151</v>
      </c>
      <c r="AA54">
        <v>145</v>
      </c>
      <c r="AB54">
        <v>133</v>
      </c>
      <c r="AC54">
        <v>120</v>
      </c>
      <c r="AD54">
        <v>100</v>
      </c>
      <c r="AE54">
        <v>86</v>
      </c>
    </row>
    <row r="55" spans="1:31" x14ac:dyDescent="0.3">
      <c r="A55" t="s">
        <v>284</v>
      </c>
      <c r="B55" t="s">
        <v>228</v>
      </c>
      <c r="C55" t="s">
        <v>0</v>
      </c>
      <c r="D55" t="s">
        <v>229</v>
      </c>
      <c r="E55" t="s">
        <v>123</v>
      </c>
      <c r="F55">
        <v>41</v>
      </c>
      <c r="G55">
        <v>40</v>
      </c>
      <c r="H55">
        <v>41</v>
      </c>
      <c r="I55">
        <v>44</v>
      </c>
      <c r="J55">
        <v>47</v>
      </c>
      <c r="K55">
        <v>47</v>
      </c>
      <c r="L55">
        <v>52</v>
      </c>
      <c r="M55">
        <v>59</v>
      </c>
      <c r="N55">
        <v>60</v>
      </c>
      <c r="O55">
        <v>64</v>
      </c>
      <c r="P55">
        <v>69</v>
      </c>
      <c r="Q55">
        <v>71</v>
      </c>
      <c r="R55">
        <v>72</v>
      </c>
      <c r="S55">
        <v>73</v>
      </c>
      <c r="T55">
        <v>73</v>
      </c>
      <c r="U55">
        <v>75</v>
      </c>
      <c r="V55">
        <v>72</v>
      </c>
      <c r="W55">
        <v>68</v>
      </c>
      <c r="X55">
        <v>62</v>
      </c>
      <c r="Y55">
        <v>53</v>
      </c>
      <c r="Z55">
        <v>50</v>
      </c>
      <c r="AA55">
        <v>45</v>
      </c>
      <c r="AB55">
        <v>39</v>
      </c>
      <c r="AC55">
        <v>35</v>
      </c>
      <c r="AD55">
        <v>25</v>
      </c>
      <c r="AE55">
        <v>20</v>
      </c>
    </row>
    <row r="56" spans="1:31" x14ac:dyDescent="0.3">
      <c r="A56" t="s">
        <v>284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284</v>
      </c>
      <c r="B57" t="s">
        <v>232</v>
      </c>
      <c r="C57" t="s">
        <v>0</v>
      </c>
      <c r="D57" t="s">
        <v>233</v>
      </c>
      <c r="E57" t="s">
        <v>123</v>
      </c>
      <c r="F57">
        <v>11394</v>
      </c>
      <c r="G57">
        <v>10627</v>
      </c>
      <c r="H57">
        <v>10758</v>
      </c>
      <c r="I57">
        <v>11283</v>
      </c>
      <c r="J57">
        <v>11587</v>
      </c>
      <c r="K57">
        <v>11781</v>
      </c>
      <c r="L57">
        <v>12777</v>
      </c>
      <c r="M57">
        <v>13200</v>
      </c>
      <c r="N57">
        <v>13149</v>
      </c>
      <c r="O57">
        <v>13430</v>
      </c>
      <c r="P57">
        <v>13662</v>
      </c>
      <c r="Q57">
        <v>14018</v>
      </c>
      <c r="R57">
        <v>14462</v>
      </c>
      <c r="S57">
        <v>14582</v>
      </c>
      <c r="T57">
        <v>14445</v>
      </c>
      <c r="U57">
        <v>14438</v>
      </c>
      <c r="V57">
        <v>14418</v>
      </c>
      <c r="W57">
        <v>14544</v>
      </c>
      <c r="X57">
        <v>14857</v>
      </c>
      <c r="Y57">
        <v>14342</v>
      </c>
      <c r="Z57">
        <v>14297</v>
      </c>
      <c r="AA57">
        <v>14754</v>
      </c>
      <c r="AB57">
        <v>14777</v>
      </c>
      <c r="AC57">
        <v>14166</v>
      </c>
      <c r="AD57">
        <v>14303</v>
      </c>
      <c r="AE57">
        <v>13794</v>
      </c>
    </row>
    <row r="58" spans="1:31" x14ac:dyDescent="0.3">
      <c r="A58" t="s">
        <v>284</v>
      </c>
      <c r="B58" t="s">
        <v>234</v>
      </c>
      <c r="C58" t="s">
        <v>0</v>
      </c>
      <c r="D58" t="s">
        <v>235</v>
      </c>
      <c r="E58" t="s">
        <v>123</v>
      </c>
      <c r="F58">
        <v>11394</v>
      </c>
      <c r="G58">
        <v>10627</v>
      </c>
      <c r="H58">
        <v>10758</v>
      </c>
      <c r="I58">
        <v>11283</v>
      </c>
      <c r="J58">
        <v>11587</v>
      </c>
      <c r="K58">
        <v>11781</v>
      </c>
      <c r="L58">
        <v>12777</v>
      </c>
      <c r="M58">
        <v>13200</v>
      </c>
      <c r="N58">
        <v>13149</v>
      </c>
      <c r="O58">
        <v>13430</v>
      </c>
      <c r="P58">
        <v>13662</v>
      </c>
      <c r="Q58">
        <v>14018</v>
      </c>
      <c r="R58">
        <v>14462</v>
      </c>
      <c r="S58">
        <v>14582</v>
      </c>
      <c r="T58">
        <v>14445</v>
      </c>
      <c r="U58">
        <v>14438</v>
      </c>
      <c r="V58">
        <v>14418</v>
      </c>
      <c r="W58">
        <v>14544</v>
      </c>
      <c r="X58">
        <v>14857</v>
      </c>
      <c r="Y58">
        <v>14342</v>
      </c>
      <c r="Z58">
        <v>14297</v>
      </c>
      <c r="AA58">
        <v>14754</v>
      </c>
      <c r="AB58">
        <v>14777</v>
      </c>
      <c r="AC58">
        <v>14166</v>
      </c>
      <c r="AD58">
        <v>14303</v>
      </c>
      <c r="AE58">
        <v>13794</v>
      </c>
    </row>
    <row r="59" spans="1:31" x14ac:dyDescent="0.3">
      <c r="A59" t="s">
        <v>284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285</v>
      </c>
      <c r="B2" t="s">
        <v>121</v>
      </c>
      <c r="C2" t="s">
        <v>0</v>
      </c>
      <c r="D2" t="s">
        <v>122</v>
      </c>
      <c r="E2" t="s">
        <v>123</v>
      </c>
      <c r="F2">
        <v>1582</v>
      </c>
      <c r="G2">
        <v>1146</v>
      </c>
      <c r="H2">
        <v>1136</v>
      </c>
      <c r="I2">
        <v>1139</v>
      </c>
      <c r="J2">
        <v>1142</v>
      </c>
      <c r="K2">
        <v>1115</v>
      </c>
      <c r="L2">
        <v>1132</v>
      </c>
      <c r="M2">
        <v>1229</v>
      </c>
      <c r="N2">
        <v>1311</v>
      </c>
      <c r="O2">
        <v>1370</v>
      </c>
      <c r="P2">
        <v>1399</v>
      </c>
      <c r="Q2">
        <v>1484</v>
      </c>
      <c r="R2">
        <v>1579</v>
      </c>
      <c r="S2">
        <v>1613</v>
      </c>
      <c r="T2">
        <v>1702</v>
      </c>
      <c r="U2">
        <v>1730</v>
      </c>
      <c r="V2">
        <v>1777</v>
      </c>
      <c r="W2">
        <v>1835</v>
      </c>
      <c r="X2">
        <v>1888</v>
      </c>
      <c r="Y2">
        <v>1924</v>
      </c>
      <c r="Z2">
        <v>1911</v>
      </c>
      <c r="AA2">
        <v>1866</v>
      </c>
      <c r="AB2">
        <v>1835</v>
      </c>
      <c r="AC2">
        <v>1908</v>
      </c>
      <c r="AD2">
        <v>1951</v>
      </c>
      <c r="AE2">
        <v>1916</v>
      </c>
    </row>
    <row r="3" spans="1:31" x14ac:dyDescent="0.3">
      <c r="A3" t="s">
        <v>285</v>
      </c>
      <c r="B3" t="s">
        <v>124</v>
      </c>
      <c r="C3" t="s">
        <v>0</v>
      </c>
      <c r="D3" t="s">
        <v>125</v>
      </c>
      <c r="E3" t="s">
        <v>123</v>
      </c>
      <c r="F3">
        <v>407</v>
      </c>
      <c r="G3">
        <v>381</v>
      </c>
      <c r="H3">
        <v>374</v>
      </c>
      <c r="I3">
        <v>387</v>
      </c>
      <c r="J3">
        <v>395</v>
      </c>
      <c r="K3">
        <v>387</v>
      </c>
      <c r="L3">
        <v>409</v>
      </c>
      <c r="M3">
        <v>422</v>
      </c>
      <c r="N3">
        <v>464</v>
      </c>
      <c r="O3">
        <v>470</v>
      </c>
      <c r="P3">
        <v>481</v>
      </c>
      <c r="Q3">
        <v>512</v>
      </c>
      <c r="R3">
        <v>531</v>
      </c>
      <c r="S3">
        <v>830</v>
      </c>
      <c r="T3">
        <v>918</v>
      </c>
      <c r="U3">
        <v>946</v>
      </c>
      <c r="V3">
        <v>1034</v>
      </c>
      <c r="W3">
        <v>1119</v>
      </c>
      <c r="X3">
        <v>1186</v>
      </c>
      <c r="Y3">
        <v>1224</v>
      </c>
      <c r="Z3">
        <v>1246</v>
      </c>
      <c r="AA3">
        <v>1247</v>
      </c>
      <c r="AB3">
        <v>1246</v>
      </c>
      <c r="AC3">
        <v>1255</v>
      </c>
      <c r="AD3">
        <v>1277</v>
      </c>
      <c r="AE3">
        <v>1409</v>
      </c>
    </row>
    <row r="4" spans="1:31" x14ac:dyDescent="0.3">
      <c r="A4" t="s">
        <v>285</v>
      </c>
      <c r="B4" t="s">
        <v>126</v>
      </c>
      <c r="C4" t="s">
        <v>0</v>
      </c>
      <c r="D4" t="s">
        <v>127</v>
      </c>
      <c r="E4" t="s">
        <v>123</v>
      </c>
      <c r="F4">
        <v>23086</v>
      </c>
      <c r="G4">
        <v>22348</v>
      </c>
      <c r="H4">
        <v>23203</v>
      </c>
      <c r="I4">
        <v>24212</v>
      </c>
      <c r="J4">
        <v>24344</v>
      </c>
      <c r="K4">
        <v>24337</v>
      </c>
      <c r="L4">
        <v>25343</v>
      </c>
      <c r="M4">
        <v>25333</v>
      </c>
      <c r="N4">
        <v>25116</v>
      </c>
      <c r="O4">
        <v>24717</v>
      </c>
      <c r="P4">
        <v>24579</v>
      </c>
      <c r="Q4">
        <v>24369</v>
      </c>
      <c r="R4">
        <v>24477</v>
      </c>
      <c r="S4">
        <v>24713</v>
      </c>
      <c r="T4">
        <v>24651</v>
      </c>
      <c r="U4">
        <v>23853</v>
      </c>
      <c r="V4">
        <v>23002</v>
      </c>
      <c r="W4">
        <v>22930</v>
      </c>
      <c r="X4">
        <v>22627</v>
      </c>
      <c r="Y4">
        <v>22151</v>
      </c>
      <c r="Z4">
        <v>21871</v>
      </c>
      <c r="AA4">
        <v>22066</v>
      </c>
      <c r="AB4">
        <v>22754</v>
      </c>
      <c r="AC4">
        <v>22862</v>
      </c>
      <c r="AD4">
        <v>22990</v>
      </c>
      <c r="AE4">
        <v>22903</v>
      </c>
    </row>
    <row r="5" spans="1:31" x14ac:dyDescent="0.3">
      <c r="A5" t="s">
        <v>285</v>
      </c>
      <c r="B5" t="s">
        <v>128</v>
      </c>
      <c r="C5" t="s">
        <v>0</v>
      </c>
      <c r="D5" t="s">
        <v>129</v>
      </c>
      <c r="E5" t="s">
        <v>123</v>
      </c>
      <c r="F5">
        <v>2204</v>
      </c>
      <c r="G5">
        <v>2040</v>
      </c>
      <c r="H5">
        <v>2061</v>
      </c>
      <c r="I5">
        <v>2122</v>
      </c>
      <c r="J5">
        <v>2122</v>
      </c>
      <c r="K5">
        <v>2088</v>
      </c>
      <c r="L5">
        <v>2125</v>
      </c>
      <c r="M5">
        <v>2165</v>
      </c>
      <c r="N5">
        <v>2198</v>
      </c>
      <c r="O5">
        <v>2166</v>
      </c>
      <c r="P5">
        <v>2158</v>
      </c>
      <c r="Q5">
        <v>2148</v>
      </c>
      <c r="R5">
        <v>2161</v>
      </c>
      <c r="S5">
        <v>2210</v>
      </c>
      <c r="T5">
        <v>2258</v>
      </c>
      <c r="U5">
        <v>2217</v>
      </c>
      <c r="V5">
        <v>2159</v>
      </c>
      <c r="W5">
        <v>2148</v>
      </c>
      <c r="X5">
        <v>2165</v>
      </c>
      <c r="Y5">
        <v>2176</v>
      </c>
      <c r="Z5">
        <v>2157</v>
      </c>
      <c r="AA5">
        <v>2206</v>
      </c>
      <c r="AB5">
        <v>2321</v>
      </c>
      <c r="AC5">
        <v>2349</v>
      </c>
      <c r="AD5">
        <v>2340</v>
      </c>
      <c r="AE5">
        <v>2319</v>
      </c>
    </row>
    <row r="6" spans="1:31" x14ac:dyDescent="0.3">
      <c r="A6" t="s">
        <v>285</v>
      </c>
      <c r="B6" t="s">
        <v>130</v>
      </c>
      <c r="C6" t="s">
        <v>0</v>
      </c>
      <c r="D6" t="s">
        <v>131</v>
      </c>
      <c r="E6" t="s">
        <v>123</v>
      </c>
      <c r="F6">
        <v>431</v>
      </c>
      <c r="G6">
        <v>378</v>
      </c>
      <c r="H6">
        <v>374</v>
      </c>
      <c r="I6">
        <v>368</v>
      </c>
      <c r="J6">
        <v>348</v>
      </c>
      <c r="K6">
        <v>330</v>
      </c>
      <c r="L6">
        <v>327</v>
      </c>
      <c r="M6">
        <v>317</v>
      </c>
      <c r="N6">
        <v>302</v>
      </c>
      <c r="O6">
        <v>286</v>
      </c>
      <c r="P6">
        <v>277</v>
      </c>
      <c r="Q6">
        <v>266</v>
      </c>
      <c r="R6">
        <v>261</v>
      </c>
      <c r="S6">
        <v>248</v>
      </c>
      <c r="T6">
        <v>233</v>
      </c>
      <c r="U6">
        <v>218</v>
      </c>
      <c r="V6">
        <v>205</v>
      </c>
      <c r="W6">
        <v>192</v>
      </c>
      <c r="X6">
        <v>176</v>
      </c>
      <c r="Y6">
        <v>165</v>
      </c>
      <c r="Z6">
        <v>158</v>
      </c>
      <c r="AA6">
        <v>173</v>
      </c>
      <c r="AB6">
        <v>173</v>
      </c>
      <c r="AC6">
        <v>172</v>
      </c>
      <c r="AD6">
        <v>180</v>
      </c>
      <c r="AE6">
        <v>197</v>
      </c>
    </row>
    <row r="7" spans="1:31" x14ac:dyDescent="0.3">
      <c r="A7" t="s">
        <v>285</v>
      </c>
      <c r="B7" t="s">
        <v>132</v>
      </c>
      <c r="C7" t="s">
        <v>0</v>
      </c>
      <c r="D7" t="s">
        <v>133</v>
      </c>
      <c r="E7" t="s">
        <v>123</v>
      </c>
      <c r="F7">
        <v>10757</v>
      </c>
      <c r="G7">
        <v>10701</v>
      </c>
      <c r="H7">
        <v>10838</v>
      </c>
      <c r="I7">
        <v>11160</v>
      </c>
      <c r="J7">
        <v>11010</v>
      </c>
      <c r="K7">
        <v>10782</v>
      </c>
      <c r="L7">
        <v>11320</v>
      </c>
      <c r="M7">
        <v>11008</v>
      </c>
      <c r="N7">
        <v>10887</v>
      </c>
      <c r="O7">
        <v>10516</v>
      </c>
      <c r="P7">
        <v>10316</v>
      </c>
      <c r="Q7">
        <v>10164</v>
      </c>
      <c r="R7">
        <v>9819</v>
      </c>
      <c r="S7">
        <v>9894</v>
      </c>
      <c r="T7">
        <v>9566</v>
      </c>
      <c r="U7">
        <v>9132</v>
      </c>
      <c r="V7">
        <v>8709</v>
      </c>
      <c r="W7">
        <v>8504</v>
      </c>
      <c r="X7">
        <v>8355</v>
      </c>
      <c r="Y7">
        <v>8081</v>
      </c>
      <c r="Z7">
        <v>7832</v>
      </c>
      <c r="AA7">
        <v>7928</v>
      </c>
      <c r="AB7">
        <v>8124</v>
      </c>
      <c r="AC7">
        <v>7968</v>
      </c>
      <c r="AD7">
        <v>7913</v>
      </c>
      <c r="AE7">
        <v>7763</v>
      </c>
    </row>
    <row r="8" spans="1:31" x14ac:dyDescent="0.3">
      <c r="A8" t="s">
        <v>285</v>
      </c>
      <c r="B8" t="s">
        <v>134</v>
      </c>
      <c r="C8" t="s">
        <v>0</v>
      </c>
      <c r="D8" t="s">
        <v>135</v>
      </c>
      <c r="E8" t="s">
        <v>123</v>
      </c>
      <c r="F8">
        <v>731</v>
      </c>
      <c r="G8">
        <v>658</v>
      </c>
      <c r="H8">
        <v>725</v>
      </c>
      <c r="I8">
        <v>711</v>
      </c>
      <c r="J8">
        <v>706</v>
      </c>
      <c r="K8">
        <v>675</v>
      </c>
      <c r="L8">
        <v>713</v>
      </c>
      <c r="M8">
        <v>677</v>
      </c>
      <c r="N8">
        <v>674</v>
      </c>
      <c r="O8">
        <v>646</v>
      </c>
      <c r="P8">
        <v>728</v>
      </c>
      <c r="Q8">
        <v>842</v>
      </c>
      <c r="R8">
        <v>1323</v>
      </c>
      <c r="S8">
        <v>1286</v>
      </c>
      <c r="T8">
        <v>1254</v>
      </c>
      <c r="U8">
        <v>1252</v>
      </c>
      <c r="V8">
        <v>1190</v>
      </c>
      <c r="W8">
        <v>1190</v>
      </c>
      <c r="X8">
        <v>1171</v>
      </c>
      <c r="Y8">
        <v>1154</v>
      </c>
      <c r="Z8">
        <v>1252</v>
      </c>
      <c r="AA8">
        <v>1249</v>
      </c>
      <c r="AB8">
        <v>1591</v>
      </c>
      <c r="AC8">
        <v>1610</v>
      </c>
      <c r="AD8">
        <v>1562</v>
      </c>
      <c r="AE8">
        <v>1525</v>
      </c>
    </row>
    <row r="9" spans="1:31" x14ac:dyDescent="0.3">
      <c r="A9" t="s">
        <v>285</v>
      </c>
      <c r="B9" t="s">
        <v>136</v>
      </c>
      <c r="C9" t="s">
        <v>0</v>
      </c>
      <c r="D9" t="s">
        <v>137</v>
      </c>
      <c r="E9" t="s">
        <v>123</v>
      </c>
      <c r="F9">
        <v>1643</v>
      </c>
      <c r="G9">
        <v>1517</v>
      </c>
      <c r="H9">
        <v>1629</v>
      </c>
      <c r="I9">
        <v>1693</v>
      </c>
      <c r="J9">
        <v>1721</v>
      </c>
      <c r="K9">
        <v>1690</v>
      </c>
      <c r="L9">
        <v>1708</v>
      </c>
      <c r="M9">
        <v>1787</v>
      </c>
      <c r="N9">
        <v>1764</v>
      </c>
      <c r="O9">
        <v>1744</v>
      </c>
      <c r="P9">
        <v>1726</v>
      </c>
      <c r="Q9">
        <v>1708</v>
      </c>
      <c r="R9">
        <v>1774</v>
      </c>
      <c r="S9">
        <v>1805</v>
      </c>
      <c r="T9">
        <v>1861</v>
      </c>
      <c r="U9">
        <v>1771</v>
      </c>
      <c r="V9">
        <v>1721</v>
      </c>
      <c r="W9">
        <v>1730</v>
      </c>
      <c r="X9">
        <v>1769</v>
      </c>
      <c r="Y9">
        <v>1738</v>
      </c>
      <c r="Z9">
        <v>1723</v>
      </c>
      <c r="AA9">
        <v>1756</v>
      </c>
      <c r="AB9">
        <v>1801</v>
      </c>
      <c r="AC9">
        <v>1828</v>
      </c>
      <c r="AD9">
        <v>1834</v>
      </c>
      <c r="AE9">
        <v>1828</v>
      </c>
    </row>
    <row r="10" spans="1:31" x14ac:dyDescent="0.3">
      <c r="A10" t="s">
        <v>285</v>
      </c>
      <c r="B10" t="s">
        <v>138</v>
      </c>
      <c r="C10" t="s">
        <v>0</v>
      </c>
      <c r="D10" t="s">
        <v>139</v>
      </c>
      <c r="E10" t="s">
        <v>123</v>
      </c>
      <c r="F10">
        <v>1878</v>
      </c>
      <c r="G10">
        <v>1732</v>
      </c>
      <c r="H10">
        <v>1845</v>
      </c>
      <c r="I10">
        <v>1917</v>
      </c>
      <c r="J10">
        <v>1942</v>
      </c>
      <c r="K10">
        <v>1912</v>
      </c>
      <c r="L10">
        <v>1921</v>
      </c>
      <c r="M10">
        <v>2016</v>
      </c>
      <c r="N10">
        <v>1987</v>
      </c>
      <c r="O10">
        <v>1960</v>
      </c>
      <c r="P10">
        <v>1936</v>
      </c>
      <c r="Q10">
        <v>1913</v>
      </c>
      <c r="R10">
        <v>1977</v>
      </c>
      <c r="S10">
        <v>2005</v>
      </c>
      <c r="T10">
        <v>2076</v>
      </c>
      <c r="U10">
        <v>1991</v>
      </c>
      <c r="V10">
        <v>1939</v>
      </c>
      <c r="W10">
        <v>1956</v>
      </c>
      <c r="X10">
        <v>2013</v>
      </c>
      <c r="Y10">
        <v>1988</v>
      </c>
      <c r="Z10">
        <v>1972</v>
      </c>
      <c r="AA10">
        <v>2006</v>
      </c>
      <c r="AB10">
        <v>2041</v>
      </c>
      <c r="AC10">
        <v>2071</v>
      </c>
      <c r="AD10">
        <v>2082</v>
      </c>
      <c r="AE10">
        <v>2067</v>
      </c>
    </row>
    <row r="11" spans="1:31" x14ac:dyDescent="0.3">
      <c r="A11" t="s">
        <v>285</v>
      </c>
      <c r="B11" t="s">
        <v>140</v>
      </c>
      <c r="C11" t="s">
        <v>0</v>
      </c>
      <c r="D11" t="s">
        <v>141</v>
      </c>
      <c r="E11" t="s">
        <v>123</v>
      </c>
      <c r="F11">
        <v>235</v>
      </c>
      <c r="G11">
        <v>215</v>
      </c>
      <c r="H11">
        <v>216</v>
      </c>
      <c r="I11">
        <v>224</v>
      </c>
      <c r="J11">
        <v>221</v>
      </c>
      <c r="K11">
        <v>222</v>
      </c>
      <c r="L11">
        <v>213</v>
      </c>
      <c r="M11">
        <v>229</v>
      </c>
      <c r="N11">
        <v>223</v>
      </c>
      <c r="O11">
        <v>216</v>
      </c>
      <c r="P11">
        <v>210</v>
      </c>
      <c r="Q11">
        <v>205</v>
      </c>
      <c r="R11">
        <v>203</v>
      </c>
      <c r="S11">
        <v>200</v>
      </c>
      <c r="T11">
        <v>215</v>
      </c>
      <c r="U11">
        <v>220</v>
      </c>
      <c r="V11">
        <v>218</v>
      </c>
      <c r="W11">
        <v>226</v>
      </c>
      <c r="X11">
        <v>244</v>
      </c>
      <c r="Y11">
        <v>250</v>
      </c>
      <c r="Z11">
        <v>249</v>
      </c>
      <c r="AA11">
        <v>250</v>
      </c>
      <c r="AB11">
        <v>240</v>
      </c>
      <c r="AC11">
        <v>243</v>
      </c>
      <c r="AD11">
        <v>248</v>
      </c>
      <c r="AE11">
        <v>239</v>
      </c>
    </row>
    <row r="12" spans="1:31" x14ac:dyDescent="0.3">
      <c r="A12" t="s">
        <v>285</v>
      </c>
      <c r="B12" t="s">
        <v>142</v>
      </c>
      <c r="C12" t="s">
        <v>0</v>
      </c>
      <c r="D12" t="s">
        <v>143</v>
      </c>
      <c r="E12" t="s">
        <v>123</v>
      </c>
      <c r="F12">
        <v>1444</v>
      </c>
      <c r="G12">
        <v>1359</v>
      </c>
      <c r="H12">
        <v>1403</v>
      </c>
      <c r="I12">
        <v>1499</v>
      </c>
      <c r="J12">
        <v>1549</v>
      </c>
      <c r="K12">
        <v>1599</v>
      </c>
      <c r="L12">
        <v>1645</v>
      </c>
      <c r="M12">
        <v>1658</v>
      </c>
      <c r="N12">
        <v>1671</v>
      </c>
      <c r="O12">
        <v>1666</v>
      </c>
      <c r="P12">
        <v>1690</v>
      </c>
      <c r="Q12">
        <v>1700</v>
      </c>
      <c r="R12">
        <v>1700</v>
      </c>
      <c r="S12">
        <v>1725</v>
      </c>
      <c r="T12">
        <v>1754</v>
      </c>
      <c r="U12">
        <v>1697</v>
      </c>
      <c r="V12">
        <v>1658</v>
      </c>
      <c r="W12">
        <v>1625</v>
      </c>
      <c r="X12">
        <v>1602</v>
      </c>
      <c r="Y12">
        <v>1578</v>
      </c>
      <c r="Z12">
        <v>1589</v>
      </c>
      <c r="AA12">
        <v>1637</v>
      </c>
      <c r="AB12">
        <v>1661</v>
      </c>
      <c r="AC12">
        <v>1732</v>
      </c>
      <c r="AD12">
        <v>1799</v>
      </c>
      <c r="AE12">
        <v>1883</v>
      </c>
    </row>
    <row r="13" spans="1:31" x14ac:dyDescent="0.3">
      <c r="A13" t="s">
        <v>285</v>
      </c>
      <c r="B13" t="s">
        <v>144</v>
      </c>
      <c r="C13" t="s">
        <v>0</v>
      </c>
      <c r="D13" t="s">
        <v>145</v>
      </c>
      <c r="E13" t="s">
        <v>123</v>
      </c>
      <c r="F13">
        <v>2614</v>
      </c>
      <c r="G13">
        <v>2577</v>
      </c>
      <c r="H13">
        <v>2859</v>
      </c>
      <c r="I13">
        <v>3084</v>
      </c>
      <c r="J13">
        <v>3112</v>
      </c>
      <c r="K13">
        <v>3220</v>
      </c>
      <c r="L13">
        <v>3324</v>
      </c>
      <c r="M13">
        <v>3559</v>
      </c>
      <c r="N13">
        <v>3555</v>
      </c>
      <c r="O13">
        <v>3780</v>
      </c>
      <c r="P13">
        <v>3757</v>
      </c>
      <c r="Q13">
        <v>3716</v>
      </c>
      <c r="R13">
        <v>3711</v>
      </c>
      <c r="S13">
        <v>3863</v>
      </c>
      <c r="T13">
        <v>4027</v>
      </c>
      <c r="U13">
        <v>4010</v>
      </c>
      <c r="V13">
        <v>3904</v>
      </c>
      <c r="W13">
        <v>4136</v>
      </c>
      <c r="X13">
        <v>4042</v>
      </c>
      <c r="Y13">
        <v>3982</v>
      </c>
      <c r="Z13">
        <v>3939</v>
      </c>
      <c r="AA13">
        <v>3883</v>
      </c>
      <c r="AB13">
        <v>3856</v>
      </c>
      <c r="AC13">
        <v>3877</v>
      </c>
      <c r="AD13">
        <v>3970</v>
      </c>
      <c r="AE13">
        <v>3971</v>
      </c>
    </row>
    <row r="14" spans="1:31" x14ac:dyDescent="0.3">
      <c r="A14" t="s">
        <v>285</v>
      </c>
      <c r="B14" t="s">
        <v>146</v>
      </c>
      <c r="C14" t="s">
        <v>0</v>
      </c>
      <c r="D14" t="s">
        <v>147</v>
      </c>
      <c r="E14" t="s">
        <v>123</v>
      </c>
      <c r="F14">
        <v>763</v>
      </c>
      <c r="G14">
        <v>744</v>
      </c>
      <c r="H14">
        <v>843</v>
      </c>
      <c r="I14">
        <v>990</v>
      </c>
      <c r="J14">
        <v>1180</v>
      </c>
      <c r="K14">
        <v>1365</v>
      </c>
      <c r="L14">
        <v>1561</v>
      </c>
      <c r="M14">
        <v>1541</v>
      </c>
      <c r="N14">
        <v>1471</v>
      </c>
      <c r="O14">
        <v>1410</v>
      </c>
      <c r="P14">
        <v>1442</v>
      </c>
      <c r="Q14">
        <v>1343</v>
      </c>
      <c r="R14">
        <v>1243</v>
      </c>
      <c r="S14">
        <v>1100</v>
      </c>
      <c r="T14">
        <v>1001</v>
      </c>
      <c r="U14">
        <v>922</v>
      </c>
      <c r="V14">
        <v>843</v>
      </c>
      <c r="W14">
        <v>788</v>
      </c>
      <c r="X14">
        <v>701</v>
      </c>
      <c r="Y14">
        <v>660</v>
      </c>
      <c r="Z14">
        <v>647</v>
      </c>
      <c r="AA14">
        <v>623</v>
      </c>
      <c r="AB14">
        <v>610</v>
      </c>
      <c r="AC14">
        <v>600</v>
      </c>
      <c r="AD14">
        <v>589</v>
      </c>
      <c r="AE14">
        <v>609</v>
      </c>
    </row>
    <row r="15" spans="1:31" x14ac:dyDescent="0.3">
      <c r="A15" t="s">
        <v>285</v>
      </c>
      <c r="B15" t="s">
        <v>148</v>
      </c>
      <c r="C15" t="s">
        <v>0</v>
      </c>
      <c r="D15" t="s">
        <v>149</v>
      </c>
      <c r="E15" t="s">
        <v>123</v>
      </c>
      <c r="F15">
        <v>1093</v>
      </c>
      <c r="G15">
        <v>1055</v>
      </c>
      <c r="H15">
        <v>1169</v>
      </c>
      <c r="I15">
        <v>1341</v>
      </c>
      <c r="J15">
        <v>1525</v>
      </c>
      <c r="K15">
        <v>1704</v>
      </c>
      <c r="L15">
        <v>1900</v>
      </c>
      <c r="M15">
        <v>1863</v>
      </c>
      <c r="N15">
        <v>1785</v>
      </c>
      <c r="O15">
        <v>1705</v>
      </c>
      <c r="P15">
        <v>1740</v>
      </c>
      <c r="Q15">
        <v>1627</v>
      </c>
      <c r="R15">
        <v>1524</v>
      </c>
      <c r="S15">
        <v>1393</v>
      </c>
      <c r="T15">
        <v>1297</v>
      </c>
      <c r="U15">
        <v>1216</v>
      </c>
      <c r="V15">
        <v>1128</v>
      </c>
      <c r="W15">
        <v>1069</v>
      </c>
      <c r="X15">
        <v>981</v>
      </c>
      <c r="Y15">
        <v>922</v>
      </c>
      <c r="Z15">
        <v>920</v>
      </c>
      <c r="AA15">
        <v>938</v>
      </c>
      <c r="AB15">
        <v>926</v>
      </c>
      <c r="AC15">
        <v>912</v>
      </c>
      <c r="AD15">
        <v>905</v>
      </c>
      <c r="AE15">
        <v>916</v>
      </c>
    </row>
    <row r="16" spans="1:31" x14ac:dyDescent="0.3">
      <c r="A16" t="s">
        <v>285</v>
      </c>
      <c r="B16" t="s">
        <v>150</v>
      </c>
      <c r="C16" t="s">
        <v>0</v>
      </c>
      <c r="D16" t="s">
        <v>151</v>
      </c>
      <c r="E16" t="s">
        <v>123</v>
      </c>
      <c r="F16">
        <v>330</v>
      </c>
      <c r="G16">
        <v>311</v>
      </c>
      <c r="H16">
        <v>326</v>
      </c>
      <c r="I16">
        <v>351</v>
      </c>
      <c r="J16">
        <v>345</v>
      </c>
      <c r="K16">
        <v>339</v>
      </c>
      <c r="L16">
        <v>339</v>
      </c>
      <c r="M16">
        <v>322</v>
      </c>
      <c r="N16">
        <v>314</v>
      </c>
      <c r="O16">
        <v>295</v>
      </c>
      <c r="P16">
        <v>298</v>
      </c>
      <c r="Q16">
        <v>284</v>
      </c>
      <c r="R16">
        <v>281</v>
      </c>
      <c r="S16">
        <v>293</v>
      </c>
      <c r="T16">
        <v>296</v>
      </c>
      <c r="U16">
        <v>294</v>
      </c>
      <c r="V16">
        <v>285</v>
      </c>
      <c r="W16">
        <v>281</v>
      </c>
      <c r="X16">
        <v>280</v>
      </c>
      <c r="Y16">
        <v>262</v>
      </c>
      <c r="Z16">
        <v>273</v>
      </c>
      <c r="AA16">
        <v>315</v>
      </c>
      <c r="AB16">
        <v>316</v>
      </c>
      <c r="AC16">
        <v>312</v>
      </c>
      <c r="AD16">
        <v>316</v>
      </c>
      <c r="AE16">
        <v>307</v>
      </c>
    </row>
    <row r="17" spans="1:31" x14ac:dyDescent="0.3">
      <c r="A17" t="s">
        <v>285</v>
      </c>
      <c r="B17" t="s">
        <v>152</v>
      </c>
      <c r="C17" t="s">
        <v>0</v>
      </c>
      <c r="D17" t="s">
        <v>153</v>
      </c>
      <c r="E17" t="s">
        <v>123</v>
      </c>
      <c r="F17">
        <v>865</v>
      </c>
      <c r="G17">
        <v>848</v>
      </c>
      <c r="H17">
        <v>885</v>
      </c>
      <c r="I17">
        <v>916</v>
      </c>
      <c r="J17">
        <v>911</v>
      </c>
      <c r="K17">
        <v>911</v>
      </c>
      <c r="L17">
        <v>913</v>
      </c>
      <c r="M17">
        <v>888</v>
      </c>
      <c r="N17">
        <v>901</v>
      </c>
      <c r="O17">
        <v>862</v>
      </c>
      <c r="P17">
        <v>849</v>
      </c>
      <c r="Q17">
        <v>860</v>
      </c>
      <c r="R17">
        <v>874</v>
      </c>
      <c r="S17">
        <v>949</v>
      </c>
      <c r="T17">
        <v>1055</v>
      </c>
      <c r="U17">
        <v>1013</v>
      </c>
      <c r="V17">
        <v>1007</v>
      </c>
      <c r="W17">
        <v>1027</v>
      </c>
      <c r="X17">
        <v>1010</v>
      </c>
      <c r="Y17">
        <v>1031</v>
      </c>
      <c r="Z17">
        <v>1017</v>
      </c>
      <c r="AA17">
        <v>1007</v>
      </c>
      <c r="AB17">
        <v>964</v>
      </c>
      <c r="AC17">
        <v>967</v>
      </c>
      <c r="AD17">
        <v>1009</v>
      </c>
      <c r="AE17">
        <v>1003</v>
      </c>
    </row>
    <row r="18" spans="1:31" x14ac:dyDescent="0.3">
      <c r="A18" t="s">
        <v>285</v>
      </c>
      <c r="B18" t="s">
        <v>154</v>
      </c>
      <c r="C18" t="s">
        <v>0</v>
      </c>
      <c r="D18" t="s">
        <v>155</v>
      </c>
      <c r="E18" t="s">
        <v>123</v>
      </c>
      <c r="F18">
        <v>435</v>
      </c>
      <c r="G18">
        <v>402</v>
      </c>
      <c r="H18">
        <v>407</v>
      </c>
      <c r="I18">
        <v>410</v>
      </c>
      <c r="J18">
        <v>404</v>
      </c>
      <c r="K18">
        <v>386</v>
      </c>
      <c r="L18">
        <v>397</v>
      </c>
      <c r="M18">
        <v>391</v>
      </c>
      <c r="N18">
        <v>384</v>
      </c>
      <c r="O18">
        <v>382</v>
      </c>
      <c r="P18">
        <v>385</v>
      </c>
      <c r="Q18">
        <v>387</v>
      </c>
      <c r="R18">
        <v>385</v>
      </c>
      <c r="S18">
        <v>394</v>
      </c>
      <c r="T18">
        <v>408</v>
      </c>
      <c r="U18">
        <v>412</v>
      </c>
      <c r="V18">
        <v>431</v>
      </c>
      <c r="W18">
        <v>436</v>
      </c>
      <c r="X18">
        <v>505</v>
      </c>
      <c r="Y18">
        <v>499</v>
      </c>
      <c r="Z18">
        <v>480</v>
      </c>
      <c r="AA18">
        <v>479</v>
      </c>
      <c r="AB18">
        <v>534</v>
      </c>
      <c r="AC18">
        <v>624</v>
      </c>
      <c r="AD18">
        <v>634</v>
      </c>
      <c r="AE18">
        <v>648</v>
      </c>
    </row>
    <row r="19" spans="1:31" x14ac:dyDescent="0.3">
      <c r="A19" t="s">
        <v>285</v>
      </c>
      <c r="B19" t="s">
        <v>156</v>
      </c>
      <c r="C19" t="s">
        <v>0</v>
      </c>
      <c r="D19" t="s">
        <v>157</v>
      </c>
      <c r="E19" t="s">
        <v>123</v>
      </c>
      <c r="F19">
        <v>634</v>
      </c>
      <c r="G19">
        <v>598</v>
      </c>
      <c r="H19">
        <v>637</v>
      </c>
      <c r="I19">
        <v>684</v>
      </c>
      <c r="J19">
        <v>715</v>
      </c>
      <c r="K19">
        <v>730</v>
      </c>
      <c r="L19">
        <v>758</v>
      </c>
      <c r="M19">
        <v>791</v>
      </c>
      <c r="N19">
        <v>772</v>
      </c>
      <c r="O19">
        <v>748</v>
      </c>
      <c r="P19">
        <v>743</v>
      </c>
      <c r="Q19">
        <v>746</v>
      </c>
      <c r="R19">
        <v>742</v>
      </c>
      <c r="S19">
        <v>746</v>
      </c>
      <c r="T19">
        <v>723</v>
      </c>
      <c r="U19">
        <v>695</v>
      </c>
      <c r="V19">
        <v>672</v>
      </c>
      <c r="W19">
        <v>647</v>
      </c>
      <c r="X19">
        <v>607</v>
      </c>
      <c r="Y19">
        <v>575</v>
      </c>
      <c r="Z19">
        <v>555</v>
      </c>
      <c r="AA19">
        <v>560</v>
      </c>
      <c r="AB19">
        <v>563</v>
      </c>
      <c r="AC19">
        <v>580</v>
      </c>
      <c r="AD19">
        <v>596</v>
      </c>
      <c r="AE19">
        <v>611</v>
      </c>
    </row>
    <row r="20" spans="1:31" x14ac:dyDescent="0.3">
      <c r="A20" t="s">
        <v>285</v>
      </c>
      <c r="B20" t="s">
        <v>158</v>
      </c>
      <c r="C20" t="s">
        <v>0</v>
      </c>
      <c r="D20" t="s">
        <v>159</v>
      </c>
      <c r="E20" t="s">
        <v>123</v>
      </c>
      <c r="F20">
        <v>5768</v>
      </c>
      <c r="G20">
        <v>5467</v>
      </c>
      <c r="H20">
        <v>5606</v>
      </c>
      <c r="I20">
        <v>5641</v>
      </c>
      <c r="J20">
        <v>5566</v>
      </c>
      <c r="K20">
        <v>5551</v>
      </c>
      <c r="L20">
        <v>5576</v>
      </c>
      <c r="M20">
        <v>5618</v>
      </c>
      <c r="N20">
        <v>5570</v>
      </c>
      <c r="O20">
        <v>5575</v>
      </c>
      <c r="P20">
        <v>5670</v>
      </c>
      <c r="Q20">
        <v>5740</v>
      </c>
      <c r="R20">
        <v>5777</v>
      </c>
      <c r="S20">
        <v>6108</v>
      </c>
      <c r="T20">
        <v>6724</v>
      </c>
      <c r="U20">
        <v>7038</v>
      </c>
      <c r="V20">
        <v>7199</v>
      </c>
      <c r="W20">
        <v>7587</v>
      </c>
      <c r="X20">
        <v>8024</v>
      </c>
      <c r="Y20">
        <v>8638</v>
      </c>
      <c r="Z20">
        <v>9303</v>
      </c>
      <c r="AA20">
        <v>10323</v>
      </c>
      <c r="AB20">
        <v>10998</v>
      </c>
      <c r="AC20">
        <v>11419</v>
      </c>
      <c r="AD20">
        <v>11666</v>
      </c>
      <c r="AE20">
        <v>12419</v>
      </c>
    </row>
    <row r="21" spans="1:31" x14ac:dyDescent="0.3">
      <c r="A21" t="s">
        <v>285</v>
      </c>
      <c r="B21" t="s">
        <v>160</v>
      </c>
      <c r="C21" t="s">
        <v>0</v>
      </c>
      <c r="D21" t="s">
        <v>161</v>
      </c>
      <c r="E21" t="s">
        <v>123</v>
      </c>
      <c r="F21">
        <v>6069</v>
      </c>
      <c r="G21">
        <v>5750</v>
      </c>
      <c r="H21">
        <v>5899</v>
      </c>
      <c r="I21">
        <v>5939</v>
      </c>
      <c r="J21">
        <v>5871</v>
      </c>
      <c r="K21">
        <v>5855</v>
      </c>
      <c r="L21">
        <v>5881</v>
      </c>
      <c r="M21">
        <v>5936</v>
      </c>
      <c r="N21">
        <v>5896</v>
      </c>
      <c r="O21">
        <v>5893</v>
      </c>
      <c r="P21">
        <v>5994</v>
      </c>
      <c r="Q21">
        <v>6076</v>
      </c>
      <c r="R21">
        <v>6161</v>
      </c>
      <c r="S21">
        <v>6519</v>
      </c>
      <c r="T21">
        <v>7191</v>
      </c>
      <c r="U21">
        <v>7514</v>
      </c>
      <c r="V21">
        <v>7703</v>
      </c>
      <c r="W21">
        <v>8183</v>
      </c>
      <c r="X21">
        <v>8651</v>
      </c>
      <c r="Y21">
        <v>9269</v>
      </c>
      <c r="Z21">
        <v>9943</v>
      </c>
      <c r="AA21">
        <v>10997</v>
      </c>
      <c r="AB21">
        <v>11696</v>
      </c>
      <c r="AC21">
        <v>12142</v>
      </c>
      <c r="AD21">
        <v>12402</v>
      </c>
      <c r="AE21">
        <v>13204</v>
      </c>
    </row>
    <row r="22" spans="1:31" x14ac:dyDescent="0.3">
      <c r="A22" t="s">
        <v>285</v>
      </c>
      <c r="B22" t="s">
        <v>162</v>
      </c>
      <c r="C22" t="s">
        <v>0</v>
      </c>
      <c r="D22" t="s">
        <v>163</v>
      </c>
      <c r="E22" t="s">
        <v>123</v>
      </c>
      <c r="F22">
        <v>301</v>
      </c>
      <c r="G22">
        <v>283</v>
      </c>
      <c r="H22">
        <v>293</v>
      </c>
      <c r="I22">
        <v>298</v>
      </c>
      <c r="J22">
        <v>305</v>
      </c>
      <c r="K22">
        <v>304</v>
      </c>
      <c r="L22">
        <v>305</v>
      </c>
      <c r="M22">
        <v>318</v>
      </c>
      <c r="N22">
        <v>326</v>
      </c>
      <c r="O22">
        <v>318</v>
      </c>
      <c r="P22">
        <v>324</v>
      </c>
      <c r="Q22">
        <v>336</v>
      </c>
      <c r="R22">
        <v>384</v>
      </c>
      <c r="S22">
        <v>411</v>
      </c>
      <c r="T22">
        <v>467</v>
      </c>
      <c r="U22">
        <v>476</v>
      </c>
      <c r="V22">
        <v>504</v>
      </c>
      <c r="W22">
        <v>596</v>
      </c>
      <c r="X22">
        <v>627</v>
      </c>
      <c r="Y22">
        <v>631</v>
      </c>
      <c r="Z22">
        <v>640</v>
      </c>
      <c r="AA22">
        <v>674</v>
      </c>
      <c r="AB22">
        <v>698</v>
      </c>
      <c r="AC22">
        <v>723</v>
      </c>
      <c r="AD22">
        <v>736</v>
      </c>
      <c r="AE22">
        <v>785</v>
      </c>
    </row>
    <row r="23" spans="1:31" x14ac:dyDescent="0.3">
      <c r="A23" t="s">
        <v>285</v>
      </c>
      <c r="B23" t="s">
        <v>164</v>
      </c>
      <c r="C23" t="s">
        <v>0</v>
      </c>
      <c r="D23" t="s">
        <v>165</v>
      </c>
      <c r="E23" t="s">
        <v>123</v>
      </c>
      <c r="F23">
        <v>967</v>
      </c>
      <c r="G23">
        <v>902</v>
      </c>
      <c r="H23">
        <v>940</v>
      </c>
      <c r="I23">
        <v>950</v>
      </c>
      <c r="J23">
        <v>1019</v>
      </c>
      <c r="K23">
        <v>1106</v>
      </c>
      <c r="L23">
        <v>1182</v>
      </c>
      <c r="M23">
        <v>1230</v>
      </c>
      <c r="N23">
        <v>1318</v>
      </c>
      <c r="O23">
        <v>1378</v>
      </c>
      <c r="P23">
        <v>1493</v>
      </c>
      <c r="Q23">
        <v>1640</v>
      </c>
      <c r="R23">
        <v>1823</v>
      </c>
      <c r="S23">
        <v>2047</v>
      </c>
      <c r="T23">
        <v>2096</v>
      </c>
      <c r="U23">
        <v>2048</v>
      </c>
      <c r="V23">
        <v>2121</v>
      </c>
      <c r="W23">
        <v>2238</v>
      </c>
      <c r="X23">
        <v>2317</v>
      </c>
      <c r="Y23">
        <v>2355</v>
      </c>
      <c r="Z23">
        <v>2351</v>
      </c>
      <c r="AA23">
        <v>2498</v>
      </c>
      <c r="AB23">
        <v>2645</v>
      </c>
      <c r="AC23">
        <v>2889</v>
      </c>
      <c r="AD23">
        <v>3189</v>
      </c>
      <c r="AE23">
        <v>3459</v>
      </c>
    </row>
    <row r="24" spans="1:31" x14ac:dyDescent="0.3">
      <c r="A24" t="s">
        <v>285</v>
      </c>
      <c r="B24" t="s">
        <v>166</v>
      </c>
      <c r="C24" t="s">
        <v>0</v>
      </c>
      <c r="D24" t="s">
        <v>167</v>
      </c>
      <c r="E24" t="s">
        <v>123</v>
      </c>
      <c r="F24">
        <v>3955</v>
      </c>
      <c r="G24">
        <v>3501</v>
      </c>
      <c r="H24">
        <v>3586</v>
      </c>
      <c r="I24">
        <v>3681</v>
      </c>
      <c r="J24">
        <v>3708</v>
      </c>
      <c r="K24">
        <v>3700</v>
      </c>
      <c r="L24">
        <v>3740</v>
      </c>
      <c r="M24">
        <v>3731</v>
      </c>
      <c r="N24">
        <v>3709</v>
      </c>
      <c r="O24">
        <v>3593</v>
      </c>
      <c r="P24">
        <v>3518</v>
      </c>
      <c r="Q24">
        <v>3439</v>
      </c>
      <c r="R24">
        <v>3472</v>
      </c>
      <c r="S24">
        <v>3567</v>
      </c>
      <c r="T24">
        <v>3672</v>
      </c>
      <c r="U24">
        <v>3610</v>
      </c>
      <c r="V24">
        <v>3685</v>
      </c>
      <c r="W24">
        <v>3925</v>
      </c>
      <c r="X24">
        <v>4000</v>
      </c>
      <c r="Y24">
        <v>4151</v>
      </c>
      <c r="Z24">
        <v>4129</v>
      </c>
      <c r="AA24">
        <v>4464</v>
      </c>
      <c r="AB24">
        <v>4714</v>
      </c>
      <c r="AC24">
        <v>5045</v>
      </c>
      <c r="AD24">
        <v>5313</v>
      </c>
      <c r="AE24">
        <v>5520</v>
      </c>
    </row>
    <row r="25" spans="1:31" x14ac:dyDescent="0.3">
      <c r="A25" t="s">
        <v>285</v>
      </c>
      <c r="B25" t="s">
        <v>168</v>
      </c>
      <c r="C25" t="s">
        <v>0</v>
      </c>
      <c r="D25" t="s">
        <v>169</v>
      </c>
      <c r="E25" t="s">
        <v>123</v>
      </c>
      <c r="F25">
        <v>553</v>
      </c>
      <c r="G25">
        <v>490</v>
      </c>
      <c r="H25">
        <v>499</v>
      </c>
      <c r="I25">
        <v>513</v>
      </c>
      <c r="J25">
        <v>522</v>
      </c>
      <c r="K25">
        <v>520</v>
      </c>
      <c r="L25">
        <v>525</v>
      </c>
      <c r="M25">
        <v>523</v>
      </c>
      <c r="N25">
        <v>517</v>
      </c>
      <c r="O25">
        <v>508</v>
      </c>
      <c r="P25">
        <v>489</v>
      </c>
      <c r="Q25">
        <v>490</v>
      </c>
      <c r="R25">
        <v>472</v>
      </c>
      <c r="S25">
        <v>458</v>
      </c>
      <c r="T25">
        <v>471</v>
      </c>
      <c r="U25">
        <v>480</v>
      </c>
      <c r="V25">
        <v>529</v>
      </c>
      <c r="W25">
        <v>553</v>
      </c>
      <c r="X25">
        <v>555</v>
      </c>
      <c r="Y25">
        <v>578</v>
      </c>
      <c r="Z25">
        <v>573</v>
      </c>
      <c r="AA25">
        <v>632</v>
      </c>
      <c r="AB25">
        <v>648</v>
      </c>
      <c r="AC25">
        <v>683</v>
      </c>
      <c r="AD25">
        <v>731</v>
      </c>
      <c r="AE25">
        <v>779</v>
      </c>
    </row>
    <row r="26" spans="1:31" x14ac:dyDescent="0.3">
      <c r="A26" t="s">
        <v>285</v>
      </c>
      <c r="B26" t="s">
        <v>170</v>
      </c>
      <c r="C26" t="s">
        <v>0</v>
      </c>
      <c r="D26" t="s">
        <v>171</v>
      </c>
      <c r="E26" t="s">
        <v>123</v>
      </c>
      <c r="F26">
        <v>1599</v>
      </c>
      <c r="G26">
        <v>1381</v>
      </c>
      <c r="H26">
        <v>1453</v>
      </c>
      <c r="I26">
        <v>1490</v>
      </c>
      <c r="J26">
        <v>1485</v>
      </c>
      <c r="K26">
        <v>1486</v>
      </c>
      <c r="L26">
        <v>1505</v>
      </c>
      <c r="M26">
        <v>1508</v>
      </c>
      <c r="N26">
        <v>1483</v>
      </c>
      <c r="O26">
        <v>1421</v>
      </c>
      <c r="P26">
        <v>1380</v>
      </c>
      <c r="Q26">
        <v>1317</v>
      </c>
      <c r="R26">
        <v>1374</v>
      </c>
      <c r="S26">
        <v>1470</v>
      </c>
      <c r="T26">
        <v>1527</v>
      </c>
      <c r="U26">
        <v>1500</v>
      </c>
      <c r="V26">
        <v>1541</v>
      </c>
      <c r="W26">
        <v>1656</v>
      </c>
      <c r="X26">
        <v>1704</v>
      </c>
      <c r="Y26">
        <v>1793</v>
      </c>
      <c r="Z26">
        <v>1776</v>
      </c>
      <c r="AA26">
        <v>1949</v>
      </c>
      <c r="AB26">
        <v>2140</v>
      </c>
      <c r="AC26">
        <v>2346</v>
      </c>
      <c r="AD26">
        <v>2486</v>
      </c>
      <c r="AE26">
        <v>2560</v>
      </c>
    </row>
    <row r="27" spans="1:31" x14ac:dyDescent="0.3">
      <c r="A27" t="s">
        <v>285</v>
      </c>
      <c r="B27" t="s">
        <v>172</v>
      </c>
      <c r="C27" t="s">
        <v>0</v>
      </c>
      <c r="D27" t="s">
        <v>173</v>
      </c>
      <c r="E27" t="s">
        <v>123</v>
      </c>
      <c r="F27">
        <v>1803</v>
      </c>
      <c r="G27">
        <v>1630</v>
      </c>
      <c r="H27">
        <v>1634</v>
      </c>
      <c r="I27">
        <v>1678</v>
      </c>
      <c r="J27">
        <v>1701</v>
      </c>
      <c r="K27">
        <v>1694</v>
      </c>
      <c r="L27">
        <v>1710</v>
      </c>
      <c r="M27">
        <v>1700</v>
      </c>
      <c r="N27">
        <v>1709</v>
      </c>
      <c r="O27">
        <v>1664</v>
      </c>
      <c r="P27">
        <v>1649</v>
      </c>
      <c r="Q27">
        <v>1632</v>
      </c>
      <c r="R27">
        <v>1626</v>
      </c>
      <c r="S27">
        <v>1639</v>
      </c>
      <c r="T27">
        <v>1674</v>
      </c>
      <c r="U27">
        <v>1630</v>
      </c>
      <c r="V27">
        <v>1615</v>
      </c>
      <c r="W27">
        <v>1716</v>
      </c>
      <c r="X27">
        <v>1741</v>
      </c>
      <c r="Y27">
        <v>1780</v>
      </c>
      <c r="Z27">
        <v>1780</v>
      </c>
      <c r="AA27">
        <v>1883</v>
      </c>
      <c r="AB27">
        <v>1926</v>
      </c>
      <c r="AC27">
        <v>2016</v>
      </c>
      <c r="AD27">
        <v>2096</v>
      </c>
      <c r="AE27">
        <v>2181</v>
      </c>
    </row>
    <row r="28" spans="1:31" x14ac:dyDescent="0.3">
      <c r="A28" t="s">
        <v>285</v>
      </c>
      <c r="B28" t="s">
        <v>174</v>
      </c>
      <c r="C28" t="s">
        <v>0</v>
      </c>
      <c r="D28" t="s">
        <v>175</v>
      </c>
      <c r="E28" t="s">
        <v>123</v>
      </c>
      <c r="F28">
        <v>807</v>
      </c>
      <c r="G28">
        <v>793</v>
      </c>
      <c r="H28">
        <v>850</v>
      </c>
      <c r="I28">
        <v>943</v>
      </c>
      <c r="J28">
        <v>965</v>
      </c>
      <c r="K28">
        <v>990</v>
      </c>
      <c r="L28">
        <v>1028</v>
      </c>
      <c r="M28">
        <v>1073</v>
      </c>
      <c r="N28">
        <v>1133</v>
      </c>
      <c r="O28">
        <v>1141</v>
      </c>
      <c r="P28">
        <v>1136</v>
      </c>
      <c r="Q28">
        <v>1110</v>
      </c>
      <c r="R28">
        <v>1102</v>
      </c>
      <c r="S28">
        <v>1102</v>
      </c>
      <c r="T28">
        <v>1178</v>
      </c>
      <c r="U28">
        <v>1203</v>
      </c>
      <c r="V28">
        <v>1269</v>
      </c>
      <c r="W28">
        <v>1284</v>
      </c>
      <c r="X28">
        <v>1264</v>
      </c>
      <c r="Y28">
        <v>1335</v>
      </c>
      <c r="Z28">
        <v>1326</v>
      </c>
      <c r="AA28">
        <v>1418</v>
      </c>
      <c r="AB28">
        <v>1420</v>
      </c>
      <c r="AC28">
        <v>1467</v>
      </c>
      <c r="AD28">
        <v>1588</v>
      </c>
      <c r="AE28">
        <v>1631</v>
      </c>
    </row>
    <row r="29" spans="1:31" x14ac:dyDescent="0.3">
      <c r="A29" t="s">
        <v>285</v>
      </c>
      <c r="B29" t="s">
        <v>176</v>
      </c>
      <c r="C29" t="s">
        <v>0</v>
      </c>
      <c r="D29" t="s">
        <v>177</v>
      </c>
      <c r="E29" t="s">
        <v>123</v>
      </c>
      <c r="F29">
        <v>297</v>
      </c>
      <c r="G29">
        <v>304</v>
      </c>
      <c r="H29">
        <v>332</v>
      </c>
      <c r="I29">
        <v>386</v>
      </c>
      <c r="J29">
        <v>376</v>
      </c>
      <c r="K29">
        <v>375</v>
      </c>
      <c r="L29">
        <v>382</v>
      </c>
      <c r="M29">
        <v>402</v>
      </c>
      <c r="N29">
        <v>433</v>
      </c>
      <c r="O29">
        <v>442</v>
      </c>
      <c r="P29">
        <v>431</v>
      </c>
      <c r="Q29">
        <v>395</v>
      </c>
      <c r="R29">
        <v>364</v>
      </c>
      <c r="S29">
        <v>360</v>
      </c>
      <c r="T29">
        <v>354</v>
      </c>
      <c r="U29">
        <v>349</v>
      </c>
      <c r="V29">
        <v>366</v>
      </c>
      <c r="W29">
        <v>358</v>
      </c>
      <c r="X29">
        <v>343</v>
      </c>
      <c r="Y29">
        <v>359</v>
      </c>
      <c r="Z29">
        <v>315</v>
      </c>
      <c r="AA29">
        <v>320</v>
      </c>
      <c r="AB29">
        <v>315</v>
      </c>
      <c r="AC29">
        <v>330</v>
      </c>
      <c r="AD29">
        <v>366</v>
      </c>
      <c r="AE29">
        <v>362</v>
      </c>
    </row>
    <row r="30" spans="1:31" x14ac:dyDescent="0.3">
      <c r="A30" t="s">
        <v>285</v>
      </c>
      <c r="B30" t="s">
        <v>178</v>
      </c>
      <c r="C30" t="s">
        <v>0</v>
      </c>
      <c r="D30" t="s">
        <v>179</v>
      </c>
      <c r="E30" t="s">
        <v>123</v>
      </c>
      <c r="F30">
        <v>9</v>
      </c>
      <c r="G30">
        <v>7</v>
      </c>
      <c r="H30">
        <v>6</v>
      </c>
      <c r="I30">
        <v>5</v>
      </c>
      <c r="J30">
        <v>2</v>
      </c>
      <c r="K30">
        <v>1</v>
      </c>
      <c r="L30">
        <v>8</v>
      </c>
      <c r="M30">
        <v>13</v>
      </c>
      <c r="N30">
        <v>18</v>
      </c>
      <c r="O30">
        <v>23</v>
      </c>
      <c r="P30">
        <v>30</v>
      </c>
      <c r="Q30">
        <v>46</v>
      </c>
      <c r="R30">
        <v>59</v>
      </c>
      <c r="S30">
        <v>68</v>
      </c>
      <c r="T30">
        <v>69</v>
      </c>
      <c r="U30">
        <v>66</v>
      </c>
      <c r="V30">
        <v>84</v>
      </c>
      <c r="W30">
        <v>104</v>
      </c>
      <c r="X30">
        <v>117</v>
      </c>
      <c r="Y30">
        <v>115</v>
      </c>
      <c r="Z30">
        <v>119</v>
      </c>
      <c r="AA30">
        <v>128</v>
      </c>
      <c r="AB30">
        <v>122</v>
      </c>
      <c r="AC30">
        <v>130</v>
      </c>
      <c r="AD30">
        <v>139</v>
      </c>
      <c r="AE30">
        <v>136</v>
      </c>
    </row>
    <row r="31" spans="1:31" x14ac:dyDescent="0.3">
      <c r="A31" t="s">
        <v>285</v>
      </c>
      <c r="B31" t="s">
        <v>180</v>
      </c>
      <c r="C31" t="s">
        <v>0</v>
      </c>
      <c r="D31" t="s">
        <v>181</v>
      </c>
      <c r="E31" t="s">
        <v>123</v>
      </c>
      <c r="F31">
        <v>99</v>
      </c>
      <c r="G31">
        <v>91</v>
      </c>
      <c r="H31">
        <v>92</v>
      </c>
      <c r="I31">
        <v>99</v>
      </c>
      <c r="J31">
        <v>102</v>
      </c>
      <c r="K31">
        <v>97</v>
      </c>
      <c r="L31">
        <v>99</v>
      </c>
      <c r="M31">
        <v>93</v>
      </c>
      <c r="N31">
        <v>86</v>
      </c>
      <c r="O31">
        <v>81</v>
      </c>
      <c r="P31">
        <v>80</v>
      </c>
      <c r="Q31">
        <v>82</v>
      </c>
      <c r="R31">
        <v>84</v>
      </c>
      <c r="S31">
        <v>86</v>
      </c>
      <c r="T31">
        <v>91</v>
      </c>
      <c r="U31">
        <v>82</v>
      </c>
      <c r="V31">
        <v>72</v>
      </c>
      <c r="W31">
        <v>63</v>
      </c>
      <c r="X31">
        <v>57</v>
      </c>
      <c r="Y31">
        <v>51</v>
      </c>
      <c r="Z31">
        <v>46</v>
      </c>
      <c r="AA31">
        <v>43</v>
      </c>
      <c r="AB31">
        <v>41</v>
      </c>
      <c r="AC31">
        <v>40</v>
      </c>
      <c r="AD31">
        <v>40</v>
      </c>
      <c r="AE31">
        <v>38</v>
      </c>
    </row>
    <row r="32" spans="1:31" x14ac:dyDescent="0.3">
      <c r="A32" t="s">
        <v>285</v>
      </c>
      <c r="B32" t="s">
        <v>182</v>
      </c>
      <c r="C32" t="s">
        <v>0</v>
      </c>
      <c r="D32" t="s">
        <v>183</v>
      </c>
      <c r="E32" t="s">
        <v>123</v>
      </c>
      <c r="F32">
        <v>289</v>
      </c>
      <c r="G32">
        <v>289</v>
      </c>
      <c r="H32">
        <v>310</v>
      </c>
      <c r="I32">
        <v>335</v>
      </c>
      <c r="J32">
        <v>357</v>
      </c>
      <c r="K32">
        <v>379</v>
      </c>
      <c r="L32">
        <v>394</v>
      </c>
      <c r="M32">
        <v>411</v>
      </c>
      <c r="N32">
        <v>443</v>
      </c>
      <c r="O32">
        <v>455</v>
      </c>
      <c r="P32">
        <v>469</v>
      </c>
      <c r="Q32">
        <v>473</v>
      </c>
      <c r="R32">
        <v>492</v>
      </c>
      <c r="S32">
        <v>494</v>
      </c>
      <c r="T32">
        <v>575</v>
      </c>
      <c r="U32">
        <v>622</v>
      </c>
      <c r="V32">
        <v>672</v>
      </c>
      <c r="W32">
        <v>691</v>
      </c>
      <c r="X32">
        <v>683</v>
      </c>
      <c r="Y32">
        <v>747</v>
      </c>
      <c r="Z32">
        <v>782</v>
      </c>
      <c r="AA32">
        <v>859</v>
      </c>
      <c r="AB32">
        <v>873</v>
      </c>
      <c r="AC32">
        <v>895</v>
      </c>
      <c r="AD32">
        <v>970</v>
      </c>
      <c r="AE32">
        <v>1022</v>
      </c>
    </row>
    <row r="33" spans="1:31" x14ac:dyDescent="0.3">
      <c r="A33" t="s">
        <v>285</v>
      </c>
      <c r="B33" t="s">
        <v>184</v>
      </c>
      <c r="C33" t="s">
        <v>0</v>
      </c>
      <c r="D33" t="s">
        <v>185</v>
      </c>
      <c r="E33" t="s">
        <v>123</v>
      </c>
      <c r="F33">
        <v>113</v>
      </c>
      <c r="G33">
        <v>102</v>
      </c>
      <c r="H33">
        <v>110</v>
      </c>
      <c r="I33">
        <v>118</v>
      </c>
      <c r="J33">
        <v>128</v>
      </c>
      <c r="K33">
        <v>138</v>
      </c>
      <c r="L33">
        <v>145</v>
      </c>
      <c r="M33">
        <v>154</v>
      </c>
      <c r="N33">
        <v>153</v>
      </c>
      <c r="O33">
        <v>140</v>
      </c>
      <c r="P33">
        <v>126</v>
      </c>
      <c r="Q33">
        <v>114</v>
      </c>
      <c r="R33">
        <v>103</v>
      </c>
      <c r="S33">
        <v>94</v>
      </c>
      <c r="T33">
        <v>89</v>
      </c>
      <c r="U33">
        <v>84</v>
      </c>
      <c r="V33">
        <v>75</v>
      </c>
      <c r="W33">
        <v>68</v>
      </c>
      <c r="X33">
        <v>64</v>
      </c>
      <c r="Y33">
        <v>63</v>
      </c>
      <c r="Z33">
        <v>64</v>
      </c>
      <c r="AA33">
        <v>68</v>
      </c>
      <c r="AB33">
        <v>69</v>
      </c>
      <c r="AC33">
        <v>72</v>
      </c>
      <c r="AD33">
        <v>73</v>
      </c>
      <c r="AE33">
        <v>73</v>
      </c>
    </row>
    <row r="34" spans="1:31" x14ac:dyDescent="0.3">
      <c r="A34" t="s">
        <v>285</v>
      </c>
      <c r="B34" t="s">
        <v>186</v>
      </c>
      <c r="C34" t="s">
        <v>0</v>
      </c>
      <c r="D34" t="s">
        <v>187</v>
      </c>
      <c r="E34" t="s">
        <v>123</v>
      </c>
      <c r="F34">
        <v>482</v>
      </c>
      <c r="G34">
        <v>438</v>
      </c>
      <c r="H34">
        <v>456</v>
      </c>
      <c r="I34">
        <v>493</v>
      </c>
      <c r="J34">
        <v>501</v>
      </c>
      <c r="K34">
        <v>506</v>
      </c>
      <c r="L34">
        <v>511</v>
      </c>
      <c r="M34">
        <v>513</v>
      </c>
      <c r="N34">
        <v>520</v>
      </c>
      <c r="O34">
        <v>519</v>
      </c>
      <c r="P34">
        <v>531</v>
      </c>
      <c r="Q34">
        <v>561</v>
      </c>
      <c r="R34">
        <v>584</v>
      </c>
      <c r="S34">
        <v>618</v>
      </c>
      <c r="T34">
        <v>637</v>
      </c>
      <c r="U34">
        <v>626</v>
      </c>
      <c r="V34">
        <v>634</v>
      </c>
      <c r="W34">
        <v>663</v>
      </c>
      <c r="X34">
        <v>670</v>
      </c>
      <c r="Y34">
        <v>682</v>
      </c>
      <c r="Z34">
        <v>697</v>
      </c>
      <c r="AA34">
        <v>756</v>
      </c>
      <c r="AB34">
        <v>779</v>
      </c>
      <c r="AC34">
        <v>846</v>
      </c>
      <c r="AD34">
        <v>911</v>
      </c>
      <c r="AE34">
        <v>942</v>
      </c>
    </row>
    <row r="35" spans="1:31" x14ac:dyDescent="0.3">
      <c r="A35" t="s">
        <v>285</v>
      </c>
      <c r="B35" t="s">
        <v>188</v>
      </c>
      <c r="C35" t="s">
        <v>0</v>
      </c>
      <c r="D35" t="s">
        <v>189</v>
      </c>
      <c r="E35" t="s">
        <v>123</v>
      </c>
      <c r="F35">
        <v>1830</v>
      </c>
      <c r="G35">
        <v>1490</v>
      </c>
      <c r="H35">
        <v>1586</v>
      </c>
      <c r="I35">
        <v>1660</v>
      </c>
      <c r="J35">
        <v>1687</v>
      </c>
      <c r="K35">
        <v>1804</v>
      </c>
      <c r="L35">
        <v>1985</v>
      </c>
      <c r="M35">
        <v>2083</v>
      </c>
      <c r="N35">
        <v>2005</v>
      </c>
      <c r="O35">
        <v>1937</v>
      </c>
      <c r="P35">
        <v>1875</v>
      </c>
      <c r="Q35">
        <v>1806</v>
      </c>
      <c r="R35">
        <v>1740</v>
      </c>
      <c r="S35">
        <v>1740</v>
      </c>
      <c r="T35">
        <v>1738</v>
      </c>
      <c r="U35">
        <v>1739</v>
      </c>
      <c r="V35">
        <v>1760</v>
      </c>
      <c r="W35">
        <v>1860</v>
      </c>
      <c r="X35">
        <v>1902</v>
      </c>
      <c r="Y35">
        <v>1924</v>
      </c>
      <c r="Z35">
        <v>1932</v>
      </c>
      <c r="AA35">
        <v>1985</v>
      </c>
      <c r="AB35">
        <v>1982</v>
      </c>
      <c r="AC35">
        <v>2028</v>
      </c>
      <c r="AD35">
        <v>2046</v>
      </c>
      <c r="AE35">
        <v>2124</v>
      </c>
    </row>
    <row r="36" spans="1:31" x14ac:dyDescent="0.3">
      <c r="A36" t="s">
        <v>285</v>
      </c>
      <c r="B36" t="s">
        <v>190</v>
      </c>
      <c r="C36" t="s">
        <v>0</v>
      </c>
      <c r="D36" t="s">
        <v>191</v>
      </c>
      <c r="E36" t="s">
        <v>123</v>
      </c>
      <c r="F36">
        <v>435</v>
      </c>
      <c r="G36">
        <v>395</v>
      </c>
      <c r="H36">
        <v>423</v>
      </c>
      <c r="I36">
        <v>436</v>
      </c>
      <c r="J36">
        <v>394</v>
      </c>
      <c r="K36">
        <v>397</v>
      </c>
      <c r="L36">
        <v>401</v>
      </c>
      <c r="M36">
        <v>390</v>
      </c>
      <c r="N36">
        <v>372</v>
      </c>
      <c r="O36">
        <v>349</v>
      </c>
      <c r="P36">
        <v>340</v>
      </c>
      <c r="Q36">
        <v>325</v>
      </c>
      <c r="R36">
        <v>304</v>
      </c>
      <c r="S36">
        <v>292</v>
      </c>
      <c r="T36">
        <v>286</v>
      </c>
      <c r="U36">
        <v>293</v>
      </c>
      <c r="V36">
        <v>291</v>
      </c>
      <c r="W36">
        <v>309</v>
      </c>
      <c r="X36">
        <v>308</v>
      </c>
      <c r="Y36">
        <v>309</v>
      </c>
      <c r="Z36">
        <v>310</v>
      </c>
      <c r="AA36">
        <v>307</v>
      </c>
      <c r="AB36">
        <v>309</v>
      </c>
      <c r="AC36">
        <v>297</v>
      </c>
      <c r="AD36">
        <v>278</v>
      </c>
      <c r="AE36">
        <v>253</v>
      </c>
    </row>
    <row r="37" spans="1:31" x14ac:dyDescent="0.3">
      <c r="A37" t="s">
        <v>285</v>
      </c>
      <c r="B37" t="s">
        <v>192</v>
      </c>
      <c r="C37" t="s">
        <v>0</v>
      </c>
      <c r="D37" t="s">
        <v>193</v>
      </c>
      <c r="E37" t="s">
        <v>123</v>
      </c>
      <c r="F37">
        <v>1188</v>
      </c>
      <c r="G37">
        <v>909</v>
      </c>
      <c r="H37">
        <v>964</v>
      </c>
      <c r="I37">
        <v>1002</v>
      </c>
      <c r="J37">
        <v>1034</v>
      </c>
      <c r="K37">
        <v>1111</v>
      </c>
      <c r="L37">
        <v>1205</v>
      </c>
      <c r="M37">
        <v>1293</v>
      </c>
      <c r="N37">
        <v>1228</v>
      </c>
      <c r="O37">
        <v>1197</v>
      </c>
      <c r="P37">
        <v>1144</v>
      </c>
      <c r="Q37">
        <v>1094</v>
      </c>
      <c r="R37">
        <v>1052</v>
      </c>
      <c r="S37">
        <v>1080</v>
      </c>
      <c r="T37">
        <v>1113</v>
      </c>
      <c r="U37">
        <v>1119</v>
      </c>
      <c r="V37">
        <v>1148</v>
      </c>
      <c r="W37">
        <v>1187</v>
      </c>
      <c r="X37">
        <v>1207</v>
      </c>
      <c r="Y37">
        <v>1222</v>
      </c>
      <c r="Z37">
        <v>1215</v>
      </c>
      <c r="AA37">
        <v>1270</v>
      </c>
      <c r="AB37">
        <v>1293</v>
      </c>
      <c r="AC37">
        <v>1329</v>
      </c>
      <c r="AD37">
        <v>1361</v>
      </c>
      <c r="AE37">
        <v>1450</v>
      </c>
    </row>
    <row r="38" spans="1:31" x14ac:dyDescent="0.3">
      <c r="A38" t="s">
        <v>285</v>
      </c>
      <c r="B38" t="s">
        <v>194</v>
      </c>
      <c r="C38" t="s">
        <v>0</v>
      </c>
      <c r="D38" t="s">
        <v>195</v>
      </c>
      <c r="E38" t="s">
        <v>123</v>
      </c>
      <c r="F38">
        <v>207</v>
      </c>
      <c r="G38">
        <v>186</v>
      </c>
      <c r="H38">
        <v>199</v>
      </c>
      <c r="I38">
        <v>222</v>
      </c>
      <c r="J38">
        <v>259</v>
      </c>
      <c r="K38">
        <v>296</v>
      </c>
      <c r="L38">
        <v>379</v>
      </c>
      <c r="M38">
        <v>400</v>
      </c>
      <c r="N38">
        <v>405</v>
      </c>
      <c r="O38">
        <v>391</v>
      </c>
      <c r="P38">
        <v>391</v>
      </c>
      <c r="Q38">
        <v>387</v>
      </c>
      <c r="R38">
        <v>384</v>
      </c>
      <c r="S38">
        <v>368</v>
      </c>
      <c r="T38">
        <v>339</v>
      </c>
      <c r="U38">
        <v>327</v>
      </c>
      <c r="V38">
        <v>321</v>
      </c>
      <c r="W38">
        <v>364</v>
      </c>
      <c r="X38">
        <v>387</v>
      </c>
      <c r="Y38">
        <v>393</v>
      </c>
      <c r="Z38">
        <v>407</v>
      </c>
      <c r="AA38">
        <v>408</v>
      </c>
      <c r="AB38">
        <v>380</v>
      </c>
      <c r="AC38">
        <v>402</v>
      </c>
      <c r="AD38">
        <v>407</v>
      </c>
      <c r="AE38">
        <v>421</v>
      </c>
    </row>
    <row r="39" spans="1:31" x14ac:dyDescent="0.3">
      <c r="A39" t="s">
        <v>285</v>
      </c>
      <c r="B39" t="s">
        <v>196</v>
      </c>
      <c r="C39" t="s">
        <v>0</v>
      </c>
      <c r="D39" t="s">
        <v>197</v>
      </c>
      <c r="E39" t="s">
        <v>123</v>
      </c>
      <c r="F39">
        <v>686</v>
      </c>
      <c r="G39">
        <v>563</v>
      </c>
      <c r="H39">
        <v>479</v>
      </c>
      <c r="I39">
        <v>410</v>
      </c>
      <c r="J39">
        <v>347</v>
      </c>
      <c r="K39">
        <v>285</v>
      </c>
      <c r="L39">
        <v>229</v>
      </c>
      <c r="M39">
        <v>278</v>
      </c>
      <c r="N39">
        <v>222</v>
      </c>
      <c r="O39">
        <v>171</v>
      </c>
      <c r="P39">
        <v>140</v>
      </c>
      <c r="Q39">
        <v>162</v>
      </c>
      <c r="R39">
        <v>159</v>
      </c>
      <c r="S39">
        <v>169</v>
      </c>
      <c r="T39">
        <v>163</v>
      </c>
      <c r="U39">
        <v>88</v>
      </c>
      <c r="V39">
        <v>42</v>
      </c>
      <c r="W39">
        <v>57</v>
      </c>
      <c r="X39">
        <v>64</v>
      </c>
      <c r="Y39">
        <v>63</v>
      </c>
      <c r="Z39">
        <v>55</v>
      </c>
      <c r="AA39">
        <v>58</v>
      </c>
      <c r="AB39">
        <v>90</v>
      </c>
      <c r="AC39">
        <v>105</v>
      </c>
      <c r="AD39">
        <v>136</v>
      </c>
      <c r="AE39">
        <v>150</v>
      </c>
    </row>
    <row r="40" spans="1:31" x14ac:dyDescent="0.3">
      <c r="A40" t="s">
        <v>285</v>
      </c>
      <c r="B40" t="s">
        <v>198</v>
      </c>
      <c r="C40" t="s">
        <v>0</v>
      </c>
      <c r="D40" t="s">
        <v>199</v>
      </c>
      <c r="E40" t="s">
        <v>123</v>
      </c>
      <c r="F40">
        <v>293</v>
      </c>
      <c r="G40">
        <v>253</v>
      </c>
      <c r="H40">
        <v>246</v>
      </c>
      <c r="I40">
        <v>228</v>
      </c>
      <c r="J40">
        <v>209</v>
      </c>
      <c r="K40">
        <v>220</v>
      </c>
      <c r="L40">
        <v>221</v>
      </c>
      <c r="M40">
        <v>238</v>
      </c>
      <c r="N40">
        <v>287</v>
      </c>
      <c r="O40">
        <v>302</v>
      </c>
      <c r="P40">
        <v>347</v>
      </c>
      <c r="Q40">
        <v>393</v>
      </c>
      <c r="R40">
        <v>407</v>
      </c>
      <c r="S40">
        <v>485</v>
      </c>
      <c r="T40">
        <v>555</v>
      </c>
      <c r="U40">
        <v>540</v>
      </c>
      <c r="V40">
        <v>521</v>
      </c>
      <c r="W40">
        <v>519</v>
      </c>
      <c r="X40">
        <v>526</v>
      </c>
      <c r="Y40">
        <v>539</v>
      </c>
      <c r="Z40">
        <v>555</v>
      </c>
      <c r="AA40">
        <v>592</v>
      </c>
      <c r="AB40">
        <v>640</v>
      </c>
      <c r="AC40">
        <v>799</v>
      </c>
      <c r="AD40">
        <v>899</v>
      </c>
      <c r="AE40">
        <v>955</v>
      </c>
    </row>
    <row r="41" spans="1:31" x14ac:dyDescent="0.3">
      <c r="A41" t="s">
        <v>285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285</v>
      </c>
      <c r="B42" t="s">
        <v>202</v>
      </c>
      <c r="C42" t="s">
        <v>0</v>
      </c>
      <c r="D42" t="s">
        <v>203</v>
      </c>
      <c r="E42" t="s">
        <v>123</v>
      </c>
      <c r="F42">
        <v>599</v>
      </c>
      <c r="G42">
        <v>579</v>
      </c>
      <c r="H42">
        <v>625</v>
      </c>
      <c r="I42">
        <v>679</v>
      </c>
      <c r="J42">
        <v>714</v>
      </c>
      <c r="K42">
        <v>747</v>
      </c>
      <c r="L42">
        <v>776</v>
      </c>
      <c r="M42">
        <v>818</v>
      </c>
      <c r="N42">
        <v>836</v>
      </c>
      <c r="O42">
        <v>859</v>
      </c>
      <c r="P42">
        <v>866</v>
      </c>
      <c r="Q42">
        <v>860</v>
      </c>
      <c r="R42">
        <v>924</v>
      </c>
      <c r="S42">
        <v>941</v>
      </c>
      <c r="T42">
        <v>913</v>
      </c>
      <c r="U42">
        <v>922</v>
      </c>
      <c r="V42">
        <v>950</v>
      </c>
      <c r="W42">
        <v>1008</v>
      </c>
      <c r="X42">
        <v>1026</v>
      </c>
      <c r="Y42">
        <v>1057</v>
      </c>
      <c r="Z42">
        <v>1059</v>
      </c>
      <c r="AA42">
        <v>1071</v>
      </c>
      <c r="AB42">
        <v>1077</v>
      </c>
      <c r="AC42">
        <v>1123</v>
      </c>
      <c r="AD42">
        <v>1197</v>
      </c>
      <c r="AE42">
        <v>1229</v>
      </c>
    </row>
    <row r="43" spans="1:31" x14ac:dyDescent="0.3">
      <c r="A43" t="s">
        <v>285</v>
      </c>
      <c r="B43" t="s">
        <v>204</v>
      </c>
      <c r="C43" t="s">
        <v>0</v>
      </c>
      <c r="D43" t="s">
        <v>205</v>
      </c>
      <c r="E43" t="s">
        <v>123</v>
      </c>
      <c r="F43">
        <v>1200</v>
      </c>
      <c r="G43">
        <v>1176</v>
      </c>
      <c r="H43">
        <v>1240</v>
      </c>
      <c r="I43">
        <v>1333</v>
      </c>
      <c r="J43">
        <v>1399</v>
      </c>
      <c r="K43">
        <v>1501</v>
      </c>
      <c r="L43">
        <v>1472</v>
      </c>
      <c r="M43">
        <v>1504</v>
      </c>
      <c r="N43">
        <v>1538</v>
      </c>
      <c r="O43">
        <v>1603</v>
      </c>
      <c r="P43">
        <v>1665</v>
      </c>
      <c r="Q43">
        <v>1708</v>
      </c>
      <c r="R43">
        <v>1830</v>
      </c>
      <c r="S43">
        <v>1983</v>
      </c>
      <c r="T43">
        <v>1978</v>
      </c>
      <c r="U43">
        <v>1968</v>
      </c>
      <c r="V43">
        <v>2023</v>
      </c>
      <c r="W43">
        <v>2138</v>
      </c>
      <c r="X43">
        <v>2188</v>
      </c>
      <c r="Y43">
        <v>2294</v>
      </c>
      <c r="Z43">
        <v>2227</v>
      </c>
      <c r="AA43">
        <v>2292</v>
      </c>
      <c r="AB43">
        <v>2317</v>
      </c>
      <c r="AC43">
        <v>2456</v>
      </c>
      <c r="AD43">
        <v>2649</v>
      </c>
      <c r="AE43">
        <v>2728</v>
      </c>
    </row>
    <row r="44" spans="1:31" x14ac:dyDescent="0.3">
      <c r="A44" t="s">
        <v>285</v>
      </c>
      <c r="B44" t="s">
        <v>206</v>
      </c>
      <c r="C44" t="s">
        <v>0</v>
      </c>
      <c r="D44" t="s">
        <v>207</v>
      </c>
      <c r="E44" t="s">
        <v>123</v>
      </c>
      <c r="F44">
        <v>41628</v>
      </c>
      <c r="G44">
        <v>39019</v>
      </c>
      <c r="H44">
        <v>40330</v>
      </c>
      <c r="I44">
        <v>41762</v>
      </c>
      <c r="J44">
        <v>41948</v>
      </c>
      <c r="K44">
        <v>42175</v>
      </c>
      <c r="L44">
        <v>43532</v>
      </c>
      <c r="M44">
        <v>43961</v>
      </c>
      <c r="N44">
        <v>43881</v>
      </c>
      <c r="O44">
        <v>43455</v>
      </c>
      <c r="P44">
        <v>43484</v>
      </c>
      <c r="Q44">
        <v>43562</v>
      </c>
      <c r="R44">
        <v>44185</v>
      </c>
      <c r="S44">
        <v>45670</v>
      </c>
      <c r="T44">
        <v>46743</v>
      </c>
      <c r="U44">
        <v>46155</v>
      </c>
      <c r="V44">
        <v>45908</v>
      </c>
      <c r="W44">
        <v>47124</v>
      </c>
      <c r="X44">
        <v>47661</v>
      </c>
      <c r="Y44">
        <v>48307</v>
      </c>
      <c r="Z44">
        <v>48658</v>
      </c>
      <c r="AA44">
        <v>50683</v>
      </c>
      <c r="AB44">
        <v>52547</v>
      </c>
      <c r="AC44">
        <v>54127</v>
      </c>
      <c r="AD44">
        <v>55623</v>
      </c>
      <c r="AE44">
        <v>57191</v>
      </c>
    </row>
    <row r="45" spans="1:31" x14ac:dyDescent="0.3">
      <c r="A45" t="s">
        <v>285</v>
      </c>
      <c r="B45" t="s">
        <v>208</v>
      </c>
      <c r="C45" t="s">
        <v>0</v>
      </c>
      <c r="D45" t="s">
        <v>209</v>
      </c>
      <c r="E45" t="s">
        <v>123</v>
      </c>
      <c r="F45">
        <v>40046</v>
      </c>
      <c r="G45">
        <v>37873</v>
      </c>
      <c r="H45">
        <v>39194</v>
      </c>
      <c r="I45">
        <v>40623</v>
      </c>
      <c r="J45">
        <v>40806</v>
      </c>
      <c r="K45">
        <v>41060</v>
      </c>
      <c r="L45">
        <v>42400</v>
      </c>
      <c r="M45">
        <v>42732</v>
      </c>
      <c r="N45">
        <v>42570</v>
      </c>
      <c r="O45">
        <v>42085</v>
      </c>
      <c r="P45">
        <v>42085</v>
      </c>
      <c r="Q45">
        <v>42078</v>
      </c>
      <c r="R45">
        <v>42606</v>
      </c>
      <c r="S45">
        <v>44057</v>
      </c>
      <c r="T45">
        <v>45041</v>
      </c>
      <c r="U45">
        <v>44425</v>
      </c>
      <c r="V45">
        <v>44131</v>
      </c>
      <c r="W45">
        <v>45289</v>
      </c>
      <c r="X45">
        <v>45773</v>
      </c>
      <c r="Y45">
        <v>46383</v>
      </c>
      <c r="Z45">
        <v>46747</v>
      </c>
      <c r="AA45">
        <v>48817</v>
      </c>
      <c r="AB45">
        <v>50712</v>
      </c>
      <c r="AC45">
        <v>52219</v>
      </c>
      <c r="AD45">
        <v>53672</v>
      </c>
      <c r="AE45">
        <v>55275</v>
      </c>
    </row>
    <row r="46" spans="1:31" x14ac:dyDescent="0.3">
      <c r="A46" t="s">
        <v>285</v>
      </c>
      <c r="B46" t="s">
        <v>210</v>
      </c>
      <c r="C46" t="s">
        <v>0</v>
      </c>
      <c r="D46" t="s">
        <v>211</v>
      </c>
      <c r="E46" t="s">
        <v>123</v>
      </c>
      <c r="F46">
        <v>601</v>
      </c>
      <c r="G46">
        <v>597</v>
      </c>
      <c r="H46">
        <v>615</v>
      </c>
      <c r="I46">
        <v>654</v>
      </c>
      <c r="J46">
        <v>685</v>
      </c>
      <c r="K46">
        <v>754</v>
      </c>
      <c r="L46">
        <v>696</v>
      </c>
      <c r="M46">
        <v>686</v>
      </c>
      <c r="N46">
        <v>702</v>
      </c>
      <c r="O46">
        <v>744</v>
      </c>
      <c r="P46">
        <v>799</v>
      </c>
      <c r="Q46">
        <v>848</v>
      </c>
      <c r="R46">
        <v>906</v>
      </c>
      <c r="S46">
        <v>1042</v>
      </c>
      <c r="T46">
        <v>1065</v>
      </c>
      <c r="U46">
        <v>1046</v>
      </c>
      <c r="V46">
        <v>1073</v>
      </c>
      <c r="W46">
        <v>1130</v>
      </c>
      <c r="X46">
        <v>1162</v>
      </c>
      <c r="Y46">
        <v>1237</v>
      </c>
      <c r="Z46">
        <v>1168</v>
      </c>
      <c r="AA46">
        <v>1221</v>
      </c>
      <c r="AB46">
        <v>1240</v>
      </c>
      <c r="AC46">
        <v>1333</v>
      </c>
      <c r="AD46">
        <v>1452</v>
      </c>
      <c r="AE46">
        <v>1499</v>
      </c>
    </row>
    <row r="47" spans="1:31" x14ac:dyDescent="0.3">
      <c r="A47" t="s">
        <v>285</v>
      </c>
      <c r="B47" t="s">
        <v>212</v>
      </c>
      <c r="C47" t="s">
        <v>0</v>
      </c>
      <c r="D47" t="s">
        <v>213</v>
      </c>
      <c r="E47" t="s">
        <v>123</v>
      </c>
      <c r="F47">
        <v>5800</v>
      </c>
      <c r="G47">
        <v>5975</v>
      </c>
      <c r="H47">
        <v>6426</v>
      </c>
      <c r="I47">
        <v>6988</v>
      </c>
      <c r="J47">
        <v>7307</v>
      </c>
      <c r="K47">
        <v>7509</v>
      </c>
      <c r="L47">
        <v>7613</v>
      </c>
      <c r="M47">
        <v>7222</v>
      </c>
      <c r="N47">
        <v>6845</v>
      </c>
      <c r="O47">
        <v>6678</v>
      </c>
      <c r="P47">
        <v>7028</v>
      </c>
      <c r="Q47">
        <v>7011</v>
      </c>
      <c r="R47">
        <v>7000</v>
      </c>
      <c r="S47">
        <v>7495</v>
      </c>
      <c r="T47">
        <v>7583</v>
      </c>
      <c r="U47">
        <v>7524</v>
      </c>
      <c r="V47">
        <v>7532</v>
      </c>
      <c r="W47">
        <v>7927</v>
      </c>
      <c r="X47">
        <v>8217</v>
      </c>
      <c r="Y47">
        <v>8352</v>
      </c>
      <c r="Z47">
        <v>8424</v>
      </c>
      <c r="AA47">
        <v>8735</v>
      </c>
      <c r="AB47">
        <v>8939</v>
      </c>
      <c r="AC47">
        <v>9095</v>
      </c>
      <c r="AD47">
        <v>9275</v>
      </c>
      <c r="AE47">
        <v>9869</v>
      </c>
    </row>
    <row r="48" spans="1:31" x14ac:dyDescent="0.3">
      <c r="A48" t="s">
        <v>285</v>
      </c>
      <c r="B48" t="s">
        <v>214</v>
      </c>
      <c r="C48" t="s">
        <v>0</v>
      </c>
      <c r="D48" t="s">
        <v>215</v>
      </c>
      <c r="E48" t="s">
        <v>123</v>
      </c>
      <c r="F48">
        <v>7241</v>
      </c>
      <c r="G48">
        <v>7344</v>
      </c>
      <c r="H48">
        <v>7879</v>
      </c>
      <c r="I48">
        <v>8516</v>
      </c>
      <c r="J48">
        <v>8880</v>
      </c>
      <c r="K48">
        <v>9155</v>
      </c>
      <c r="L48">
        <v>9369</v>
      </c>
      <c r="M48">
        <v>9107</v>
      </c>
      <c r="N48">
        <v>8805</v>
      </c>
      <c r="O48">
        <v>8674</v>
      </c>
      <c r="P48">
        <v>9072</v>
      </c>
      <c r="Q48">
        <v>9141</v>
      </c>
      <c r="R48">
        <v>9207</v>
      </c>
      <c r="S48">
        <v>9767</v>
      </c>
      <c r="T48">
        <v>9957</v>
      </c>
      <c r="U48">
        <v>9940</v>
      </c>
      <c r="V48">
        <v>10011</v>
      </c>
      <c r="W48">
        <v>10543</v>
      </c>
      <c r="X48">
        <v>10895</v>
      </c>
      <c r="Y48">
        <v>11100</v>
      </c>
      <c r="Z48">
        <v>11236</v>
      </c>
      <c r="AA48">
        <v>11645</v>
      </c>
      <c r="AB48">
        <v>11874</v>
      </c>
      <c r="AC48">
        <v>12078</v>
      </c>
      <c r="AD48">
        <v>12354</v>
      </c>
      <c r="AE48">
        <v>13041</v>
      </c>
    </row>
    <row r="49" spans="1:31" x14ac:dyDescent="0.3">
      <c r="A49" t="s">
        <v>285</v>
      </c>
      <c r="B49" t="s">
        <v>216</v>
      </c>
      <c r="C49" t="s">
        <v>0</v>
      </c>
      <c r="D49" t="s">
        <v>217</v>
      </c>
      <c r="E49" t="s">
        <v>123</v>
      </c>
      <c r="F49">
        <v>907</v>
      </c>
      <c r="G49">
        <v>866</v>
      </c>
      <c r="H49">
        <v>921</v>
      </c>
      <c r="I49">
        <v>971</v>
      </c>
      <c r="J49">
        <v>1002</v>
      </c>
      <c r="K49">
        <v>1041</v>
      </c>
      <c r="L49">
        <v>1103</v>
      </c>
      <c r="M49">
        <v>1173</v>
      </c>
      <c r="N49">
        <v>1214</v>
      </c>
      <c r="O49">
        <v>1236</v>
      </c>
      <c r="P49">
        <v>1237</v>
      </c>
      <c r="Q49">
        <v>1239</v>
      </c>
      <c r="R49">
        <v>1230</v>
      </c>
      <c r="S49">
        <v>1224</v>
      </c>
      <c r="T49">
        <v>1259</v>
      </c>
      <c r="U49">
        <v>1245</v>
      </c>
      <c r="V49">
        <v>1257</v>
      </c>
      <c r="W49">
        <v>1286</v>
      </c>
      <c r="X49">
        <v>1278</v>
      </c>
      <c r="Y49">
        <v>1288</v>
      </c>
      <c r="Z49">
        <v>1282</v>
      </c>
      <c r="AA49">
        <v>1309</v>
      </c>
      <c r="AB49">
        <v>1317</v>
      </c>
      <c r="AC49">
        <v>1306</v>
      </c>
      <c r="AD49">
        <v>1334</v>
      </c>
      <c r="AE49">
        <v>1360</v>
      </c>
    </row>
    <row r="50" spans="1:31" x14ac:dyDescent="0.3">
      <c r="A50" t="s">
        <v>285</v>
      </c>
      <c r="B50" t="s">
        <v>218</v>
      </c>
      <c r="C50" t="s">
        <v>0</v>
      </c>
      <c r="D50" t="s">
        <v>219</v>
      </c>
      <c r="E50" t="s">
        <v>123</v>
      </c>
      <c r="F50">
        <v>534</v>
      </c>
      <c r="G50">
        <v>503</v>
      </c>
      <c r="H50">
        <v>532</v>
      </c>
      <c r="I50">
        <v>557</v>
      </c>
      <c r="J50">
        <v>571</v>
      </c>
      <c r="K50">
        <v>605</v>
      </c>
      <c r="L50">
        <v>653</v>
      </c>
      <c r="M50">
        <v>712</v>
      </c>
      <c r="N50">
        <v>746</v>
      </c>
      <c r="O50">
        <v>760</v>
      </c>
      <c r="P50">
        <v>807</v>
      </c>
      <c r="Q50">
        <v>891</v>
      </c>
      <c r="R50">
        <v>977</v>
      </c>
      <c r="S50">
        <v>1048</v>
      </c>
      <c r="T50">
        <v>1115</v>
      </c>
      <c r="U50">
        <v>1171</v>
      </c>
      <c r="V50">
        <v>1222</v>
      </c>
      <c r="W50">
        <v>1330</v>
      </c>
      <c r="X50">
        <v>1400</v>
      </c>
      <c r="Y50">
        <v>1460</v>
      </c>
      <c r="Z50">
        <v>1530</v>
      </c>
      <c r="AA50">
        <v>1601</v>
      </c>
      <c r="AB50">
        <v>1618</v>
      </c>
      <c r="AC50">
        <v>1677</v>
      </c>
      <c r="AD50">
        <v>1745</v>
      </c>
      <c r="AE50">
        <v>1812</v>
      </c>
    </row>
    <row r="51" spans="1:31" x14ac:dyDescent="0.3">
      <c r="A51" t="s">
        <v>285</v>
      </c>
      <c r="B51" t="s">
        <v>220</v>
      </c>
      <c r="C51" t="s">
        <v>0</v>
      </c>
      <c r="D51" t="s">
        <v>221</v>
      </c>
      <c r="E51" t="s">
        <v>123</v>
      </c>
      <c r="F51">
        <v>402</v>
      </c>
      <c r="G51">
        <v>379</v>
      </c>
      <c r="H51">
        <v>406</v>
      </c>
      <c r="I51">
        <v>430</v>
      </c>
      <c r="J51">
        <v>446</v>
      </c>
      <c r="K51">
        <v>477</v>
      </c>
      <c r="L51">
        <v>516</v>
      </c>
      <c r="M51">
        <v>567</v>
      </c>
      <c r="N51">
        <v>597</v>
      </c>
      <c r="O51">
        <v>608</v>
      </c>
      <c r="P51">
        <v>649</v>
      </c>
      <c r="Q51">
        <v>719</v>
      </c>
      <c r="R51">
        <v>790</v>
      </c>
      <c r="S51">
        <v>846</v>
      </c>
      <c r="T51">
        <v>896</v>
      </c>
      <c r="U51">
        <v>938</v>
      </c>
      <c r="V51">
        <v>979</v>
      </c>
      <c r="W51">
        <v>1067</v>
      </c>
      <c r="X51">
        <v>1121</v>
      </c>
      <c r="Y51">
        <v>1159</v>
      </c>
      <c r="Z51">
        <v>1213</v>
      </c>
      <c r="AA51">
        <v>1254</v>
      </c>
      <c r="AB51">
        <v>1277</v>
      </c>
      <c r="AC51">
        <v>1321</v>
      </c>
      <c r="AD51">
        <v>1361</v>
      </c>
      <c r="AE51">
        <v>1412</v>
      </c>
    </row>
    <row r="52" spans="1:31" x14ac:dyDescent="0.3">
      <c r="A52" t="s">
        <v>285</v>
      </c>
      <c r="B52" t="s">
        <v>222</v>
      </c>
      <c r="C52" t="s">
        <v>0</v>
      </c>
      <c r="D52" t="s">
        <v>223</v>
      </c>
      <c r="E52" t="s">
        <v>123</v>
      </c>
      <c r="F52">
        <v>132</v>
      </c>
      <c r="G52">
        <v>124</v>
      </c>
      <c r="H52">
        <v>126</v>
      </c>
      <c r="I52">
        <v>127</v>
      </c>
      <c r="J52">
        <v>125</v>
      </c>
      <c r="K52">
        <v>128</v>
      </c>
      <c r="L52">
        <v>137</v>
      </c>
      <c r="M52">
        <v>145</v>
      </c>
      <c r="N52">
        <v>149</v>
      </c>
      <c r="O52">
        <v>152</v>
      </c>
      <c r="P52">
        <v>158</v>
      </c>
      <c r="Q52">
        <v>172</v>
      </c>
      <c r="R52">
        <v>187</v>
      </c>
      <c r="S52">
        <v>202</v>
      </c>
      <c r="T52">
        <v>219</v>
      </c>
      <c r="U52">
        <v>233</v>
      </c>
      <c r="V52">
        <v>243</v>
      </c>
      <c r="W52">
        <v>263</v>
      </c>
      <c r="X52">
        <v>279</v>
      </c>
      <c r="Y52">
        <v>301</v>
      </c>
      <c r="Z52">
        <v>317</v>
      </c>
      <c r="AA52">
        <v>347</v>
      </c>
      <c r="AB52">
        <v>341</v>
      </c>
      <c r="AC52">
        <v>356</v>
      </c>
      <c r="AD52">
        <v>384</v>
      </c>
      <c r="AE52">
        <v>400</v>
      </c>
    </row>
    <row r="53" spans="1:31" x14ac:dyDescent="0.3">
      <c r="A53" t="s">
        <v>285</v>
      </c>
      <c r="B53" t="s">
        <v>224</v>
      </c>
      <c r="C53" t="s">
        <v>0</v>
      </c>
      <c r="D53" t="s">
        <v>225</v>
      </c>
      <c r="E53" t="s">
        <v>123</v>
      </c>
      <c r="F53">
        <v>262</v>
      </c>
      <c r="G53">
        <v>251</v>
      </c>
      <c r="H53">
        <v>284</v>
      </c>
      <c r="I53">
        <v>299</v>
      </c>
      <c r="J53">
        <v>246</v>
      </c>
      <c r="K53">
        <v>260</v>
      </c>
      <c r="L53">
        <v>278</v>
      </c>
      <c r="M53">
        <v>283</v>
      </c>
      <c r="N53">
        <v>287</v>
      </c>
      <c r="O53">
        <v>296</v>
      </c>
      <c r="P53">
        <v>301</v>
      </c>
      <c r="Q53">
        <v>312</v>
      </c>
      <c r="R53">
        <v>322</v>
      </c>
      <c r="S53">
        <v>332</v>
      </c>
      <c r="T53">
        <v>345</v>
      </c>
      <c r="U53">
        <v>346</v>
      </c>
      <c r="V53">
        <v>355</v>
      </c>
      <c r="W53">
        <v>381</v>
      </c>
      <c r="X53">
        <v>399</v>
      </c>
      <c r="Y53">
        <v>426</v>
      </c>
      <c r="Z53">
        <v>440</v>
      </c>
      <c r="AA53">
        <v>489</v>
      </c>
      <c r="AB53">
        <v>521</v>
      </c>
      <c r="AC53">
        <v>570</v>
      </c>
      <c r="AD53">
        <v>606</v>
      </c>
      <c r="AE53">
        <v>629</v>
      </c>
    </row>
    <row r="54" spans="1:31" x14ac:dyDescent="0.3">
      <c r="A54" t="s">
        <v>285</v>
      </c>
      <c r="B54" t="s">
        <v>226</v>
      </c>
      <c r="C54" t="s">
        <v>0</v>
      </c>
      <c r="D54" t="s">
        <v>227</v>
      </c>
      <c r="E54" t="s">
        <v>123</v>
      </c>
      <c r="F54">
        <v>557</v>
      </c>
      <c r="G54">
        <v>531</v>
      </c>
      <c r="H54">
        <v>581</v>
      </c>
      <c r="I54">
        <v>615</v>
      </c>
      <c r="J54">
        <v>570</v>
      </c>
      <c r="K54">
        <v>589</v>
      </c>
      <c r="L54">
        <v>620</v>
      </c>
      <c r="M54">
        <v>629</v>
      </c>
      <c r="N54">
        <v>649</v>
      </c>
      <c r="O54">
        <v>663</v>
      </c>
      <c r="P54">
        <v>673</v>
      </c>
      <c r="Q54">
        <v>695</v>
      </c>
      <c r="R54">
        <v>727</v>
      </c>
      <c r="S54">
        <v>769</v>
      </c>
      <c r="T54">
        <v>819</v>
      </c>
      <c r="U54">
        <v>830</v>
      </c>
      <c r="V54">
        <v>858</v>
      </c>
      <c r="W54">
        <v>892</v>
      </c>
      <c r="X54">
        <v>904</v>
      </c>
      <c r="Y54">
        <v>935</v>
      </c>
      <c r="Z54">
        <v>970</v>
      </c>
      <c r="AA54">
        <v>1036</v>
      </c>
      <c r="AB54">
        <v>1069</v>
      </c>
      <c r="AC54">
        <v>1124</v>
      </c>
      <c r="AD54">
        <v>1171</v>
      </c>
      <c r="AE54">
        <v>1205</v>
      </c>
    </row>
    <row r="55" spans="1:31" x14ac:dyDescent="0.3">
      <c r="A55" t="s">
        <v>285</v>
      </c>
      <c r="B55" t="s">
        <v>228</v>
      </c>
      <c r="C55" t="s">
        <v>0</v>
      </c>
      <c r="D55" t="s">
        <v>229</v>
      </c>
      <c r="E55" t="s">
        <v>123</v>
      </c>
      <c r="F55">
        <v>295</v>
      </c>
      <c r="G55">
        <v>280</v>
      </c>
      <c r="H55">
        <v>297</v>
      </c>
      <c r="I55">
        <v>316</v>
      </c>
      <c r="J55">
        <v>324</v>
      </c>
      <c r="K55">
        <v>329</v>
      </c>
      <c r="L55">
        <v>342</v>
      </c>
      <c r="M55">
        <v>346</v>
      </c>
      <c r="N55">
        <v>362</v>
      </c>
      <c r="O55">
        <v>367</v>
      </c>
      <c r="P55">
        <v>372</v>
      </c>
      <c r="Q55">
        <v>383</v>
      </c>
      <c r="R55">
        <v>405</v>
      </c>
      <c r="S55">
        <v>437</v>
      </c>
      <c r="T55">
        <v>474</v>
      </c>
      <c r="U55">
        <v>484</v>
      </c>
      <c r="V55">
        <v>503</v>
      </c>
      <c r="W55">
        <v>511</v>
      </c>
      <c r="X55">
        <v>505</v>
      </c>
      <c r="Y55">
        <v>509</v>
      </c>
      <c r="Z55">
        <v>530</v>
      </c>
      <c r="AA55">
        <v>547</v>
      </c>
      <c r="AB55">
        <v>548</v>
      </c>
      <c r="AC55">
        <v>554</v>
      </c>
      <c r="AD55">
        <v>565</v>
      </c>
      <c r="AE55">
        <v>576</v>
      </c>
    </row>
    <row r="56" spans="1:31" x14ac:dyDescent="0.3">
      <c r="A56" t="s">
        <v>285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285</v>
      </c>
      <c r="B57" t="s">
        <v>232</v>
      </c>
      <c r="C57" t="s">
        <v>0</v>
      </c>
      <c r="D57" t="s">
        <v>233</v>
      </c>
      <c r="E57" t="s">
        <v>123</v>
      </c>
      <c r="F57">
        <v>49162</v>
      </c>
      <c r="G57">
        <v>46616</v>
      </c>
      <c r="H57">
        <v>48455</v>
      </c>
      <c r="I57">
        <v>50506</v>
      </c>
      <c r="J57">
        <v>51037</v>
      </c>
      <c r="K57">
        <v>51550</v>
      </c>
      <c r="L57">
        <v>53122</v>
      </c>
      <c r="M57">
        <v>53306</v>
      </c>
      <c r="N57">
        <v>52973</v>
      </c>
      <c r="O57">
        <v>52431</v>
      </c>
      <c r="P57">
        <v>52903</v>
      </c>
      <c r="Q57">
        <v>53096</v>
      </c>
      <c r="R57">
        <v>53799</v>
      </c>
      <c r="S57">
        <v>55922</v>
      </c>
      <c r="T57">
        <v>57255</v>
      </c>
      <c r="U57">
        <v>56635</v>
      </c>
      <c r="V57">
        <v>56440</v>
      </c>
      <c r="W57">
        <v>58186</v>
      </c>
      <c r="X57">
        <v>59082</v>
      </c>
      <c r="Y57">
        <v>59946</v>
      </c>
      <c r="Z57">
        <v>60449</v>
      </c>
      <c r="AA57">
        <v>62920</v>
      </c>
      <c r="AB57">
        <v>65061</v>
      </c>
      <c r="AC57">
        <v>67004</v>
      </c>
      <c r="AD57">
        <v>68876</v>
      </c>
      <c r="AE57">
        <v>71187</v>
      </c>
    </row>
    <row r="58" spans="1:31" x14ac:dyDescent="0.3">
      <c r="A58" t="s">
        <v>285</v>
      </c>
      <c r="B58" t="s">
        <v>234</v>
      </c>
      <c r="C58" t="s">
        <v>0</v>
      </c>
      <c r="D58" t="s">
        <v>235</v>
      </c>
      <c r="E58" t="s">
        <v>123</v>
      </c>
      <c r="F58">
        <v>49162</v>
      </c>
      <c r="G58">
        <v>46616</v>
      </c>
      <c r="H58">
        <v>48455</v>
      </c>
      <c r="I58">
        <v>50506</v>
      </c>
      <c r="J58">
        <v>51037</v>
      </c>
      <c r="K58">
        <v>51550</v>
      </c>
      <c r="L58">
        <v>53122</v>
      </c>
      <c r="M58">
        <v>53306</v>
      </c>
      <c r="N58">
        <v>52973</v>
      </c>
      <c r="O58">
        <v>52431</v>
      </c>
      <c r="P58">
        <v>52903</v>
      </c>
      <c r="Q58">
        <v>53096</v>
      </c>
      <c r="R58">
        <v>53799</v>
      </c>
      <c r="S58">
        <v>55922</v>
      </c>
      <c r="T58">
        <v>57255</v>
      </c>
      <c r="U58">
        <v>56635</v>
      </c>
      <c r="V58">
        <v>56440</v>
      </c>
      <c r="W58">
        <v>58186</v>
      </c>
      <c r="X58">
        <v>59082</v>
      </c>
      <c r="Y58">
        <v>59946</v>
      </c>
      <c r="Z58">
        <v>60449</v>
      </c>
      <c r="AA58">
        <v>62920</v>
      </c>
      <c r="AB58">
        <v>65061</v>
      </c>
      <c r="AC58">
        <v>67004</v>
      </c>
      <c r="AD58">
        <v>68876</v>
      </c>
      <c r="AE58">
        <v>71187</v>
      </c>
    </row>
    <row r="59" spans="1:31" x14ac:dyDescent="0.3">
      <c r="A59" t="s">
        <v>285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286</v>
      </c>
      <c r="B2" t="s">
        <v>121</v>
      </c>
      <c r="C2" t="s">
        <v>0</v>
      </c>
      <c r="D2" t="s">
        <v>122</v>
      </c>
      <c r="E2" t="s">
        <v>123</v>
      </c>
      <c r="F2">
        <v>10111</v>
      </c>
      <c r="G2">
        <v>9530</v>
      </c>
      <c r="H2">
        <v>9476</v>
      </c>
      <c r="I2">
        <v>9908</v>
      </c>
      <c r="J2">
        <v>10087</v>
      </c>
      <c r="K2">
        <v>10269</v>
      </c>
      <c r="L2">
        <v>10806</v>
      </c>
      <c r="M2">
        <v>11123</v>
      </c>
      <c r="N2">
        <v>11341</v>
      </c>
      <c r="O2">
        <v>11492</v>
      </c>
      <c r="P2">
        <v>11825</v>
      </c>
      <c r="Q2">
        <v>12260</v>
      </c>
      <c r="R2">
        <v>12957</v>
      </c>
      <c r="S2">
        <v>14196</v>
      </c>
      <c r="T2">
        <v>14537</v>
      </c>
      <c r="U2">
        <v>14889</v>
      </c>
      <c r="V2">
        <v>14522</v>
      </c>
      <c r="W2">
        <v>14805</v>
      </c>
      <c r="X2">
        <v>15479</v>
      </c>
      <c r="Y2">
        <v>15778</v>
      </c>
      <c r="Z2">
        <v>15388</v>
      </c>
      <c r="AA2">
        <v>15243</v>
      </c>
      <c r="AB2">
        <v>15374</v>
      </c>
      <c r="AC2">
        <v>15519</v>
      </c>
      <c r="AD2">
        <v>16414</v>
      </c>
      <c r="AE2">
        <v>16930</v>
      </c>
    </row>
    <row r="3" spans="1:31" x14ac:dyDescent="0.3">
      <c r="A3" t="s">
        <v>286</v>
      </c>
      <c r="B3" t="s">
        <v>124</v>
      </c>
      <c r="C3" t="s">
        <v>0</v>
      </c>
      <c r="D3" t="s">
        <v>125</v>
      </c>
      <c r="E3" t="s">
        <v>123</v>
      </c>
      <c r="F3">
        <v>271</v>
      </c>
      <c r="G3">
        <v>268</v>
      </c>
      <c r="H3">
        <v>255</v>
      </c>
      <c r="I3">
        <v>251</v>
      </c>
      <c r="J3">
        <v>258</v>
      </c>
      <c r="K3">
        <v>288</v>
      </c>
      <c r="L3">
        <v>309</v>
      </c>
      <c r="M3">
        <v>317</v>
      </c>
      <c r="N3">
        <v>331</v>
      </c>
      <c r="O3">
        <v>329</v>
      </c>
      <c r="P3">
        <v>341</v>
      </c>
      <c r="Q3">
        <v>363</v>
      </c>
      <c r="R3">
        <v>569</v>
      </c>
      <c r="S3">
        <v>826</v>
      </c>
      <c r="T3">
        <v>962</v>
      </c>
      <c r="U3">
        <v>1037</v>
      </c>
      <c r="V3">
        <v>1158</v>
      </c>
      <c r="W3">
        <v>1288</v>
      </c>
      <c r="X3">
        <v>1372</v>
      </c>
      <c r="Y3">
        <v>1417</v>
      </c>
      <c r="Z3">
        <v>1534</v>
      </c>
      <c r="AA3">
        <v>1540</v>
      </c>
      <c r="AB3">
        <v>1587</v>
      </c>
      <c r="AC3">
        <v>1703</v>
      </c>
      <c r="AD3">
        <v>1843</v>
      </c>
      <c r="AE3">
        <v>1963</v>
      </c>
    </row>
    <row r="4" spans="1:31" x14ac:dyDescent="0.3">
      <c r="A4" t="s">
        <v>286</v>
      </c>
      <c r="B4" t="s">
        <v>126</v>
      </c>
      <c r="C4" t="s">
        <v>0</v>
      </c>
      <c r="D4" t="s">
        <v>127</v>
      </c>
      <c r="E4" t="s">
        <v>123</v>
      </c>
      <c r="F4">
        <v>12146</v>
      </c>
      <c r="G4">
        <v>12710</v>
      </c>
      <c r="H4">
        <v>12635</v>
      </c>
      <c r="I4">
        <v>12523</v>
      </c>
      <c r="J4">
        <v>12878</v>
      </c>
      <c r="K4">
        <v>13471</v>
      </c>
      <c r="L4">
        <v>13805</v>
      </c>
      <c r="M4">
        <v>14678</v>
      </c>
      <c r="N4">
        <v>14349</v>
      </c>
      <c r="O4">
        <v>14023</v>
      </c>
      <c r="P4">
        <v>14117</v>
      </c>
      <c r="Q4">
        <v>14647</v>
      </c>
      <c r="R4">
        <v>15124</v>
      </c>
      <c r="S4">
        <v>15904</v>
      </c>
      <c r="T4">
        <v>16461</v>
      </c>
      <c r="U4">
        <v>15730</v>
      </c>
      <c r="V4">
        <v>14416</v>
      </c>
      <c r="W4">
        <v>14283</v>
      </c>
      <c r="X4">
        <v>14694</v>
      </c>
      <c r="Y4">
        <v>14611</v>
      </c>
      <c r="Z4">
        <v>14465</v>
      </c>
      <c r="AA4">
        <v>14405</v>
      </c>
      <c r="AB4">
        <v>14621</v>
      </c>
      <c r="AC4">
        <v>14905</v>
      </c>
      <c r="AD4">
        <v>15269</v>
      </c>
      <c r="AE4">
        <v>15824</v>
      </c>
    </row>
    <row r="5" spans="1:31" x14ac:dyDescent="0.3">
      <c r="A5" t="s">
        <v>286</v>
      </c>
      <c r="B5" t="s">
        <v>128</v>
      </c>
      <c r="C5" t="s">
        <v>0</v>
      </c>
      <c r="D5" t="s">
        <v>129</v>
      </c>
      <c r="E5" t="s">
        <v>123</v>
      </c>
      <c r="F5">
        <v>1837</v>
      </c>
      <c r="G5">
        <v>1923</v>
      </c>
      <c r="H5">
        <v>1905</v>
      </c>
      <c r="I5">
        <v>1858</v>
      </c>
      <c r="J5">
        <v>1889</v>
      </c>
      <c r="K5">
        <v>1979</v>
      </c>
      <c r="L5">
        <v>2049</v>
      </c>
      <c r="M5">
        <v>2208</v>
      </c>
      <c r="N5">
        <v>2156</v>
      </c>
      <c r="O5">
        <v>2091</v>
      </c>
      <c r="P5">
        <v>2141</v>
      </c>
      <c r="Q5">
        <v>2227</v>
      </c>
      <c r="R5">
        <v>2313</v>
      </c>
      <c r="S5">
        <v>2451</v>
      </c>
      <c r="T5">
        <v>2506</v>
      </c>
      <c r="U5">
        <v>2390</v>
      </c>
      <c r="V5">
        <v>2198</v>
      </c>
      <c r="W5">
        <v>2251</v>
      </c>
      <c r="X5">
        <v>2372</v>
      </c>
      <c r="Y5">
        <v>2443</v>
      </c>
      <c r="Z5">
        <v>2452</v>
      </c>
      <c r="AA5">
        <v>2543</v>
      </c>
      <c r="AB5">
        <v>2556</v>
      </c>
      <c r="AC5">
        <v>2569</v>
      </c>
      <c r="AD5">
        <v>2627</v>
      </c>
      <c r="AE5">
        <v>2757</v>
      </c>
    </row>
    <row r="6" spans="1:31" x14ac:dyDescent="0.3">
      <c r="A6" t="s">
        <v>286</v>
      </c>
      <c r="B6" t="s">
        <v>130</v>
      </c>
      <c r="C6" t="s">
        <v>0</v>
      </c>
      <c r="D6" t="s">
        <v>131</v>
      </c>
      <c r="E6" t="s">
        <v>123</v>
      </c>
      <c r="F6">
        <v>285</v>
      </c>
      <c r="G6">
        <v>277</v>
      </c>
      <c r="H6">
        <v>263</v>
      </c>
      <c r="I6">
        <v>249</v>
      </c>
      <c r="J6">
        <v>242</v>
      </c>
      <c r="K6">
        <v>238</v>
      </c>
      <c r="L6">
        <v>230</v>
      </c>
      <c r="M6">
        <v>226</v>
      </c>
      <c r="N6">
        <v>205</v>
      </c>
      <c r="O6">
        <v>184</v>
      </c>
      <c r="P6">
        <v>171</v>
      </c>
      <c r="Q6">
        <v>168</v>
      </c>
      <c r="R6">
        <v>157</v>
      </c>
      <c r="S6">
        <v>153</v>
      </c>
      <c r="T6">
        <v>134</v>
      </c>
      <c r="U6">
        <v>117</v>
      </c>
      <c r="V6">
        <v>100</v>
      </c>
      <c r="W6">
        <v>103</v>
      </c>
      <c r="X6">
        <v>100</v>
      </c>
      <c r="Y6">
        <v>96</v>
      </c>
      <c r="Z6">
        <v>94</v>
      </c>
      <c r="AA6">
        <v>87</v>
      </c>
      <c r="AB6">
        <v>87</v>
      </c>
      <c r="AC6">
        <v>91</v>
      </c>
      <c r="AD6">
        <v>91</v>
      </c>
      <c r="AE6">
        <v>88</v>
      </c>
    </row>
    <row r="7" spans="1:31" x14ac:dyDescent="0.3">
      <c r="A7" t="s">
        <v>286</v>
      </c>
      <c r="B7" t="s">
        <v>132</v>
      </c>
      <c r="C7" t="s">
        <v>0</v>
      </c>
      <c r="D7" t="s">
        <v>133</v>
      </c>
      <c r="E7" t="s">
        <v>123</v>
      </c>
      <c r="F7">
        <v>3674</v>
      </c>
      <c r="G7">
        <v>3865</v>
      </c>
      <c r="H7">
        <v>3836</v>
      </c>
      <c r="I7">
        <v>3750</v>
      </c>
      <c r="J7">
        <v>3846</v>
      </c>
      <c r="K7">
        <v>4066</v>
      </c>
      <c r="L7">
        <v>4156</v>
      </c>
      <c r="M7">
        <v>4364</v>
      </c>
      <c r="N7">
        <v>4216</v>
      </c>
      <c r="O7">
        <v>4115</v>
      </c>
      <c r="P7">
        <v>4139</v>
      </c>
      <c r="Q7">
        <v>4231</v>
      </c>
      <c r="R7">
        <v>4355</v>
      </c>
      <c r="S7">
        <v>4524</v>
      </c>
      <c r="T7">
        <v>4560</v>
      </c>
      <c r="U7">
        <v>4266</v>
      </c>
      <c r="V7">
        <v>3840</v>
      </c>
      <c r="W7">
        <v>3761</v>
      </c>
      <c r="X7">
        <v>3835</v>
      </c>
      <c r="Y7">
        <v>3714</v>
      </c>
      <c r="Z7">
        <v>3581</v>
      </c>
      <c r="AA7">
        <v>3586</v>
      </c>
      <c r="AB7">
        <v>3587</v>
      </c>
      <c r="AC7">
        <v>3634</v>
      </c>
      <c r="AD7">
        <v>3683</v>
      </c>
      <c r="AE7">
        <v>3745</v>
      </c>
    </row>
    <row r="8" spans="1:31" x14ac:dyDescent="0.3">
      <c r="A8" t="s">
        <v>286</v>
      </c>
      <c r="B8" t="s">
        <v>134</v>
      </c>
      <c r="C8" t="s">
        <v>0</v>
      </c>
      <c r="D8" t="s">
        <v>135</v>
      </c>
      <c r="E8" t="s">
        <v>123</v>
      </c>
      <c r="F8">
        <v>460</v>
      </c>
      <c r="G8">
        <v>456</v>
      </c>
      <c r="H8">
        <v>447</v>
      </c>
      <c r="I8">
        <v>443</v>
      </c>
      <c r="J8">
        <v>455</v>
      </c>
      <c r="K8">
        <v>461</v>
      </c>
      <c r="L8">
        <v>465</v>
      </c>
      <c r="M8">
        <v>478</v>
      </c>
      <c r="N8">
        <v>484</v>
      </c>
      <c r="O8">
        <v>494</v>
      </c>
      <c r="P8">
        <v>539</v>
      </c>
      <c r="Q8">
        <v>588</v>
      </c>
      <c r="R8">
        <v>744</v>
      </c>
      <c r="S8">
        <v>804</v>
      </c>
      <c r="T8">
        <v>954</v>
      </c>
      <c r="U8">
        <v>948</v>
      </c>
      <c r="V8">
        <v>920</v>
      </c>
      <c r="W8">
        <v>957</v>
      </c>
      <c r="X8">
        <v>1024</v>
      </c>
      <c r="Y8">
        <v>1048</v>
      </c>
      <c r="Z8">
        <v>1089</v>
      </c>
      <c r="AA8">
        <v>1029</v>
      </c>
      <c r="AB8">
        <v>1042</v>
      </c>
      <c r="AC8">
        <v>1072</v>
      </c>
      <c r="AD8">
        <v>1105</v>
      </c>
      <c r="AE8">
        <v>1108</v>
      </c>
    </row>
    <row r="9" spans="1:31" x14ac:dyDescent="0.3">
      <c r="A9" t="s">
        <v>286</v>
      </c>
      <c r="B9" t="s">
        <v>136</v>
      </c>
      <c r="C9" t="s">
        <v>0</v>
      </c>
      <c r="D9" t="s">
        <v>137</v>
      </c>
      <c r="E9" t="s">
        <v>123</v>
      </c>
      <c r="F9">
        <v>883</v>
      </c>
      <c r="G9">
        <v>918</v>
      </c>
      <c r="H9">
        <v>915</v>
      </c>
      <c r="I9">
        <v>922</v>
      </c>
      <c r="J9">
        <v>941</v>
      </c>
      <c r="K9">
        <v>968</v>
      </c>
      <c r="L9">
        <v>989</v>
      </c>
      <c r="M9">
        <v>1064</v>
      </c>
      <c r="N9">
        <v>1037</v>
      </c>
      <c r="O9">
        <v>1034</v>
      </c>
      <c r="P9">
        <v>1013</v>
      </c>
      <c r="Q9">
        <v>1058</v>
      </c>
      <c r="R9">
        <v>1061</v>
      </c>
      <c r="S9">
        <v>1124</v>
      </c>
      <c r="T9">
        <v>1260</v>
      </c>
      <c r="U9">
        <v>1222</v>
      </c>
      <c r="V9">
        <v>1117</v>
      </c>
      <c r="W9">
        <v>1119</v>
      </c>
      <c r="X9">
        <v>1160</v>
      </c>
      <c r="Y9">
        <v>1160</v>
      </c>
      <c r="Z9">
        <v>1175</v>
      </c>
      <c r="AA9">
        <v>1186</v>
      </c>
      <c r="AB9">
        <v>1318</v>
      </c>
      <c r="AC9">
        <v>1370</v>
      </c>
      <c r="AD9">
        <v>1424</v>
      </c>
      <c r="AE9">
        <v>1464</v>
      </c>
    </row>
    <row r="10" spans="1:31" x14ac:dyDescent="0.3">
      <c r="A10" t="s">
        <v>286</v>
      </c>
      <c r="B10" t="s">
        <v>138</v>
      </c>
      <c r="C10" t="s">
        <v>0</v>
      </c>
      <c r="D10" t="s">
        <v>139</v>
      </c>
      <c r="E10" t="s">
        <v>123</v>
      </c>
      <c r="F10">
        <v>1127</v>
      </c>
      <c r="G10">
        <v>1164</v>
      </c>
      <c r="H10">
        <v>1152</v>
      </c>
      <c r="I10">
        <v>1151</v>
      </c>
      <c r="J10">
        <v>1175</v>
      </c>
      <c r="K10">
        <v>1211</v>
      </c>
      <c r="L10">
        <v>1229</v>
      </c>
      <c r="M10">
        <v>1323</v>
      </c>
      <c r="N10">
        <v>1290</v>
      </c>
      <c r="O10">
        <v>1283</v>
      </c>
      <c r="P10">
        <v>1255</v>
      </c>
      <c r="Q10">
        <v>1307</v>
      </c>
      <c r="R10">
        <v>1310</v>
      </c>
      <c r="S10">
        <v>1380</v>
      </c>
      <c r="T10">
        <v>1523</v>
      </c>
      <c r="U10">
        <v>1472</v>
      </c>
      <c r="V10">
        <v>1342</v>
      </c>
      <c r="W10">
        <v>1357</v>
      </c>
      <c r="X10">
        <v>1465</v>
      </c>
      <c r="Y10">
        <v>1476</v>
      </c>
      <c r="Z10">
        <v>1492</v>
      </c>
      <c r="AA10">
        <v>1498</v>
      </c>
      <c r="AB10">
        <v>1638</v>
      </c>
      <c r="AC10">
        <v>1701</v>
      </c>
      <c r="AD10">
        <v>1770</v>
      </c>
      <c r="AE10">
        <v>1836</v>
      </c>
    </row>
    <row r="11" spans="1:31" x14ac:dyDescent="0.3">
      <c r="A11" t="s">
        <v>286</v>
      </c>
      <c r="B11" t="s">
        <v>140</v>
      </c>
      <c r="C11" t="s">
        <v>0</v>
      </c>
      <c r="D11" t="s">
        <v>141</v>
      </c>
      <c r="E11" t="s">
        <v>123</v>
      </c>
      <c r="F11">
        <v>244</v>
      </c>
      <c r="G11">
        <v>246</v>
      </c>
      <c r="H11">
        <v>237</v>
      </c>
      <c r="I11">
        <v>229</v>
      </c>
      <c r="J11">
        <v>234</v>
      </c>
      <c r="K11">
        <v>243</v>
      </c>
      <c r="L11">
        <v>240</v>
      </c>
      <c r="M11">
        <v>259</v>
      </c>
      <c r="N11">
        <v>253</v>
      </c>
      <c r="O11">
        <v>249</v>
      </c>
      <c r="P11">
        <v>242</v>
      </c>
      <c r="Q11">
        <v>249</v>
      </c>
      <c r="R11">
        <v>249</v>
      </c>
      <c r="S11">
        <v>256</v>
      </c>
      <c r="T11">
        <v>263</v>
      </c>
      <c r="U11">
        <v>250</v>
      </c>
      <c r="V11">
        <v>225</v>
      </c>
      <c r="W11">
        <v>238</v>
      </c>
      <c r="X11">
        <v>305</v>
      </c>
      <c r="Y11">
        <v>316</v>
      </c>
      <c r="Z11">
        <v>317</v>
      </c>
      <c r="AA11">
        <v>312</v>
      </c>
      <c r="AB11">
        <v>320</v>
      </c>
      <c r="AC11">
        <v>331</v>
      </c>
      <c r="AD11">
        <v>346</v>
      </c>
      <c r="AE11">
        <v>372</v>
      </c>
    </row>
    <row r="12" spans="1:31" x14ac:dyDescent="0.3">
      <c r="A12" t="s">
        <v>286</v>
      </c>
      <c r="B12" t="s">
        <v>142</v>
      </c>
      <c r="C12" t="s">
        <v>0</v>
      </c>
      <c r="D12" t="s">
        <v>143</v>
      </c>
      <c r="E12" t="s">
        <v>123</v>
      </c>
      <c r="F12">
        <v>789</v>
      </c>
      <c r="G12">
        <v>805</v>
      </c>
      <c r="H12">
        <v>799</v>
      </c>
      <c r="I12">
        <v>815</v>
      </c>
      <c r="J12">
        <v>864</v>
      </c>
      <c r="K12">
        <v>884</v>
      </c>
      <c r="L12">
        <v>902</v>
      </c>
      <c r="M12">
        <v>948</v>
      </c>
      <c r="N12">
        <v>932</v>
      </c>
      <c r="O12">
        <v>924</v>
      </c>
      <c r="P12">
        <v>947</v>
      </c>
      <c r="Q12">
        <v>1009</v>
      </c>
      <c r="R12">
        <v>1011</v>
      </c>
      <c r="S12">
        <v>1060</v>
      </c>
      <c r="T12">
        <v>1092</v>
      </c>
      <c r="U12">
        <v>1054</v>
      </c>
      <c r="V12">
        <v>971</v>
      </c>
      <c r="W12">
        <v>975</v>
      </c>
      <c r="X12">
        <v>1008</v>
      </c>
      <c r="Y12">
        <v>995</v>
      </c>
      <c r="Z12">
        <v>986</v>
      </c>
      <c r="AA12">
        <v>982</v>
      </c>
      <c r="AB12">
        <v>986</v>
      </c>
      <c r="AC12">
        <v>1008</v>
      </c>
      <c r="AD12">
        <v>1041</v>
      </c>
      <c r="AE12">
        <v>1106</v>
      </c>
    </row>
    <row r="13" spans="1:31" x14ac:dyDescent="0.3">
      <c r="A13" t="s">
        <v>286</v>
      </c>
      <c r="B13" t="s">
        <v>144</v>
      </c>
      <c r="C13" t="s">
        <v>0</v>
      </c>
      <c r="D13" t="s">
        <v>145</v>
      </c>
      <c r="E13" t="s">
        <v>123</v>
      </c>
      <c r="F13">
        <v>1221</v>
      </c>
      <c r="G13">
        <v>1335</v>
      </c>
      <c r="H13">
        <v>1374</v>
      </c>
      <c r="I13">
        <v>1380</v>
      </c>
      <c r="J13">
        <v>1430</v>
      </c>
      <c r="K13">
        <v>1491</v>
      </c>
      <c r="L13">
        <v>1546</v>
      </c>
      <c r="M13">
        <v>1774</v>
      </c>
      <c r="N13">
        <v>1816</v>
      </c>
      <c r="O13">
        <v>1810</v>
      </c>
      <c r="P13">
        <v>1824</v>
      </c>
      <c r="Q13">
        <v>1891</v>
      </c>
      <c r="R13">
        <v>1953</v>
      </c>
      <c r="S13">
        <v>2133</v>
      </c>
      <c r="T13">
        <v>2256</v>
      </c>
      <c r="U13">
        <v>2189</v>
      </c>
      <c r="V13">
        <v>2094</v>
      </c>
      <c r="W13">
        <v>2152</v>
      </c>
      <c r="X13">
        <v>2225</v>
      </c>
      <c r="Y13">
        <v>2231</v>
      </c>
      <c r="Z13">
        <v>2207</v>
      </c>
      <c r="AA13">
        <v>2160</v>
      </c>
      <c r="AB13">
        <v>2180</v>
      </c>
      <c r="AC13">
        <v>2222</v>
      </c>
      <c r="AD13">
        <v>2282</v>
      </c>
      <c r="AE13">
        <v>2350</v>
      </c>
    </row>
    <row r="14" spans="1:31" x14ac:dyDescent="0.3">
      <c r="A14" t="s">
        <v>286</v>
      </c>
      <c r="B14" t="s">
        <v>146</v>
      </c>
      <c r="C14" t="s">
        <v>0</v>
      </c>
      <c r="D14" t="s">
        <v>147</v>
      </c>
      <c r="E14" t="s">
        <v>123</v>
      </c>
      <c r="F14">
        <v>379</v>
      </c>
      <c r="G14">
        <v>471</v>
      </c>
      <c r="H14">
        <v>471</v>
      </c>
      <c r="I14">
        <v>513</v>
      </c>
      <c r="J14">
        <v>582</v>
      </c>
      <c r="K14">
        <v>662</v>
      </c>
      <c r="L14">
        <v>724</v>
      </c>
      <c r="M14">
        <v>758</v>
      </c>
      <c r="N14">
        <v>736</v>
      </c>
      <c r="O14">
        <v>711</v>
      </c>
      <c r="P14">
        <v>715</v>
      </c>
      <c r="Q14">
        <v>786</v>
      </c>
      <c r="R14">
        <v>787</v>
      </c>
      <c r="S14">
        <v>820</v>
      </c>
      <c r="T14">
        <v>801</v>
      </c>
      <c r="U14">
        <v>796</v>
      </c>
      <c r="V14">
        <v>714</v>
      </c>
      <c r="W14">
        <v>510</v>
      </c>
      <c r="X14">
        <v>454</v>
      </c>
      <c r="Y14">
        <v>438</v>
      </c>
      <c r="Z14">
        <v>420</v>
      </c>
      <c r="AA14">
        <v>396</v>
      </c>
      <c r="AB14">
        <v>386</v>
      </c>
      <c r="AC14">
        <v>378</v>
      </c>
      <c r="AD14">
        <v>384</v>
      </c>
      <c r="AE14">
        <v>426</v>
      </c>
    </row>
    <row r="15" spans="1:31" x14ac:dyDescent="0.3">
      <c r="A15" t="s">
        <v>286</v>
      </c>
      <c r="B15" t="s">
        <v>148</v>
      </c>
      <c r="C15" t="s">
        <v>0</v>
      </c>
      <c r="D15" t="s">
        <v>149</v>
      </c>
      <c r="E15" t="s">
        <v>123</v>
      </c>
      <c r="F15">
        <v>570</v>
      </c>
      <c r="G15">
        <v>673</v>
      </c>
      <c r="H15">
        <v>678</v>
      </c>
      <c r="I15">
        <v>717</v>
      </c>
      <c r="J15">
        <v>795</v>
      </c>
      <c r="K15">
        <v>881</v>
      </c>
      <c r="L15">
        <v>954</v>
      </c>
      <c r="M15">
        <v>1005</v>
      </c>
      <c r="N15">
        <v>976</v>
      </c>
      <c r="O15">
        <v>947</v>
      </c>
      <c r="P15">
        <v>941</v>
      </c>
      <c r="Q15">
        <v>1029</v>
      </c>
      <c r="R15">
        <v>1062</v>
      </c>
      <c r="S15">
        <v>1121</v>
      </c>
      <c r="T15">
        <v>1116</v>
      </c>
      <c r="U15">
        <v>1111</v>
      </c>
      <c r="V15">
        <v>999</v>
      </c>
      <c r="W15">
        <v>794</v>
      </c>
      <c r="X15">
        <v>743</v>
      </c>
      <c r="Y15">
        <v>731</v>
      </c>
      <c r="Z15">
        <v>739</v>
      </c>
      <c r="AA15">
        <v>707</v>
      </c>
      <c r="AB15">
        <v>692</v>
      </c>
      <c r="AC15">
        <v>708</v>
      </c>
      <c r="AD15">
        <v>759</v>
      </c>
      <c r="AE15">
        <v>835</v>
      </c>
    </row>
    <row r="16" spans="1:31" x14ac:dyDescent="0.3">
      <c r="A16" t="s">
        <v>286</v>
      </c>
      <c r="B16" t="s">
        <v>150</v>
      </c>
      <c r="C16" t="s">
        <v>0</v>
      </c>
      <c r="D16" t="s">
        <v>151</v>
      </c>
      <c r="E16" t="s">
        <v>123</v>
      </c>
      <c r="F16">
        <v>191</v>
      </c>
      <c r="G16">
        <v>202</v>
      </c>
      <c r="H16">
        <v>207</v>
      </c>
      <c r="I16">
        <v>204</v>
      </c>
      <c r="J16">
        <v>213</v>
      </c>
      <c r="K16">
        <v>219</v>
      </c>
      <c r="L16">
        <v>230</v>
      </c>
      <c r="M16">
        <v>247</v>
      </c>
      <c r="N16">
        <v>240</v>
      </c>
      <c r="O16">
        <v>236</v>
      </c>
      <c r="P16">
        <v>226</v>
      </c>
      <c r="Q16">
        <v>243</v>
      </c>
      <c r="R16">
        <v>275</v>
      </c>
      <c r="S16">
        <v>301</v>
      </c>
      <c r="T16">
        <v>315</v>
      </c>
      <c r="U16">
        <v>315</v>
      </c>
      <c r="V16">
        <v>285</v>
      </c>
      <c r="W16">
        <v>284</v>
      </c>
      <c r="X16">
        <v>289</v>
      </c>
      <c r="Y16">
        <v>293</v>
      </c>
      <c r="Z16">
        <v>319</v>
      </c>
      <c r="AA16">
        <v>311</v>
      </c>
      <c r="AB16">
        <v>306</v>
      </c>
      <c r="AC16">
        <v>330</v>
      </c>
      <c r="AD16">
        <v>375</v>
      </c>
      <c r="AE16">
        <v>409</v>
      </c>
    </row>
    <row r="17" spans="1:31" x14ac:dyDescent="0.3">
      <c r="A17" t="s">
        <v>286</v>
      </c>
      <c r="B17" t="s">
        <v>152</v>
      </c>
      <c r="C17" t="s">
        <v>0</v>
      </c>
      <c r="D17" t="s">
        <v>153</v>
      </c>
      <c r="E17" t="s">
        <v>123</v>
      </c>
      <c r="F17">
        <v>774</v>
      </c>
      <c r="G17">
        <v>793</v>
      </c>
      <c r="H17">
        <v>799</v>
      </c>
      <c r="I17">
        <v>794</v>
      </c>
      <c r="J17">
        <v>803</v>
      </c>
      <c r="K17">
        <v>829</v>
      </c>
      <c r="L17">
        <v>846</v>
      </c>
      <c r="M17">
        <v>900</v>
      </c>
      <c r="N17">
        <v>896</v>
      </c>
      <c r="O17">
        <v>856</v>
      </c>
      <c r="P17">
        <v>852</v>
      </c>
      <c r="Q17">
        <v>875</v>
      </c>
      <c r="R17">
        <v>892</v>
      </c>
      <c r="S17">
        <v>916</v>
      </c>
      <c r="T17">
        <v>944</v>
      </c>
      <c r="U17">
        <v>906</v>
      </c>
      <c r="V17">
        <v>833</v>
      </c>
      <c r="W17">
        <v>838</v>
      </c>
      <c r="X17">
        <v>858</v>
      </c>
      <c r="Y17">
        <v>868</v>
      </c>
      <c r="Z17">
        <v>864</v>
      </c>
      <c r="AA17">
        <v>863</v>
      </c>
      <c r="AB17">
        <v>913</v>
      </c>
      <c r="AC17">
        <v>959</v>
      </c>
      <c r="AD17">
        <v>1000</v>
      </c>
      <c r="AE17">
        <v>1048</v>
      </c>
    </row>
    <row r="18" spans="1:31" x14ac:dyDescent="0.3">
      <c r="A18" t="s">
        <v>286</v>
      </c>
      <c r="B18" t="s">
        <v>154</v>
      </c>
      <c r="C18" t="s">
        <v>0</v>
      </c>
      <c r="D18" t="s">
        <v>155</v>
      </c>
      <c r="E18" t="s">
        <v>123</v>
      </c>
      <c r="F18">
        <v>955</v>
      </c>
      <c r="G18">
        <v>960</v>
      </c>
      <c r="H18">
        <v>917</v>
      </c>
      <c r="I18">
        <v>894</v>
      </c>
      <c r="J18">
        <v>890</v>
      </c>
      <c r="K18">
        <v>896</v>
      </c>
      <c r="L18">
        <v>895</v>
      </c>
      <c r="M18">
        <v>917</v>
      </c>
      <c r="N18">
        <v>868</v>
      </c>
      <c r="O18">
        <v>832</v>
      </c>
      <c r="P18">
        <v>823</v>
      </c>
      <c r="Q18">
        <v>846</v>
      </c>
      <c r="R18">
        <v>851</v>
      </c>
      <c r="S18">
        <v>872</v>
      </c>
      <c r="T18">
        <v>877</v>
      </c>
      <c r="U18">
        <v>807</v>
      </c>
      <c r="V18">
        <v>706</v>
      </c>
      <c r="W18">
        <v>688</v>
      </c>
      <c r="X18">
        <v>660</v>
      </c>
      <c r="Y18">
        <v>620</v>
      </c>
      <c r="Z18">
        <v>586</v>
      </c>
      <c r="AA18">
        <v>553</v>
      </c>
      <c r="AB18">
        <v>553</v>
      </c>
      <c r="AC18">
        <v>557</v>
      </c>
      <c r="AD18">
        <v>535</v>
      </c>
      <c r="AE18">
        <v>549</v>
      </c>
    </row>
    <row r="19" spans="1:31" x14ac:dyDescent="0.3">
      <c r="A19" t="s">
        <v>286</v>
      </c>
      <c r="B19" t="s">
        <v>156</v>
      </c>
      <c r="C19" t="s">
        <v>0</v>
      </c>
      <c r="D19" t="s">
        <v>157</v>
      </c>
      <c r="E19" t="s">
        <v>123</v>
      </c>
      <c r="F19">
        <v>454</v>
      </c>
      <c r="G19">
        <v>459</v>
      </c>
      <c r="H19">
        <v>465</v>
      </c>
      <c r="I19">
        <v>472</v>
      </c>
      <c r="J19">
        <v>489</v>
      </c>
      <c r="K19">
        <v>535</v>
      </c>
      <c r="L19">
        <v>533</v>
      </c>
      <c r="M19">
        <v>535</v>
      </c>
      <c r="N19">
        <v>510</v>
      </c>
      <c r="O19">
        <v>487</v>
      </c>
      <c r="P19">
        <v>485</v>
      </c>
      <c r="Q19">
        <v>476</v>
      </c>
      <c r="R19">
        <v>476</v>
      </c>
      <c r="S19">
        <v>490</v>
      </c>
      <c r="T19">
        <v>499</v>
      </c>
      <c r="U19">
        <v>470</v>
      </c>
      <c r="V19">
        <v>413</v>
      </c>
      <c r="W19">
        <v>407</v>
      </c>
      <c r="X19">
        <v>404</v>
      </c>
      <c r="Y19">
        <v>389</v>
      </c>
      <c r="Z19">
        <v>375</v>
      </c>
      <c r="AA19">
        <v>397</v>
      </c>
      <c r="AB19">
        <v>387</v>
      </c>
      <c r="AC19">
        <v>384</v>
      </c>
      <c r="AD19">
        <v>376</v>
      </c>
      <c r="AE19">
        <v>402</v>
      </c>
    </row>
    <row r="20" spans="1:31" x14ac:dyDescent="0.3">
      <c r="A20" t="s">
        <v>286</v>
      </c>
      <c r="B20" t="s">
        <v>158</v>
      </c>
      <c r="C20" t="s">
        <v>0</v>
      </c>
      <c r="D20" t="s">
        <v>159</v>
      </c>
      <c r="E20" t="s">
        <v>123</v>
      </c>
      <c r="F20">
        <v>7388</v>
      </c>
      <c r="G20">
        <v>7497</v>
      </c>
      <c r="H20">
        <v>7526</v>
      </c>
      <c r="I20">
        <v>7719</v>
      </c>
      <c r="J20">
        <v>7767</v>
      </c>
      <c r="K20">
        <v>7986</v>
      </c>
      <c r="L20">
        <v>8505</v>
      </c>
      <c r="M20">
        <v>8870</v>
      </c>
      <c r="N20">
        <v>8924</v>
      </c>
      <c r="O20">
        <v>9320</v>
      </c>
      <c r="P20">
        <v>9761</v>
      </c>
      <c r="Q20">
        <v>10339</v>
      </c>
      <c r="R20">
        <v>11065</v>
      </c>
      <c r="S20">
        <v>12052</v>
      </c>
      <c r="T20">
        <v>13170</v>
      </c>
      <c r="U20">
        <v>13071</v>
      </c>
      <c r="V20">
        <v>13451</v>
      </c>
      <c r="W20">
        <v>14353</v>
      </c>
      <c r="X20">
        <v>15435</v>
      </c>
      <c r="Y20">
        <v>16060</v>
      </c>
      <c r="Z20">
        <v>16562</v>
      </c>
      <c r="AA20">
        <v>17098</v>
      </c>
      <c r="AB20">
        <v>17551</v>
      </c>
      <c r="AC20">
        <v>18399</v>
      </c>
      <c r="AD20">
        <v>19318</v>
      </c>
      <c r="AE20">
        <v>19934</v>
      </c>
    </row>
    <row r="21" spans="1:31" x14ac:dyDescent="0.3">
      <c r="A21" t="s">
        <v>286</v>
      </c>
      <c r="B21" t="s">
        <v>160</v>
      </c>
      <c r="C21" t="s">
        <v>0</v>
      </c>
      <c r="D21" t="s">
        <v>161</v>
      </c>
      <c r="E21" t="s">
        <v>123</v>
      </c>
      <c r="F21">
        <v>11505</v>
      </c>
      <c r="G21">
        <v>11668</v>
      </c>
      <c r="H21">
        <v>11747</v>
      </c>
      <c r="I21">
        <v>12088</v>
      </c>
      <c r="J21">
        <v>12265</v>
      </c>
      <c r="K21">
        <v>12669</v>
      </c>
      <c r="L21">
        <v>13426</v>
      </c>
      <c r="M21">
        <v>14077</v>
      </c>
      <c r="N21">
        <v>14268</v>
      </c>
      <c r="O21">
        <v>14830</v>
      </c>
      <c r="P21">
        <v>15527</v>
      </c>
      <c r="Q21">
        <v>16525</v>
      </c>
      <c r="R21">
        <v>17693</v>
      </c>
      <c r="S21">
        <v>19260</v>
      </c>
      <c r="T21">
        <v>21037</v>
      </c>
      <c r="U21">
        <v>21006</v>
      </c>
      <c r="V21">
        <v>21479</v>
      </c>
      <c r="W21">
        <v>22727</v>
      </c>
      <c r="X21">
        <v>24245</v>
      </c>
      <c r="Y21">
        <v>24975</v>
      </c>
      <c r="Z21">
        <v>25493</v>
      </c>
      <c r="AA21">
        <v>25942</v>
      </c>
      <c r="AB21">
        <v>26314</v>
      </c>
      <c r="AC21">
        <v>27557</v>
      </c>
      <c r="AD21">
        <v>28802</v>
      </c>
      <c r="AE21">
        <v>29972</v>
      </c>
    </row>
    <row r="22" spans="1:31" x14ac:dyDescent="0.3">
      <c r="A22" t="s">
        <v>286</v>
      </c>
      <c r="B22" t="s">
        <v>162</v>
      </c>
      <c r="C22" t="s">
        <v>0</v>
      </c>
      <c r="D22" t="s">
        <v>163</v>
      </c>
      <c r="E22" t="s">
        <v>123</v>
      </c>
      <c r="F22">
        <v>4117</v>
      </c>
      <c r="G22">
        <v>4171</v>
      </c>
      <c r="H22">
        <v>4221</v>
      </c>
      <c r="I22">
        <v>4369</v>
      </c>
      <c r="J22">
        <v>4498</v>
      </c>
      <c r="K22">
        <v>4683</v>
      </c>
      <c r="L22">
        <v>4921</v>
      </c>
      <c r="M22">
        <v>5207</v>
      </c>
      <c r="N22">
        <v>5344</v>
      </c>
      <c r="O22">
        <v>5510</v>
      </c>
      <c r="P22">
        <v>5766</v>
      </c>
      <c r="Q22">
        <v>6186</v>
      </c>
      <c r="R22">
        <v>6628</v>
      </c>
      <c r="S22">
        <v>7208</v>
      </c>
      <c r="T22">
        <v>7867</v>
      </c>
      <c r="U22">
        <v>7935</v>
      </c>
      <c r="V22">
        <v>8028</v>
      </c>
      <c r="W22">
        <v>8374</v>
      </c>
      <c r="X22">
        <v>8810</v>
      </c>
      <c r="Y22">
        <v>8915</v>
      </c>
      <c r="Z22">
        <v>8931</v>
      </c>
      <c r="AA22">
        <v>8844</v>
      </c>
      <c r="AB22">
        <v>8763</v>
      </c>
      <c r="AC22">
        <v>9158</v>
      </c>
      <c r="AD22">
        <v>9484</v>
      </c>
      <c r="AE22">
        <v>10038</v>
      </c>
    </row>
    <row r="23" spans="1:31" x14ac:dyDescent="0.3">
      <c r="A23" t="s">
        <v>286</v>
      </c>
      <c r="B23" t="s">
        <v>164</v>
      </c>
      <c r="C23" t="s">
        <v>0</v>
      </c>
      <c r="D23" t="s">
        <v>165</v>
      </c>
      <c r="E23" t="s">
        <v>123</v>
      </c>
      <c r="F23">
        <v>828</v>
      </c>
      <c r="G23">
        <v>842</v>
      </c>
      <c r="H23">
        <v>834</v>
      </c>
      <c r="I23">
        <v>821</v>
      </c>
      <c r="J23">
        <v>853</v>
      </c>
      <c r="K23">
        <v>906</v>
      </c>
      <c r="L23">
        <v>929</v>
      </c>
      <c r="M23">
        <v>991</v>
      </c>
      <c r="N23">
        <v>984</v>
      </c>
      <c r="O23">
        <v>990</v>
      </c>
      <c r="P23">
        <v>1019</v>
      </c>
      <c r="Q23">
        <v>1085</v>
      </c>
      <c r="R23">
        <v>1168</v>
      </c>
      <c r="S23">
        <v>1290</v>
      </c>
      <c r="T23">
        <v>1404</v>
      </c>
      <c r="U23">
        <v>1455</v>
      </c>
      <c r="V23">
        <v>1395</v>
      </c>
      <c r="W23">
        <v>1485</v>
      </c>
      <c r="X23">
        <v>1592</v>
      </c>
      <c r="Y23">
        <v>1678</v>
      </c>
      <c r="Z23">
        <v>1732</v>
      </c>
      <c r="AA23">
        <v>1766</v>
      </c>
      <c r="AB23">
        <v>1852</v>
      </c>
      <c r="AC23">
        <v>1949</v>
      </c>
      <c r="AD23">
        <v>2087</v>
      </c>
      <c r="AE23">
        <v>2322</v>
      </c>
    </row>
    <row r="24" spans="1:31" x14ac:dyDescent="0.3">
      <c r="A24" t="s">
        <v>286</v>
      </c>
      <c r="B24" t="s">
        <v>166</v>
      </c>
      <c r="C24" t="s">
        <v>0</v>
      </c>
      <c r="D24" t="s">
        <v>167</v>
      </c>
      <c r="E24" t="s">
        <v>123</v>
      </c>
      <c r="F24">
        <v>7087</v>
      </c>
      <c r="G24">
        <v>7354</v>
      </c>
      <c r="H24">
        <v>7206</v>
      </c>
      <c r="I24">
        <v>6961</v>
      </c>
      <c r="J24">
        <v>7138</v>
      </c>
      <c r="K24">
        <v>7461</v>
      </c>
      <c r="L24">
        <v>7511</v>
      </c>
      <c r="M24">
        <v>7835</v>
      </c>
      <c r="N24">
        <v>7625</v>
      </c>
      <c r="O24">
        <v>7496</v>
      </c>
      <c r="P24">
        <v>7529</v>
      </c>
      <c r="Q24">
        <v>7591</v>
      </c>
      <c r="R24">
        <v>7791</v>
      </c>
      <c r="S24">
        <v>8150</v>
      </c>
      <c r="T24">
        <v>8431</v>
      </c>
      <c r="U24">
        <v>8114</v>
      </c>
      <c r="V24">
        <v>7399</v>
      </c>
      <c r="W24">
        <v>7477</v>
      </c>
      <c r="X24">
        <v>7833</v>
      </c>
      <c r="Y24">
        <v>7780</v>
      </c>
      <c r="Z24">
        <v>7497</v>
      </c>
      <c r="AA24">
        <v>7456</v>
      </c>
      <c r="AB24">
        <v>7655</v>
      </c>
      <c r="AC24">
        <v>7860</v>
      </c>
      <c r="AD24">
        <v>8069</v>
      </c>
      <c r="AE24">
        <v>8330</v>
      </c>
    </row>
    <row r="25" spans="1:31" x14ac:dyDescent="0.3">
      <c r="A25" t="s">
        <v>286</v>
      </c>
      <c r="B25" t="s">
        <v>168</v>
      </c>
      <c r="C25" t="s">
        <v>0</v>
      </c>
      <c r="D25" t="s">
        <v>169</v>
      </c>
      <c r="E25" t="s">
        <v>123</v>
      </c>
      <c r="F25">
        <v>1026</v>
      </c>
      <c r="G25">
        <v>1037</v>
      </c>
      <c r="H25">
        <v>1007</v>
      </c>
      <c r="I25">
        <v>973</v>
      </c>
      <c r="J25">
        <v>996</v>
      </c>
      <c r="K25">
        <v>1015</v>
      </c>
      <c r="L25">
        <v>1013</v>
      </c>
      <c r="M25">
        <v>1042</v>
      </c>
      <c r="N25">
        <v>1007</v>
      </c>
      <c r="O25">
        <v>996</v>
      </c>
      <c r="P25">
        <v>1009</v>
      </c>
      <c r="Q25">
        <v>1066</v>
      </c>
      <c r="R25">
        <v>1104</v>
      </c>
      <c r="S25">
        <v>1167</v>
      </c>
      <c r="T25">
        <v>1207</v>
      </c>
      <c r="U25">
        <v>1174</v>
      </c>
      <c r="V25">
        <v>1037</v>
      </c>
      <c r="W25">
        <v>1037</v>
      </c>
      <c r="X25">
        <v>1074</v>
      </c>
      <c r="Y25">
        <v>1049</v>
      </c>
      <c r="Z25">
        <v>1017</v>
      </c>
      <c r="AA25">
        <v>996</v>
      </c>
      <c r="AB25">
        <v>984</v>
      </c>
      <c r="AC25">
        <v>1001</v>
      </c>
      <c r="AD25">
        <v>1042</v>
      </c>
      <c r="AE25">
        <v>1063</v>
      </c>
    </row>
    <row r="26" spans="1:31" x14ac:dyDescent="0.3">
      <c r="A26" t="s">
        <v>286</v>
      </c>
      <c r="B26" t="s">
        <v>170</v>
      </c>
      <c r="C26" t="s">
        <v>0</v>
      </c>
      <c r="D26" t="s">
        <v>171</v>
      </c>
      <c r="E26" t="s">
        <v>123</v>
      </c>
      <c r="F26">
        <v>3839</v>
      </c>
      <c r="G26">
        <v>3995</v>
      </c>
      <c r="H26">
        <v>3898</v>
      </c>
      <c r="I26">
        <v>3751</v>
      </c>
      <c r="J26">
        <v>3799</v>
      </c>
      <c r="K26">
        <v>3937</v>
      </c>
      <c r="L26">
        <v>3935</v>
      </c>
      <c r="M26">
        <v>4081</v>
      </c>
      <c r="N26">
        <v>3880</v>
      </c>
      <c r="O26">
        <v>3678</v>
      </c>
      <c r="P26">
        <v>3667</v>
      </c>
      <c r="Q26">
        <v>3616</v>
      </c>
      <c r="R26">
        <v>3690</v>
      </c>
      <c r="S26">
        <v>3810</v>
      </c>
      <c r="T26">
        <v>3824</v>
      </c>
      <c r="U26">
        <v>3565</v>
      </c>
      <c r="V26">
        <v>3249</v>
      </c>
      <c r="W26">
        <v>3252</v>
      </c>
      <c r="X26">
        <v>3343</v>
      </c>
      <c r="Y26">
        <v>3324</v>
      </c>
      <c r="Z26">
        <v>3050</v>
      </c>
      <c r="AA26">
        <v>3022</v>
      </c>
      <c r="AB26">
        <v>3094</v>
      </c>
      <c r="AC26">
        <v>3187</v>
      </c>
      <c r="AD26">
        <v>3210</v>
      </c>
      <c r="AE26">
        <v>3226</v>
      </c>
    </row>
    <row r="27" spans="1:31" x14ac:dyDescent="0.3">
      <c r="A27" t="s">
        <v>286</v>
      </c>
      <c r="B27" t="s">
        <v>172</v>
      </c>
      <c r="C27" t="s">
        <v>0</v>
      </c>
      <c r="D27" t="s">
        <v>173</v>
      </c>
      <c r="E27" t="s">
        <v>123</v>
      </c>
      <c r="F27">
        <v>2222</v>
      </c>
      <c r="G27">
        <v>2322</v>
      </c>
      <c r="H27">
        <v>2301</v>
      </c>
      <c r="I27">
        <v>2237</v>
      </c>
      <c r="J27">
        <v>2343</v>
      </c>
      <c r="K27">
        <v>2509</v>
      </c>
      <c r="L27">
        <v>2563</v>
      </c>
      <c r="M27">
        <v>2712</v>
      </c>
      <c r="N27">
        <v>2738</v>
      </c>
      <c r="O27">
        <v>2822</v>
      </c>
      <c r="P27">
        <v>2853</v>
      </c>
      <c r="Q27">
        <v>2909</v>
      </c>
      <c r="R27">
        <v>2997</v>
      </c>
      <c r="S27">
        <v>3173</v>
      </c>
      <c r="T27">
        <v>3400</v>
      </c>
      <c r="U27">
        <v>3375</v>
      </c>
      <c r="V27">
        <v>3113</v>
      </c>
      <c r="W27">
        <v>3188</v>
      </c>
      <c r="X27">
        <v>3416</v>
      </c>
      <c r="Y27">
        <v>3407</v>
      </c>
      <c r="Z27">
        <v>3430</v>
      </c>
      <c r="AA27">
        <v>3438</v>
      </c>
      <c r="AB27">
        <v>3577</v>
      </c>
      <c r="AC27">
        <v>3672</v>
      </c>
      <c r="AD27">
        <v>3817</v>
      </c>
      <c r="AE27">
        <v>4041</v>
      </c>
    </row>
    <row r="28" spans="1:31" x14ac:dyDescent="0.3">
      <c r="A28" t="s">
        <v>286</v>
      </c>
      <c r="B28" t="s">
        <v>174</v>
      </c>
      <c r="C28" t="s">
        <v>0</v>
      </c>
      <c r="D28" t="s">
        <v>175</v>
      </c>
      <c r="E28" t="s">
        <v>123</v>
      </c>
      <c r="F28">
        <v>3954</v>
      </c>
      <c r="G28">
        <v>4163</v>
      </c>
      <c r="H28">
        <v>4195</v>
      </c>
      <c r="I28">
        <v>4418</v>
      </c>
      <c r="J28">
        <v>4558</v>
      </c>
      <c r="K28">
        <v>4759</v>
      </c>
      <c r="L28">
        <v>4979</v>
      </c>
      <c r="M28">
        <v>5197</v>
      </c>
      <c r="N28">
        <v>5254</v>
      </c>
      <c r="O28">
        <v>5343</v>
      </c>
      <c r="P28">
        <v>5415</v>
      </c>
      <c r="Q28">
        <v>5713</v>
      </c>
      <c r="R28">
        <v>6068</v>
      </c>
      <c r="S28">
        <v>6618</v>
      </c>
      <c r="T28">
        <v>7108</v>
      </c>
      <c r="U28">
        <v>6992</v>
      </c>
      <c r="V28">
        <v>6903</v>
      </c>
      <c r="W28">
        <v>7156</v>
      </c>
      <c r="X28">
        <v>7499</v>
      </c>
      <c r="Y28">
        <v>7512</v>
      </c>
      <c r="Z28">
        <v>7522</v>
      </c>
      <c r="AA28">
        <v>7434</v>
      </c>
      <c r="AB28">
        <v>7534</v>
      </c>
      <c r="AC28">
        <v>7175</v>
      </c>
      <c r="AD28">
        <v>8450</v>
      </c>
      <c r="AE28">
        <v>8879</v>
      </c>
    </row>
    <row r="29" spans="1:31" x14ac:dyDescent="0.3">
      <c r="A29" t="s">
        <v>286</v>
      </c>
      <c r="B29" t="s">
        <v>176</v>
      </c>
      <c r="C29" t="s">
        <v>0</v>
      </c>
      <c r="D29" t="s">
        <v>177</v>
      </c>
      <c r="E29" t="s">
        <v>123</v>
      </c>
      <c r="F29">
        <v>1032</v>
      </c>
      <c r="G29">
        <v>1112</v>
      </c>
      <c r="H29">
        <v>1131</v>
      </c>
      <c r="I29">
        <v>1148</v>
      </c>
      <c r="J29">
        <v>1186</v>
      </c>
      <c r="K29">
        <v>1235</v>
      </c>
      <c r="L29">
        <v>1288</v>
      </c>
      <c r="M29">
        <v>1340</v>
      </c>
      <c r="N29">
        <v>1329</v>
      </c>
      <c r="O29">
        <v>1323</v>
      </c>
      <c r="P29">
        <v>1364</v>
      </c>
      <c r="Q29">
        <v>1448</v>
      </c>
      <c r="R29">
        <v>1511</v>
      </c>
      <c r="S29">
        <v>1640</v>
      </c>
      <c r="T29">
        <v>1780</v>
      </c>
      <c r="U29">
        <v>1743</v>
      </c>
      <c r="V29">
        <v>1749</v>
      </c>
      <c r="W29">
        <v>1782</v>
      </c>
      <c r="X29">
        <v>1884</v>
      </c>
      <c r="Y29">
        <v>1869</v>
      </c>
      <c r="Z29">
        <v>1892</v>
      </c>
      <c r="AA29">
        <v>1847</v>
      </c>
      <c r="AB29">
        <v>1797</v>
      </c>
      <c r="AC29">
        <v>1125</v>
      </c>
      <c r="AD29">
        <v>2004</v>
      </c>
      <c r="AE29">
        <v>2130</v>
      </c>
    </row>
    <row r="30" spans="1:31" x14ac:dyDescent="0.3">
      <c r="A30" t="s">
        <v>286</v>
      </c>
      <c r="B30" t="s">
        <v>178</v>
      </c>
      <c r="C30" t="s">
        <v>0</v>
      </c>
      <c r="D30" t="s">
        <v>179</v>
      </c>
      <c r="E30" t="s">
        <v>123</v>
      </c>
      <c r="F30">
        <v>143</v>
      </c>
      <c r="G30">
        <v>135</v>
      </c>
      <c r="H30">
        <v>120</v>
      </c>
      <c r="I30">
        <v>121</v>
      </c>
      <c r="J30">
        <v>118</v>
      </c>
      <c r="K30">
        <v>116</v>
      </c>
      <c r="L30">
        <v>118</v>
      </c>
      <c r="M30">
        <v>120</v>
      </c>
      <c r="N30">
        <v>108</v>
      </c>
      <c r="O30">
        <v>105</v>
      </c>
      <c r="P30">
        <v>102</v>
      </c>
      <c r="Q30">
        <v>103</v>
      </c>
      <c r="R30">
        <v>104</v>
      </c>
      <c r="S30">
        <v>105</v>
      </c>
      <c r="T30">
        <v>108</v>
      </c>
      <c r="U30">
        <v>111</v>
      </c>
      <c r="V30">
        <v>106</v>
      </c>
      <c r="W30">
        <v>104</v>
      </c>
      <c r="X30">
        <v>106</v>
      </c>
      <c r="Y30">
        <v>102</v>
      </c>
      <c r="Z30">
        <v>96</v>
      </c>
      <c r="AA30">
        <v>90</v>
      </c>
      <c r="AB30">
        <v>86</v>
      </c>
      <c r="AC30">
        <v>97</v>
      </c>
      <c r="AD30">
        <v>95</v>
      </c>
      <c r="AE30">
        <v>96</v>
      </c>
    </row>
    <row r="31" spans="1:31" x14ac:dyDescent="0.3">
      <c r="A31" t="s">
        <v>286</v>
      </c>
      <c r="B31" t="s">
        <v>180</v>
      </c>
      <c r="C31" t="s">
        <v>0</v>
      </c>
      <c r="D31" t="s">
        <v>181</v>
      </c>
      <c r="E31" t="s">
        <v>123</v>
      </c>
      <c r="F31">
        <v>92</v>
      </c>
      <c r="G31">
        <v>98</v>
      </c>
      <c r="H31">
        <v>98</v>
      </c>
      <c r="I31">
        <v>103</v>
      </c>
      <c r="J31">
        <v>116</v>
      </c>
      <c r="K31">
        <v>115</v>
      </c>
      <c r="L31">
        <v>105</v>
      </c>
      <c r="M31">
        <v>99</v>
      </c>
      <c r="N31">
        <v>87</v>
      </c>
      <c r="O31">
        <v>76</v>
      </c>
      <c r="P31">
        <v>67</v>
      </c>
      <c r="Q31">
        <v>61</v>
      </c>
      <c r="R31">
        <v>50</v>
      </c>
      <c r="S31">
        <v>59</v>
      </c>
      <c r="T31">
        <v>12</v>
      </c>
      <c r="U31">
        <v>9</v>
      </c>
      <c r="V31">
        <v>6</v>
      </c>
      <c r="W31">
        <v>3</v>
      </c>
      <c r="X31">
        <v>2</v>
      </c>
      <c r="Y31">
        <v>2</v>
      </c>
      <c r="Z31">
        <v>2</v>
      </c>
      <c r="AA31">
        <v>3</v>
      </c>
      <c r="AB31">
        <v>7</v>
      </c>
      <c r="AC31">
        <v>16</v>
      </c>
      <c r="AD31">
        <v>22</v>
      </c>
      <c r="AE31">
        <v>22</v>
      </c>
    </row>
    <row r="32" spans="1:31" x14ac:dyDescent="0.3">
      <c r="A32" t="s">
        <v>286</v>
      </c>
      <c r="B32" t="s">
        <v>182</v>
      </c>
      <c r="C32" t="s">
        <v>0</v>
      </c>
      <c r="D32" t="s">
        <v>183</v>
      </c>
      <c r="E32" t="s">
        <v>123</v>
      </c>
      <c r="F32">
        <v>2425</v>
      </c>
      <c r="G32">
        <v>2541</v>
      </c>
      <c r="H32">
        <v>2561</v>
      </c>
      <c r="I32">
        <v>2740</v>
      </c>
      <c r="J32">
        <v>2820</v>
      </c>
      <c r="K32">
        <v>2954</v>
      </c>
      <c r="L32">
        <v>3123</v>
      </c>
      <c r="M32">
        <v>3282</v>
      </c>
      <c r="N32">
        <v>3386</v>
      </c>
      <c r="O32">
        <v>3506</v>
      </c>
      <c r="P32">
        <v>3552</v>
      </c>
      <c r="Q32">
        <v>3770</v>
      </c>
      <c r="R32">
        <v>4079</v>
      </c>
      <c r="S32">
        <v>4449</v>
      </c>
      <c r="T32">
        <v>4805</v>
      </c>
      <c r="U32">
        <v>4746</v>
      </c>
      <c r="V32">
        <v>4697</v>
      </c>
      <c r="W32">
        <v>4899</v>
      </c>
      <c r="X32">
        <v>5136</v>
      </c>
      <c r="Y32">
        <v>5168</v>
      </c>
      <c r="Z32">
        <v>5247</v>
      </c>
      <c r="AA32">
        <v>5260</v>
      </c>
      <c r="AB32">
        <v>5423</v>
      </c>
      <c r="AC32">
        <v>5728</v>
      </c>
      <c r="AD32">
        <v>6129</v>
      </c>
      <c r="AE32">
        <v>6438</v>
      </c>
    </row>
    <row r="33" spans="1:31" x14ac:dyDescent="0.3">
      <c r="A33" t="s">
        <v>286</v>
      </c>
      <c r="B33" t="s">
        <v>184</v>
      </c>
      <c r="C33" t="s">
        <v>0</v>
      </c>
      <c r="D33" t="s">
        <v>185</v>
      </c>
      <c r="E33" t="s">
        <v>123</v>
      </c>
      <c r="F33">
        <v>262</v>
      </c>
      <c r="G33">
        <v>277</v>
      </c>
      <c r="H33">
        <v>285</v>
      </c>
      <c r="I33">
        <v>306</v>
      </c>
      <c r="J33">
        <v>318</v>
      </c>
      <c r="K33">
        <v>339</v>
      </c>
      <c r="L33">
        <v>345</v>
      </c>
      <c r="M33">
        <v>356</v>
      </c>
      <c r="N33">
        <v>344</v>
      </c>
      <c r="O33">
        <v>333</v>
      </c>
      <c r="P33">
        <v>330</v>
      </c>
      <c r="Q33">
        <v>331</v>
      </c>
      <c r="R33">
        <v>324</v>
      </c>
      <c r="S33">
        <v>365</v>
      </c>
      <c r="T33">
        <v>403</v>
      </c>
      <c r="U33">
        <v>383</v>
      </c>
      <c r="V33">
        <v>345</v>
      </c>
      <c r="W33">
        <v>368</v>
      </c>
      <c r="X33">
        <v>371</v>
      </c>
      <c r="Y33">
        <v>371</v>
      </c>
      <c r="Z33">
        <v>285</v>
      </c>
      <c r="AA33">
        <v>234</v>
      </c>
      <c r="AB33">
        <v>221</v>
      </c>
      <c r="AC33">
        <v>209</v>
      </c>
      <c r="AD33">
        <v>200</v>
      </c>
      <c r="AE33">
        <v>193</v>
      </c>
    </row>
    <row r="34" spans="1:31" x14ac:dyDescent="0.3">
      <c r="A34" t="s">
        <v>286</v>
      </c>
      <c r="B34" t="s">
        <v>186</v>
      </c>
      <c r="C34" t="s">
        <v>0</v>
      </c>
      <c r="D34" t="s">
        <v>187</v>
      </c>
      <c r="E34" t="s">
        <v>123</v>
      </c>
      <c r="F34">
        <v>1054</v>
      </c>
      <c r="G34">
        <v>1093</v>
      </c>
      <c r="H34">
        <v>1083</v>
      </c>
      <c r="I34">
        <v>1055</v>
      </c>
      <c r="J34">
        <v>1085</v>
      </c>
      <c r="K34">
        <v>1126</v>
      </c>
      <c r="L34">
        <v>1128</v>
      </c>
      <c r="M34">
        <v>1197</v>
      </c>
      <c r="N34">
        <v>1150</v>
      </c>
      <c r="O34">
        <v>1129</v>
      </c>
      <c r="P34">
        <v>1140</v>
      </c>
      <c r="Q34">
        <v>1204</v>
      </c>
      <c r="R34">
        <v>1258</v>
      </c>
      <c r="S34">
        <v>1341</v>
      </c>
      <c r="T34">
        <v>1421</v>
      </c>
      <c r="U34">
        <v>1423</v>
      </c>
      <c r="V34">
        <v>1312</v>
      </c>
      <c r="W34">
        <v>1329</v>
      </c>
      <c r="X34">
        <v>1378</v>
      </c>
      <c r="Y34">
        <v>1379</v>
      </c>
      <c r="Z34">
        <v>1372</v>
      </c>
      <c r="AA34">
        <v>1376</v>
      </c>
      <c r="AB34">
        <v>1429</v>
      </c>
      <c r="AC34">
        <v>1481</v>
      </c>
      <c r="AD34">
        <v>1541</v>
      </c>
      <c r="AE34">
        <v>1647</v>
      </c>
    </row>
    <row r="35" spans="1:31" x14ac:dyDescent="0.3">
      <c r="A35" t="s">
        <v>286</v>
      </c>
      <c r="B35" t="s">
        <v>188</v>
      </c>
      <c r="C35" t="s">
        <v>0</v>
      </c>
      <c r="D35" t="s">
        <v>189</v>
      </c>
      <c r="E35" t="s">
        <v>123</v>
      </c>
      <c r="F35">
        <v>2950</v>
      </c>
      <c r="G35">
        <v>3146</v>
      </c>
      <c r="H35">
        <v>3275</v>
      </c>
      <c r="I35">
        <v>3466</v>
      </c>
      <c r="J35">
        <v>3721</v>
      </c>
      <c r="K35">
        <v>4029</v>
      </c>
      <c r="L35">
        <v>4416</v>
      </c>
      <c r="M35">
        <v>4677</v>
      </c>
      <c r="N35">
        <v>4686</v>
      </c>
      <c r="O35">
        <v>4512</v>
      </c>
      <c r="P35">
        <v>4380</v>
      </c>
      <c r="Q35">
        <v>4335</v>
      </c>
      <c r="R35">
        <v>4328</v>
      </c>
      <c r="S35">
        <v>4332</v>
      </c>
      <c r="T35">
        <v>4367</v>
      </c>
      <c r="U35">
        <v>4046</v>
      </c>
      <c r="V35">
        <v>3801</v>
      </c>
      <c r="W35">
        <v>3687</v>
      </c>
      <c r="X35">
        <v>3652</v>
      </c>
      <c r="Y35">
        <v>3682</v>
      </c>
      <c r="Z35">
        <v>3682</v>
      </c>
      <c r="AA35">
        <v>3463</v>
      </c>
      <c r="AB35">
        <v>3338</v>
      </c>
      <c r="AC35">
        <v>3387</v>
      </c>
      <c r="AD35">
        <v>3475</v>
      </c>
      <c r="AE35">
        <v>3867</v>
      </c>
    </row>
    <row r="36" spans="1:31" x14ac:dyDescent="0.3">
      <c r="A36" t="s">
        <v>286</v>
      </c>
      <c r="B36" t="s">
        <v>190</v>
      </c>
      <c r="C36" t="s">
        <v>0</v>
      </c>
      <c r="D36" t="s">
        <v>191</v>
      </c>
      <c r="E36" t="s">
        <v>123</v>
      </c>
      <c r="F36">
        <v>297</v>
      </c>
      <c r="G36">
        <v>307</v>
      </c>
      <c r="H36">
        <v>326</v>
      </c>
      <c r="I36">
        <v>343</v>
      </c>
      <c r="J36">
        <v>362</v>
      </c>
      <c r="K36">
        <v>381</v>
      </c>
      <c r="L36">
        <v>382</v>
      </c>
      <c r="M36">
        <v>402</v>
      </c>
      <c r="N36">
        <v>398</v>
      </c>
      <c r="O36">
        <v>393</v>
      </c>
      <c r="P36">
        <v>400</v>
      </c>
      <c r="Q36">
        <v>412</v>
      </c>
      <c r="R36">
        <v>424</v>
      </c>
      <c r="S36">
        <v>428</v>
      </c>
      <c r="T36">
        <v>444</v>
      </c>
      <c r="U36">
        <v>433</v>
      </c>
      <c r="V36">
        <v>404</v>
      </c>
      <c r="W36">
        <v>387</v>
      </c>
      <c r="X36">
        <v>417</v>
      </c>
      <c r="Y36">
        <v>299</v>
      </c>
      <c r="Z36">
        <v>293</v>
      </c>
      <c r="AA36">
        <v>272</v>
      </c>
      <c r="AB36">
        <v>285</v>
      </c>
      <c r="AC36">
        <v>297</v>
      </c>
      <c r="AD36">
        <v>310</v>
      </c>
      <c r="AE36">
        <v>306</v>
      </c>
    </row>
    <row r="37" spans="1:31" x14ac:dyDescent="0.3">
      <c r="A37" t="s">
        <v>286</v>
      </c>
      <c r="B37" t="s">
        <v>192</v>
      </c>
      <c r="C37" t="s">
        <v>0</v>
      </c>
      <c r="D37" t="s">
        <v>193</v>
      </c>
      <c r="E37" t="s">
        <v>123</v>
      </c>
      <c r="F37">
        <v>2595</v>
      </c>
      <c r="G37">
        <v>2778</v>
      </c>
      <c r="H37">
        <v>2890</v>
      </c>
      <c r="I37">
        <v>3063</v>
      </c>
      <c r="J37">
        <v>3298</v>
      </c>
      <c r="K37">
        <v>3581</v>
      </c>
      <c r="L37">
        <v>3966</v>
      </c>
      <c r="M37">
        <v>4206</v>
      </c>
      <c r="N37">
        <v>4224</v>
      </c>
      <c r="O37">
        <v>4109</v>
      </c>
      <c r="P37">
        <v>3972</v>
      </c>
      <c r="Q37">
        <v>3914</v>
      </c>
      <c r="R37">
        <v>3895</v>
      </c>
      <c r="S37">
        <v>3896</v>
      </c>
      <c r="T37">
        <v>3915</v>
      </c>
      <c r="U37">
        <v>3605</v>
      </c>
      <c r="V37">
        <v>3368</v>
      </c>
      <c r="W37">
        <v>3256</v>
      </c>
      <c r="X37">
        <v>3181</v>
      </c>
      <c r="Y37">
        <v>2936</v>
      </c>
      <c r="Z37">
        <v>2765</v>
      </c>
      <c r="AA37">
        <v>2568</v>
      </c>
      <c r="AB37">
        <v>2416</v>
      </c>
      <c r="AC37">
        <v>2358</v>
      </c>
      <c r="AD37">
        <v>2254</v>
      </c>
      <c r="AE37">
        <v>2237</v>
      </c>
    </row>
    <row r="38" spans="1:31" x14ac:dyDescent="0.3">
      <c r="A38" t="s">
        <v>286</v>
      </c>
      <c r="B38" t="s">
        <v>194</v>
      </c>
      <c r="C38" t="s">
        <v>0</v>
      </c>
      <c r="D38" t="s">
        <v>195</v>
      </c>
      <c r="E38" t="s">
        <v>123</v>
      </c>
      <c r="F38">
        <v>58</v>
      </c>
      <c r="G38">
        <v>61</v>
      </c>
      <c r="H38">
        <v>59</v>
      </c>
      <c r="I38">
        <v>60</v>
      </c>
      <c r="J38">
        <v>61</v>
      </c>
      <c r="K38">
        <v>67</v>
      </c>
      <c r="L38">
        <v>68</v>
      </c>
      <c r="M38">
        <v>69</v>
      </c>
      <c r="N38">
        <v>64</v>
      </c>
      <c r="O38">
        <v>10</v>
      </c>
      <c r="P38">
        <v>8</v>
      </c>
      <c r="Q38">
        <v>9</v>
      </c>
      <c r="R38">
        <v>9</v>
      </c>
      <c r="S38">
        <v>8</v>
      </c>
      <c r="T38">
        <v>8</v>
      </c>
      <c r="U38">
        <v>8</v>
      </c>
      <c r="V38">
        <v>29</v>
      </c>
      <c r="W38">
        <v>44</v>
      </c>
      <c r="X38">
        <v>54</v>
      </c>
      <c r="Y38">
        <v>447</v>
      </c>
      <c r="Z38">
        <v>624</v>
      </c>
      <c r="AA38">
        <v>623</v>
      </c>
      <c r="AB38">
        <v>637</v>
      </c>
      <c r="AC38">
        <v>732</v>
      </c>
      <c r="AD38">
        <v>911</v>
      </c>
      <c r="AE38">
        <v>1324</v>
      </c>
    </row>
    <row r="39" spans="1:31" x14ac:dyDescent="0.3">
      <c r="A39" t="s">
        <v>286</v>
      </c>
      <c r="B39" t="s">
        <v>196</v>
      </c>
      <c r="C39" t="s">
        <v>0</v>
      </c>
      <c r="D39" t="s">
        <v>197</v>
      </c>
      <c r="E39" t="s">
        <v>123</v>
      </c>
      <c r="F39">
        <v>1366</v>
      </c>
      <c r="G39">
        <v>1341</v>
      </c>
      <c r="H39">
        <v>1234</v>
      </c>
      <c r="I39">
        <v>1155</v>
      </c>
      <c r="J39">
        <v>1114</v>
      </c>
      <c r="K39">
        <v>1111</v>
      </c>
      <c r="L39">
        <v>1029</v>
      </c>
      <c r="M39">
        <v>983</v>
      </c>
      <c r="N39">
        <v>842</v>
      </c>
      <c r="O39">
        <v>672</v>
      </c>
      <c r="P39">
        <v>605</v>
      </c>
      <c r="Q39">
        <v>548</v>
      </c>
      <c r="R39">
        <v>578</v>
      </c>
      <c r="S39">
        <v>600</v>
      </c>
      <c r="T39">
        <v>683</v>
      </c>
      <c r="U39">
        <v>635</v>
      </c>
      <c r="V39">
        <v>572</v>
      </c>
      <c r="W39">
        <v>565</v>
      </c>
      <c r="X39">
        <v>574</v>
      </c>
      <c r="Y39">
        <v>562</v>
      </c>
      <c r="Z39">
        <v>539</v>
      </c>
      <c r="AA39">
        <v>514</v>
      </c>
      <c r="AB39">
        <v>499</v>
      </c>
      <c r="AC39">
        <v>488</v>
      </c>
      <c r="AD39">
        <v>477</v>
      </c>
      <c r="AE39">
        <v>464</v>
      </c>
    </row>
    <row r="40" spans="1:31" x14ac:dyDescent="0.3">
      <c r="A40" t="s">
        <v>286</v>
      </c>
      <c r="B40" t="s">
        <v>198</v>
      </c>
      <c r="C40" t="s">
        <v>0</v>
      </c>
      <c r="D40" t="s">
        <v>199</v>
      </c>
      <c r="E40" t="s">
        <v>123</v>
      </c>
      <c r="F40">
        <v>18257</v>
      </c>
      <c r="G40">
        <v>19463</v>
      </c>
      <c r="H40">
        <v>19283</v>
      </c>
      <c r="I40">
        <v>19483</v>
      </c>
      <c r="J40">
        <v>22809</v>
      </c>
      <c r="K40">
        <v>25909</v>
      </c>
      <c r="L40">
        <v>29207</v>
      </c>
      <c r="M40">
        <v>32991</v>
      </c>
      <c r="N40">
        <v>35548</v>
      </c>
      <c r="O40">
        <v>36856</v>
      </c>
      <c r="P40">
        <v>39863</v>
      </c>
      <c r="Q40">
        <v>44046</v>
      </c>
      <c r="R40">
        <v>49396</v>
      </c>
      <c r="S40">
        <v>56705</v>
      </c>
      <c r="T40">
        <v>62145</v>
      </c>
      <c r="U40">
        <v>62998</v>
      </c>
      <c r="V40">
        <v>61104</v>
      </c>
      <c r="W40">
        <v>64401</v>
      </c>
      <c r="X40">
        <v>70022</v>
      </c>
      <c r="Y40">
        <v>72264</v>
      </c>
      <c r="Z40">
        <v>74236</v>
      </c>
      <c r="AA40">
        <v>75669</v>
      </c>
      <c r="AB40">
        <v>78703</v>
      </c>
      <c r="AC40">
        <v>82684</v>
      </c>
      <c r="AD40">
        <v>88418</v>
      </c>
      <c r="AE40">
        <v>94587</v>
      </c>
    </row>
    <row r="41" spans="1:31" x14ac:dyDescent="0.3">
      <c r="A41" t="s">
        <v>286</v>
      </c>
      <c r="B41" t="s">
        <v>200</v>
      </c>
      <c r="C41" t="s">
        <v>0</v>
      </c>
      <c r="D41" t="s">
        <v>201</v>
      </c>
      <c r="E41" t="s">
        <v>123</v>
      </c>
      <c r="F41">
        <v>1332</v>
      </c>
      <c r="G41">
        <v>1345</v>
      </c>
      <c r="H41">
        <v>1318</v>
      </c>
      <c r="I41">
        <v>1294</v>
      </c>
      <c r="J41">
        <v>1333</v>
      </c>
      <c r="K41">
        <v>1419</v>
      </c>
      <c r="L41">
        <v>1488</v>
      </c>
      <c r="M41">
        <v>1615</v>
      </c>
      <c r="N41">
        <v>1676</v>
      </c>
      <c r="O41">
        <v>1748</v>
      </c>
      <c r="P41">
        <v>1918</v>
      </c>
      <c r="Q41">
        <v>2157</v>
      </c>
      <c r="R41">
        <v>2375</v>
      </c>
      <c r="S41">
        <v>2601</v>
      </c>
      <c r="T41">
        <v>2783</v>
      </c>
      <c r="U41">
        <v>2879</v>
      </c>
      <c r="V41">
        <v>2949</v>
      </c>
      <c r="W41">
        <v>3123</v>
      </c>
      <c r="X41">
        <v>3397</v>
      </c>
      <c r="Y41">
        <v>3702</v>
      </c>
      <c r="Z41">
        <v>3953</v>
      </c>
      <c r="AA41">
        <v>4171</v>
      </c>
      <c r="AB41">
        <v>4420</v>
      </c>
      <c r="AC41">
        <v>4736</v>
      </c>
      <c r="AD41">
        <v>5089</v>
      </c>
      <c r="AE41">
        <v>5415</v>
      </c>
    </row>
    <row r="42" spans="1:31" x14ac:dyDescent="0.3">
      <c r="A42" t="s">
        <v>286</v>
      </c>
      <c r="B42" t="s">
        <v>202</v>
      </c>
      <c r="C42" t="s">
        <v>0</v>
      </c>
      <c r="D42" t="s">
        <v>203</v>
      </c>
      <c r="E42" t="s">
        <v>123</v>
      </c>
      <c r="F42">
        <v>631</v>
      </c>
      <c r="G42">
        <v>651</v>
      </c>
      <c r="H42">
        <v>654</v>
      </c>
      <c r="I42">
        <v>656</v>
      </c>
      <c r="J42">
        <v>686</v>
      </c>
      <c r="K42">
        <v>737</v>
      </c>
      <c r="L42">
        <v>756</v>
      </c>
      <c r="M42">
        <v>807</v>
      </c>
      <c r="N42">
        <v>794</v>
      </c>
      <c r="O42">
        <v>788</v>
      </c>
      <c r="P42">
        <v>817</v>
      </c>
      <c r="Q42">
        <v>862</v>
      </c>
      <c r="R42">
        <v>939</v>
      </c>
      <c r="S42">
        <v>1016</v>
      </c>
      <c r="T42">
        <v>1082</v>
      </c>
      <c r="U42">
        <v>1144</v>
      </c>
      <c r="V42">
        <v>1141</v>
      </c>
      <c r="W42">
        <v>1159</v>
      </c>
      <c r="X42">
        <v>1176</v>
      </c>
      <c r="Y42">
        <v>1191</v>
      </c>
      <c r="Z42">
        <v>1228</v>
      </c>
      <c r="AA42">
        <v>1217</v>
      </c>
      <c r="AB42">
        <v>1262</v>
      </c>
      <c r="AC42">
        <v>1328</v>
      </c>
      <c r="AD42">
        <v>1446</v>
      </c>
      <c r="AE42">
        <v>1545</v>
      </c>
    </row>
    <row r="43" spans="1:31" x14ac:dyDescent="0.3">
      <c r="A43" t="s">
        <v>286</v>
      </c>
      <c r="B43" t="s">
        <v>204</v>
      </c>
      <c r="C43" t="s">
        <v>0</v>
      </c>
      <c r="D43" t="s">
        <v>205</v>
      </c>
      <c r="E43" t="s">
        <v>123</v>
      </c>
      <c r="F43">
        <v>842</v>
      </c>
      <c r="G43">
        <v>925</v>
      </c>
      <c r="H43">
        <v>938</v>
      </c>
      <c r="I43">
        <v>971</v>
      </c>
      <c r="J43">
        <v>1042</v>
      </c>
      <c r="K43">
        <v>1162</v>
      </c>
      <c r="L43">
        <v>1252</v>
      </c>
      <c r="M43">
        <v>1396</v>
      </c>
      <c r="N43">
        <v>1435</v>
      </c>
      <c r="O43">
        <v>1474</v>
      </c>
      <c r="P43">
        <v>1540</v>
      </c>
      <c r="Q43">
        <v>1637</v>
      </c>
      <c r="R43">
        <v>1773</v>
      </c>
      <c r="S43">
        <v>1947</v>
      </c>
      <c r="T43">
        <v>2110</v>
      </c>
      <c r="U43">
        <v>2246</v>
      </c>
      <c r="V43">
        <v>2218</v>
      </c>
      <c r="W43">
        <v>2260</v>
      </c>
      <c r="X43">
        <v>2366</v>
      </c>
      <c r="Y43">
        <v>2385</v>
      </c>
      <c r="Z43">
        <v>2310</v>
      </c>
      <c r="AA43">
        <v>2320</v>
      </c>
      <c r="AB43">
        <v>2399</v>
      </c>
      <c r="AC43">
        <v>2553</v>
      </c>
      <c r="AD43">
        <v>2758</v>
      </c>
      <c r="AE43">
        <v>2957</v>
      </c>
    </row>
    <row r="44" spans="1:31" x14ac:dyDescent="0.3">
      <c r="A44" t="s">
        <v>286</v>
      </c>
      <c r="B44" t="s">
        <v>206</v>
      </c>
      <c r="C44" t="s">
        <v>0</v>
      </c>
      <c r="D44" t="s">
        <v>207</v>
      </c>
      <c r="E44" t="s">
        <v>123</v>
      </c>
      <c r="F44">
        <v>59371</v>
      </c>
      <c r="G44">
        <v>60665</v>
      </c>
      <c r="H44">
        <v>60584</v>
      </c>
      <c r="I44">
        <v>61480</v>
      </c>
      <c r="J44">
        <v>63193</v>
      </c>
      <c r="K44">
        <v>65907</v>
      </c>
      <c r="L44">
        <v>68655</v>
      </c>
      <c r="M44">
        <v>72109</v>
      </c>
      <c r="N44">
        <v>71988</v>
      </c>
      <c r="O44">
        <v>72150</v>
      </c>
      <c r="P44">
        <v>73655</v>
      </c>
      <c r="Q44">
        <v>76683</v>
      </c>
      <c r="R44">
        <v>80695</v>
      </c>
      <c r="S44">
        <v>86669</v>
      </c>
      <c r="T44">
        <v>91543</v>
      </c>
      <c r="U44">
        <v>90513</v>
      </c>
      <c r="V44">
        <v>87733</v>
      </c>
      <c r="W44">
        <v>90118</v>
      </c>
      <c r="X44">
        <v>94422</v>
      </c>
      <c r="Y44">
        <v>95745</v>
      </c>
      <c r="Z44">
        <v>95663</v>
      </c>
      <c r="AA44">
        <v>95411</v>
      </c>
      <c r="AB44">
        <v>96928</v>
      </c>
      <c r="AC44">
        <v>99511</v>
      </c>
      <c r="AD44">
        <v>104845</v>
      </c>
      <c r="AE44">
        <v>109534</v>
      </c>
    </row>
    <row r="45" spans="1:31" x14ac:dyDescent="0.3">
      <c r="A45" t="s">
        <v>286</v>
      </c>
      <c r="B45" t="s">
        <v>208</v>
      </c>
      <c r="C45" t="s">
        <v>0</v>
      </c>
      <c r="D45" t="s">
        <v>209</v>
      </c>
      <c r="E45" t="s">
        <v>123</v>
      </c>
      <c r="F45">
        <v>49260</v>
      </c>
      <c r="G45">
        <v>51135</v>
      </c>
      <c r="H45">
        <v>51108</v>
      </c>
      <c r="I45">
        <v>51572</v>
      </c>
      <c r="J45">
        <v>53106</v>
      </c>
      <c r="K45">
        <v>55638</v>
      </c>
      <c r="L45">
        <v>57849</v>
      </c>
      <c r="M45">
        <v>60986</v>
      </c>
      <c r="N45">
        <v>60647</v>
      </c>
      <c r="O45">
        <v>60658</v>
      </c>
      <c r="P45">
        <v>61830</v>
      </c>
      <c r="Q45">
        <v>64423</v>
      </c>
      <c r="R45">
        <v>67738</v>
      </c>
      <c r="S45">
        <v>72473</v>
      </c>
      <c r="T45">
        <v>77006</v>
      </c>
      <c r="U45">
        <v>75624</v>
      </c>
      <c r="V45">
        <v>73211</v>
      </c>
      <c r="W45">
        <v>75313</v>
      </c>
      <c r="X45">
        <v>78943</v>
      </c>
      <c r="Y45">
        <v>79967</v>
      </c>
      <c r="Z45">
        <v>80275</v>
      </c>
      <c r="AA45">
        <v>80168</v>
      </c>
      <c r="AB45">
        <v>81554</v>
      </c>
      <c r="AC45">
        <v>83992</v>
      </c>
      <c r="AD45">
        <v>88431</v>
      </c>
      <c r="AE45">
        <v>92604</v>
      </c>
    </row>
    <row r="46" spans="1:31" x14ac:dyDescent="0.3">
      <c r="A46" t="s">
        <v>286</v>
      </c>
      <c r="B46" t="s">
        <v>210</v>
      </c>
      <c r="C46" t="s">
        <v>0</v>
      </c>
      <c r="D46" t="s">
        <v>211</v>
      </c>
      <c r="E46" t="s">
        <v>123</v>
      </c>
      <c r="F46">
        <v>211</v>
      </c>
      <c r="G46">
        <v>274</v>
      </c>
      <c r="H46">
        <v>284</v>
      </c>
      <c r="I46">
        <v>315</v>
      </c>
      <c r="J46">
        <v>356</v>
      </c>
      <c r="K46">
        <v>425</v>
      </c>
      <c r="L46">
        <v>496</v>
      </c>
      <c r="M46">
        <v>589</v>
      </c>
      <c r="N46">
        <v>641</v>
      </c>
      <c r="O46">
        <v>686</v>
      </c>
      <c r="P46">
        <v>723</v>
      </c>
      <c r="Q46">
        <v>775</v>
      </c>
      <c r="R46">
        <v>834</v>
      </c>
      <c r="S46">
        <v>931</v>
      </c>
      <c r="T46">
        <v>1028</v>
      </c>
      <c r="U46">
        <v>1102</v>
      </c>
      <c r="V46">
        <v>1077</v>
      </c>
      <c r="W46">
        <v>1101</v>
      </c>
      <c r="X46">
        <v>1190</v>
      </c>
      <c r="Y46">
        <v>1194</v>
      </c>
      <c r="Z46">
        <v>1082</v>
      </c>
      <c r="AA46">
        <v>1103</v>
      </c>
      <c r="AB46">
        <v>1137</v>
      </c>
      <c r="AC46">
        <v>1225</v>
      </c>
      <c r="AD46">
        <v>1312</v>
      </c>
      <c r="AE46">
        <v>1412</v>
      </c>
    </row>
    <row r="47" spans="1:31" x14ac:dyDescent="0.3">
      <c r="A47" t="s">
        <v>286</v>
      </c>
      <c r="B47" t="s">
        <v>212</v>
      </c>
      <c r="C47" t="s">
        <v>0</v>
      </c>
      <c r="D47" t="s">
        <v>213</v>
      </c>
      <c r="E47" t="s">
        <v>123</v>
      </c>
      <c r="F47">
        <v>27445</v>
      </c>
      <c r="G47">
        <v>29219</v>
      </c>
      <c r="H47">
        <v>29441</v>
      </c>
      <c r="I47">
        <v>30460</v>
      </c>
      <c r="J47">
        <v>31129</v>
      </c>
      <c r="K47">
        <v>32066</v>
      </c>
      <c r="L47">
        <v>33693</v>
      </c>
      <c r="M47">
        <v>35460</v>
      </c>
      <c r="N47">
        <v>34475</v>
      </c>
      <c r="O47">
        <v>35723</v>
      </c>
      <c r="P47">
        <v>37440</v>
      </c>
      <c r="Q47">
        <v>39601</v>
      </c>
      <c r="R47">
        <v>42117</v>
      </c>
      <c r="S47">
        <v>45215</v>
      </c>
      <c r="T47">
        <v>49140</v>
      </c>
      <c r="U47">
        <v>48786</v>
      </c>
      <c r="V47">
        <v>49474</v>
      </c>
      <c r="W47">
        <v>52400</v>
      </c>
      <c r="X47">
        <v>55061</v>
      </c>
      <c r="Y47">
        <v>56594</v>
      </c>
      <c r="Z47">
        <v>57312</v>
      </c>
      <c r="AA47">
        <v>56647</v>
      </c>
      <c r="AB47">
        <v>56148</v>
      </c>
      <c r="AC47">
        <v>58307</v>
      </c>
      <c r="AD47">
        <v>60104</v>
      </c>
      <c r="AE47">
        <v>61978</v>
      </c>
    </row>
    <row r="48" spans="1:31" x14ac:dyDescent="0.3">
      <c r="A48" t="s">
        <v>286</v>
      </c>
      <c r="B48" t="s">
        <v>214</v>
      </c>
      <c r="C48" t="s">
        <v>0</v>
      </c>
      <c r="D48" t="s">
        <v>215</v>
      </c>
      <c r="E48" t="s">
        <v>123</v>
      </c>
      <c r="F48">
        <v>43071</v>
      </c>
      <c r="G48">
        <v>45737</v>
      </c>
      <c r="H48">
        <v>46036</v>
      </c>
      <c r="I48">
        <v>47025</v>
      </c>
      <c r="J48">
        <v>46585</v>
      </c>
      <c r="K48">
        <v>48551</v>
      </c>
      <c r="L48">
        <v>50989</v>
      </c>
      <c r="M48">
        <v>54306</v>
      </c>
      <c r="N48">
        <v>53608</v>
      </c>
      <c r="O48">
        <v>55194</v>
      </c>
      <c r="P48">
        <v>57661</v>
      </c>
      <c r="Q48">
        <v>61191</v>
      </c>
      <c r="R48">
        <v>65012</v>
      </c>
      <c r="S48">
        <v>70148</v>
      </c>
      <c r="T48">
        <v>76014</v>
      </c>
      <c r="U48">
        <v>75853</v>
      </c>
      <c r="V48">
        <v>75397</v>
      </c>
      <c r="W48">
        <v>79355</v>
      </c>
      <c r="X48">
        <v>84045</v>
      </c>
      <c r="Y48">
        <v>86821</v>
      </c>
      <c r="Z48">
        <v>88330</v>
      </c>
      <c r="AA48">
        <v>88553</v>
      </c>
      <c r="AB48">
        <v>89663</v>
      </c>
      <c r="AC48">
        <v>93473</v>
      </c>
      <c r="AD48">
        <v>97699</v>
      </c>
      <c r="AE48">
        <v>102666</v>
      </c>
    </row>
    <row r="49" spans="1:31" x14ac:dyDescent="0.3">
      <c r="A49" t="s">
        <v>286</v>
      </c>
      <c r="B49" t="s">
        <v>216</v>
      </c>
      <c r="C49" t="s">
        <v>0</v>
      </c>
      <c r="D49" t="s">
        <v>217</v>
      </c>
      <c r="E49" t="s">
        <v>123</v>
      </c>
      <c r="F49">
        <v>8111</v>
      </c>
      <c r="G49">
        <v>8559</v>
      </c>
      <c r="H49">
        <v>8634</v>
      </c>
      <c r="I49">
        <v>8681</v>
      </c>
      <c r="J49">
        <v>7265</v>
      </c>
      <c r="K49">
        <v>7772</v>
      </c>
      <c r="L49">
        <v>8191</v>
      </c>
      <c r="M49">
        <v>8971</v>
      </c>
      <c r="N49">
        <v>9201</v>
      </c>
      <c r="O49">
        <v>9453</v>
      </c>
      <c r="P49">
        <v>9857</v>
      </c>
      <c r="Q49">
        <v>10516</v>
      </c>
      <c r="R49">
        <v>11132</v>
      </c>
      <c r="S49">
        <v>12100</v>
      </c>
      <c r="T49">
        <v>12933</v>
      </c>
      <c r="U49">
        <v>13036</v>
      </c>
      <c r="V49">
        <v>12501</v>
      </c>
      <c r="W49">
        <v>12871</v>
      </c>
      <c r="X49">
        <v>13714</v>
      </c>
      <c r="Y49">
        <v>14204</v>
      </c>
      <c r="Z49">
        <v>14683</v>
      </c>
      <c r="AA49">
        <v>15101</v>
      </c>
      <c r="AB49">
        <v>15742</v>
      </c>
      <c r="AC49">
        <v>16436</v>
      </c>
      <c r="AD49">
        <v>17585</v>
      </c>
      <c r="AE49">
        <v>19072</v>
      </c>
    </row>
    <row r="50" spans="1:31" x14ac:dyDescent="0.3">
      <c r="A50" t="s">
        <v>286</v>
      </c>
      <c r="B50" t="s">
        <v>218</v>
      </c>
      <c r="C50" t="s">
        <v>0</v>
      </c>
      <c r="D50" t="s">
        <v>219</v>
      </c>
      <c r="E50" t="s">
        <v>123</v>
      </c>
      <c r="F50">
        <v>7515</v>
      </c>
      <c r="G50">
        <v>7959</v>
      </c>
      <c r="H50">
        <v>7961</v>
      </c>
      <c r="I50">
        <v>7884</v>
      </c>
      <c r="J50">
        <v>8191</v>
      </c>
      <c r="K50">
        <v>8713</v>
      </c>
      <c r="L50">
        <v>9105</v>
      </c>
      <c r="M50">
        <v>9875</v>
      </c>
      <c r="N50">
        <v>9932</v>
      </c>
      <c r="O50">
        <v>10018</v>
      </c>
      <c r="P50">
        <v>10364</v>
      </c>
      <c r="Q50">
        <v>11074</v>
      </c>
      <c r="R50">
        <v>11763</v>
      </c>
      <c r="S50">
        <v>12833</v>
      </c>
      <c r="T50">
        <v>13941</v>
      </c>
      <c r="U50">
        <v>14031</v>
      </c>
      <c r="V50">
        <v>13422</v>
      </c>
      <c r="W50">
        <v>14084</v>
      </c>
      <c r="X50">
        <v>15270</v>
      </c>
      <c r="Y50">
        <v>16023</v>
      </c>
      <c r="Z50">
        <v>16335</v>
      </c>
      <c r="AA50">
        <v>16805</v>
      </c>
      <c r="AB50">
        <v>17773</v>
      </c>
      <c r="AC50">
        <v>18730</v>
      </c>
      <c r="AD50">
        <v>20010</v>
      </c>
      <c r="AE50">
        <v>21616</v>
      </c>
    </row>
    <row r="51" spans="1:31" x14ac:dyDescent="0.3">
      <c r="A51" t="s">
        <v>286</v>
      </c>
      <c r="B51" t="s">
        <v>220</v>
      </c>
      <c r="C51" t="s">
        <v>0</v>
      </c>
      <c r="D51" t="s">
        <v>221</v>
      </c>
      <c r="E51" t="s">
        <v>123</v>
      </c>
      <c r="F51">
        <v>4516</v>
      </c>
      <c r="G51">
        <v>4723</v>
      </c>
      <c r="H51">
        <v>4703</v>
      </c>
      <c r="I51">
        <v>4637</v>
      </c>
      <c r="J51">
        <v>4778</v>
      </c>
      <c r="K51">
        <v>5027</v>
      </c>
      <c r="L51">
        <v>5221</v>
      </c>
      <c r="M51">
        <v>5653</v>
      </c>
      <c r="N51">
        <v>5672</v>
      </c>
      <c r="O51">
        <v>5701</v>
      </c>
      <c r="P51">
        <v>5883</v>
      </c>
      <c r="Q51">
        <v>6300</v>
      </c>
      <c r="R51">
        <v>6640</v>
      </c>
      <c r="S51">
        <v>7187</v>
      </c>
      <c r="T51">
        <v>7801</v>
      </c>
      <c r="U51">
        <v>7834</v>
      </c>
      <c r="V51">
        <v>7493</v>
      </c>
      <c r="W51">
        <v>7880</v>
      </c>
      <c r="X51">
        <v>8571</v>
      </c>
      <c r="Y51">
        <v>9011</v>
      </c>
      <c r="Z51">
        <v>9183</v>
      </c>
      <c r="AA51">
        <v>9489</v>
      </c>
      <c r="AB51">
        <v>10141</v>
      </c>
      <c r="AC51">
        <v>10810</v>
      </c>
      <c r="AD51">
        <v>11680</v>
      </c>
      <c r="AE51">
        <v>12743</v>
      </c>
    </row>
    <row r="52" spans="1:31" x14ac:dyDescent="0.3">
      <c r="A52" t="s">
        <v>286</v>
      </c>
      <c r="B52" t="s">
        <v>222</v>
      </c>
      <c r="C52" t="s">
        <v>0</v>
      </c>
      <c r="D52" t="s">
        <v>223</v>
      </c>
      <c r="E52" t="s">
        <v>123</v>
      </c>
      <c r="F52">
        <v>2999</v>
      </c>
      <c r="G52">
        <v>3236</v>
      </c>
      <c r="H52">
        <v>3258</v>
      </c>
      <c r="I52">
        <v>3247</v>
      </c>
      <c r="J52">
        <v>3413</v>
      </c>
      <c r="K52">
        <v>3686</v>
      </c>
      <c r="L52">
        <v>3884</v>
      </c>
      <c r="M52">
        <v>4222</v>
      </c>
      <c r="N52">
        <v>4260</v>
      </c>
      <c r="O52">
        <v>4317</v>
      </c>
      <c r="P52">
        <v>4481</v>
      </c>
      <c r="Q52">
        <v>4774</v>
      </c>
      <c r="R52">
        <v>5123</v>
      </c>
      <c r="S52">
        <v>5646</v>
      </c>
      <c r="T52">
        <v>6140</v>
      </c>
      <c r="U52">
        <v>6197</v>
      </c>
      <c r="V52">
        <v>5929</v>
      </c>
      <c r="W52">
        <v>6204</v>
      </c>
      <c r="X52">
        <v>6699</v>
      </c>
      <c r="Y52">
        <v>7012</v>
      </c>
      <c r="Z52">
        <v>7152</v>
      </c>
      <c r="AA52">
        <v>7316</v>
      </c>
      <c r="AB52">
        <v>7632</v>
      </c>
      <c r="AC52">
        <v>7920</v>
      </c>
      <c r="AD52">
        <v>8330</v>
      </c>
      <c r="AE52">
        <v>8873</v>
      </c>
    </row>
    <row r="53" spans="1:31" x14ac:dyDescent="0.3">
      <c r="A53" t="s">
        <v>286</v>
      </c>
      <c r="B53" t="s">
        <v>224</v>
      </c>
      <c r="C53" t="s">
        <v>0</v>
      </c>
      <c r="D53" t="s">
        <v>225</v>
      </c>
      <c r="E53" t="s">
        <v>123</v>
      </c>
      <c r="F53">
        <v>5350</v>
      </c>
      <c r="G53">
        <v>5639</v>
      </c>
      <c r="H53">
        <v>5716</v>
      </c>
      <c r="I53">
        <v>5861</v>
      </c>
      <c r="J53">
        <v>6068</v>
      </c>
      <c r="K53">
        <v>6392</v>
      </c>
      <c r="L53">
        <v>6719</v>
      </c>
      <c r="M53">
        <v>7146</v>
      </c>
      <c r="N53">
        <v>7243</v>
      </c>
      <c r="O53">
        <v>7355</v>
      </c>
      <c r="P53">
        <v>7621</v>
      </c>
      <c r="Q53">
        <v>8039</v>
      </c>
      <c r="R53">
        <v>8539</v>
      </c>
      <c r="S53">
        <v>9123</v>
      </c>
      <c r="T53">
        <v>9771</v>
      </c>
      <c r="U53">
        <v>9641</v>
      </c>
      <c r="V53">
        <v>9428</v>
      </c>
      <c r="W53">
        <v>9857</v>
      </c>
      <c r="X53">
        <v>10383</v>
      </c>
      <c r="Y53">
        <v>10562</v>
      </c>
      <c r="Z53">
        <v>10717</v>
      </c>
      <c r="AA53">
        <v>10569</v>
      </c>
      <c r="AB53">
        <v>10912</v>
      </c>
      <c r="AC53">
        <v>11486</v>
      </c>
      <c r="AD53">
        <v>12125</v>
      </c>
      <c r="AE53">
        <v>12725</v>
      </c>
    </row>
    <row r="54" spans="1:31" x14ac:dyDescent="0.3">
      <c r="A54" t="s">
        <v>286</v>
      </c>
      <c r="B54" t="s">
        <v>226</v>
      </c>
      <c r="C54" t="s">
        <v>0</v>
      </c>
      <c r="D54" t="s">
        <v>227</v>
      </c>
      <c r="E54" t="s">
        <v>123</v>
      </c>
      <c r="F54">
        <v>7257</v>
      </c>
      <c r="G54">
        <v>7625</v>
      </c>
      <c r="H54">
        <v>7706</v>
      </c>
      <c r="I54">
        <v>7863</v>
      </c>
      <c r="J54">
        <v>8194</v>
      </c>
      <c r="K54">
        <v>8656</v>
      </c>
      <c r="L54">
        <v>9065</v>
      </c>
      <c r="M54">
        <v>9638</v>
      </c>
      <c r="N54">
        <v>9723</v>
      </c>
      <c r="O54">
        <v>9860</v>
      </c>
      <c r="P54">
        <v>10217</v>
      </c>
      <c r="Q54">
        <v>10775</v>
      </c>
      <c r="R54">
        <v>11388</v>
      </c>
      <c r="S54">
        <v>12205</v>
      </c>
      <c r="T54">
        <v>13022</v>
      </c>
      <c r="U54">
        <v>12940</v>
      </c>
      <c r="V54">
        <v>12558</v>
      </c>
      <c r="W54">
        <v>13056</v>
      </c>
      <c r="X54">
        <v>13738</v>
      </c>
      <c r="Y54">
        <v>13986</v>
      </c>
      <c r="Z54">
        <v>14129</v>
      </c>
      <c r="AA54">
        <v>13952</v>
      </c>
      <c r="AB54">
        <v>14326</v>
      </c>
      <c r="AC54">
        <v>14934</v>
      </c>
      <c r="AD54">
        <v>15660</v>
      </c>
      <c r="AE54">
        <v>16379</v>
      </c>
    </row>
    <row r="55" spans="1:31" x14ac:dyDescent="0.3">
      <c r="A55" t="s">
        <v>286</v>
      </c>
      <c r="B55" t="s">
        <v>228</v>
      </c>
      <c r="C55" t="s">
        <v>0</v>
      </c>
      <c r="D55" t="s">
        <v>229</v>
      </c>
      <c r="E55" t="s">
        <v>123</v>
      </c>
      <c r="F55">
        <v>1907</v>
      </c>
      <c r="G55">
        <v>1986</v>
      </c>
      <c r="H55">
        <v>1990</v>
      </c>
      <c r="I55">
        <v>2002</v>
      </c>
      <c r="J55">
        <v>2126</v>
      </c>
      <c r="K55">
        <v>2264</v>
      </c>
      <c r="L55">
        <v>2346</v>
      </c>
      <c r="M55">
        <v>2492</v>
      </c>
      <c r="N55">
        <v>2480</v>
      </c>
      <c r="O55">
        <v>2505</v>
      </c>
      <c r="P55">
        <v>2596</v>
      </c>
      <c r="Q55">
        <v>2736</v>
      </c>
      <c r="R55">
        <v>2849</v>
      </c>
      <c r="S55">
        <v>3082</v>
      </c>
      <c r="T55">
        <v>3251</v>
      </c>
      <c r="U55">
        <v>3299</v>
      </c>
      <c r="V55">
        <v>3130</v>
      </c>
      <c r="W55">
        <v>3199</v>
      </c>
      <c r="X55">
        <v>3355</v>
      </c>
      <c r="Y55">
        <v>3424</v>
      </c>
      <c r="Z55">
        <v>3412</v>
      </c>
      <c r="AA55">
        <v>3383</v>
      </c>
      <c r="AB55">
        <v>3414</v>
      </c>
      <c r="AC55">
        <v>3448</v>
      </c>
      <c r="AD55">
        <v>3535</v>
      </c>
      <c r="AE55">
        <v>3654</v>
      </c>
    </row>
    <row r="56" spans="1:31" x14ac:dyDescent="0.3">
      <c r="A56" t="s">
        <v>286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286</v>
      </c>
      <c r="B57" t="s">
        <v>232</v>
      </c>
      <c r="C57" t="s">
        <v>0</v>
      </c>
      <c r="D57" t="s">
        <v>233</v>
      </c>
      <c r="E57" t="s">
        <v>123</v>
      </c>
      <c r="F57">
        <v>120699</v>
      </c>
      <c r="G57">
        <v>125865</v>
      </c>
      <c r="H57">
        <v>125903</v>
      </c>
      <c r="I57">
        <v>127988</v>
      </c>
      <c r="J57">
        <v>132587</v>
      </c>
      <c r="K57">
        <v>140367</v>
      </c>
      <c r="L57">
        <v>148851</v>
      </c>
      <c r="M57">
        <v>159406</v>
      </c>
      <c r="N57">
        <v>161144</v>
      </c>
      <c r="O57">
        <v>164200</v>
      </c>
      <c r="P57">
        <v>171179</v>
      </c>
      <c r="Q57">
        <v>181920</v>
      </c>
      <c r="R57">
        <v>195103</v>
      </c>
      <c r="S57">
        <v>213522</v>
      </c>
      <c r="T57">
        <v>229702</v>
      </c>
      <c r="U57">
        <v>229364</v>
      </c>
      <c r="V57">
        <v>224234</v>
      </c>
      <c r="W57">
        <v>233874</v>
      </c>
      <c r="X57">
        <v>248489</v>
      </c>
      <c r="Y57">
        <v>254830</v>
      </c>
      <c r="Z57">
        <v>258229</v>
      </c>
      <c r="AA57">
        <v>259633</v>
      </c>
      <c r="AB57">
        <v>265294</v>
      </c>
      <c r="AC57">
        <v>275668</v>
      </c>
      <c r="AD57">
        <v>290962</v>
      </c>
      <c r="AE57">
        <v>306787</v>
      </c>
    </row>
    <row r="58" spans="1:31" x14ac:dyDescent="0.3">
      <c r="A58" t="s">
        <v>286</v>
      </c>
      <c r="B58" t="s">
        <v>234</v>
      </c>
      <c r="C58" t="s">
        <v>0</v>
      </c>
      <c r="D58" t="s">
        <v>235</v>
      </c>
      <c r="E58" t="s">
        <v>123</v>
      </c>
      <c r="F58">
        <v>120699</v>
      </c>
      <c r="G58">
        <v>125865</v>
      </c>
      <c r="H58">
        <v>125903</v>
      </c>
      <c r="I58">
        <v>127988</v>
      </c>
      <c r="J58">
        <v>132587</v>
      </c>
      <c r="K58">
        <v>140367</v>
      </c>
      <c r="L58">
        <v>148851</v>
      </c>
      <c r="M58">
        <v>159406</v>
      </c>
      <c r="N58">
        <v>161144</v>
      </c>
      <c r="O58">
        <v>164200</v>
      </c>
      <c r="P58">
        <v>171179</v>
      </c>
      <c r="Q58">
        <v>181920</v>
      </c>
      <c r="R58">
        <v>195103</v>
      </c>
      <c r="S58">
        <v>213522</v>
      </c>
      <c r="T58">
        <v>229702</v>
      </c>
      <c r="U58">
        <v>229364</v>
      </c>
      <c r="V58">
        <v>224234</v>
      </c>
      <c r="W58">
        <v>233874</v>
      </c>
      <c r="X58">
        <v>248489</v>
      </c>
      <c r="Y58">
        <v>254830</v>
      </c>
      <c r="Z58">
        <v>258229</v>
      </c>
      <c r="AA58">
        <v>259633</v>
      </c>
      <c r="AB58">
        <v>265294</v>
      </c>
      <c r="AC58">
        <v>275668</v>
      </c>
      <c r="AD58">
        <v>290962</v>
      </c>
      <c r="AE58">
        <v>306787</v>
      </c>
    </row>
    <row r="59" spans="1:31" x14ac:dyDescent="0.3">
      <c r="A59" t="s">
        <v>286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287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287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287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287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287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287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287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287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287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287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287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287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287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287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287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287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287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287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287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287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287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287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287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287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287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287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287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287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287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287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287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287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287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287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287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287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287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287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287</v>
      </c>
      <c r="B40" t="s">
        <v>198</v>
      </c>
      <c r="C40" t="s">
        <v>0</v>
      </c>
      <c r="D40" t="s">
        <v>199</v>
      </c>
      <c r="E40" t="s">
        <v>123</v>
      </c>
      <c r="F40">
        <v>116417</v>
      </c>
      <c r="G40">
        <v>125082</v>
      </c>
      <c r="H40">
        <v>126068</v>
      </c>
      <c r="I40">
        <v>134323</v>
      </c>
      <c r="J40">
        <v>146089</v>
      </c>
      <c r="K40">
        <v>155574</v>
      </c>
      <c r="L40">
        <v>169899</v>
      </c>
      <c r="M40">
        <v>179910</v>
      </c>
      <c r="N40">
        <v>179819</v>
      </c>
      <c r="O40">
        <v>184440</v>
      </c>
      <c r="P40">
        <v>193760</v>
      </c>
      <c r="Q40">
        <v>209255</v>
      </c>
      <c r="R40">
        <v>222814</v>
      </c>
      <c r="S40">
        <v>241963</v>
      </c>
      <c r="T40">
        <v>257576</v>
      </c>
      <c r="U40">
        <v>254934</v>
      </c>
      <c r="V40">
        <v>251665</v>
      </c>
      <c r="W40">
        <v>265938</v>
      </c>
      <c r="X40">
        <v>284698</v>
      </c>
      <c r="Y40">
        <v>293808</v>
      </c>
      <c r="Z40">
        <v>299875</v>
      </c>
      <c r="AA40">
        <v>306708</v>
      </c>
      <c r="AB40">
        <v>319765</v>
      </c>
      <c r="AC40">
        <v>337064</v>
      </c>
      <c r="AD40">
        <v>357400</v>
      </c>
      <c r="AE40">
        <v>378827</v>
      </c>
    </row>
    <row r="41" spans="1:31" x14ac:dyDescent="0.3">
      <c r="A41" t="s">
        <v>287</v>
      </c>
      <c r="B41" t="s">
        <v>200</v>
      </c>
      <c r="C41" t="s">
        <v>0</v>
      </c>
      <c r="D41" t="s">
        <v>201</v>
      </c>
      <c r="E41" t="s">
        <v>123</v>
      </c>
      <c r="F41">
        <v>73925</v>
      </c>
      <c r="G41">
        <v>79726</v>
      </c>
      <c r="H41">
        <v>80619</v>
      </c>
      <c r="I41">
        <v>86363</v>
      </c>
      <c r="J41">
        <v>94663</v>
      </c>
      <c r="K41">
        <v>101446</v>
      </c>
      <c r="L41">
        <v>111361</v>
      </c>
      <c r="M41">
        <v>118571</v>
      </c>
      <c r="N41">
        <v>119358</v>
      </c>
      <c r="O41">
        <v>123441</v>
      </c>
      <c r="P41">
        <v>130850</v>
      </c>
      <c r="Q41">
        <v>142601</v>
      </c>
      <c r="R41">
        <v>153189</v>
      </c>
      <c r="S41">
        <v>167573</v>
      </c>
      <c r="T41">
        <v>179597</v>
      </c>
      <c r="U41">
        <v>179148</v>
      </c>
      <c r="V41">
        <v>178208</v>
      </c>
      <c r="W41">
        <v>189586</v>
      </c>
      <c r="X41">
        <v>203639</v>
      </c>
      <c r="Y41">
        <v>211831</v>
      </c>
      <c r="Z41">
        <v>217146</v>
      </c>
      <c r="AA41">
        <v>222815</v>
      </c>
      <c r="AB41">
        <v>233372</v>
      </c>
      <c r="AC41">
        <v>246728</v>
      </c>
      <c r="AD41">
        <v>262361</v>
      </c>
      <c r="AE41">
        <v>278734</v>
      </c>
    </row>
    <row r="42" spans="1:31" x14ac:dyDescent="0.3">
      <c r="A42" t="s">
        <v>287</v>
      </c>
      <c r="B42" t="s">
        <v>202</v>
      </c>
      <c r="C42" t="s">
        <v>0</v>
      </c>
      <c r="D42" t="s">
        <v>203</v>
      </c>
      <c r="E42" t="s">
        <v>123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287</v>
      </c>
      <c r="B43" t="s">
        <v>204</v>
      </c>
      <c r="C43" t="s">
        <v>0</v>
      </c>
      <c r="D43" t="s">
        <v>205</v>
      </c>
      <c r="E43" t="s">
        <v>123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287</v>
      </c>
      <c r="B44" t="s">
        <v>206</v>
      </c>
      <c r="C44" t="s">
        <v>0</v>
      </c>
      <c r="D44" t="s">
        <v>207</v>
      </c>
      <c r="E44" t="s">
        <v>123</v>
      </c>
      <c r="F44">
        <v>2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2</v>
      </c>
      <c r="AC44">
        <v>4</v>
      </c>
      <c r="AD44">
        <v>5</v>
      </c>
      <c r="AE44">
        <v>5</v>
      </c>
    </row>
    <row r="45" spans="1:31" x14ac:dyDescent="0.3">
      <c r="A45" t="s">
        <v>287</v>
      </c>
      <c r="B45" t="s">
        <v>208</v>
      </c>
      <c r="C45" t="s">
        <v>0</v>
      </c>
      <c r="D45" t="s">
        <v>209</v>
      </c>
      <c r="E45" t="s">
        <v>123</v>
      </c>
      <c r="F45">
        <v>2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2</v>
      </c>
      <c r="AC45">
        <v>4</v>
      </c>
      <c r="AD45">
        <v>5</v>
      </c>
      <c r="AE45">
        <v>5</v>
      </c>
    </row>
    <row r="46" spans="1:31" x14ac:dyDescent="0.3">
      <c r="A46" t="s">
        <v>287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287</v>
      </c>
      <c r="B47" t="s">
        <v>212</v>
      </c>
      <c r="C47" t="s">
        <v>0</v>
      </c>
      <c r="D47" t="s">
        <v>213</v>
      </c>
      <c r="E47" t="s">
        <v>123</v>
      </c>
      <c r="F47">
        <v>1724</v>
      </c>
      <c r="G47">
        <v>1728</v>
      </c>
      <c r="H47">
        <v>1690</v>
      </c>
      <c r="I47">
        <v>1707</v>
      </c>
      <c r="J47">
        <v>1756</v>
      </c>
      <c r="K47">
        <v>1728</v>
      </c>
      <c r="L47">
        <v>1745</v>
      </c>
      <c r="M47">
        <v>1757</v>
      </c>
      <c r="N47">
        <v>1648</v>
      </c>
      <c r="O47">
        <v>1588</v>
      </c>
      <c r="P47">
        <v>1568</v>
      </c>
      <c r="Q47">
        <v>1559</v>
      </c>
      <c r="R47">
        <v>1528</v>
      </c>
      <c r="S47">
        <v>1543</v>
      </c>
      <c r="T47">
        <v>1534</v>
      </c>
      <c r="U47">
        <v>1408</v>
      </c>
      <c r="V47">
        <v>1281</v>
      </c>
      <c r="W47">
        <v>1226</v>
      </c>
      <c r="X47">
        <v>1197</v>
      </c>
      <c r="Y47">
        <v>1130</v>
      </c>
      <c r="Z47">
        <v>1057</v>
      </c>
      <c r="AA47">
        <v>982</v>
      </c>
      <c r="AB47">
        <v>937</v>
      </c>
      <c r="AC47">
        <v>893</v>
      </c>
      <c r="AD47">
        <v>864</v>
      </c>
      <c r="AE47">
        <v>847</v>
      </c>
    </row>
    <row r="48" spans="1:31" x14ac:dyDescent="0.3">
      <c r="A48" t="s">
        <v>287</v>
      </c>
      <c r="B48" t="s">
        <v>214</v>
      </c>
      <c r="C48" t="s">
        <v>0</v>
      </c>
      <c r="D48" t="s">
        <v>215</v>
      </c>
      <c r="E48" t="s">
        <v>123</v>
      </c>
      <c r="F48">
        <v>2173</v>
      </c>
      <c r="G48">
        <v>2208</v>
      </c>
      <c r="H48">
        <v>2161</v>
      </c>
      <c r="I48">
        <v>2189</v>
      </c>
      <c r="J48">
        <v>2260</v>
      </c>
      <c r="K48">
        <v>2240</v>
      </c>
      <c r="L48">
        <v>2273</v>
      </c>
      <c r="M48">
        <v>2292</v>
      </c>
      <c r="N48">
        <v>2155</v>
      </c>
      <c r="O48">
        <v>2085</v>
      </c>
      <c r="P48">
        <v>2061</v>
      </c>
      <c r="Q48">
        <v>2062</v>
      </c>
      <c r="R48">
        <v>2037</v>
      </c>
      <c r="S48">
        <v>2074</v>
      </c>
      <c r="T48">
        <v>2071</v>
      </c>
      <c r="U48">
        <v>1917</v>
      </c>
      <c r="V48">
        <v>1756</v>
      </c>
      <c r="W48">
        <v>1705</v>
      </c>
      <c r="X48">
        <v>1686</v>
      </c>
      <c r="Y48">
        <v>1608</v>
      </c>
      <c r="Z48">
        <v>1533</v>
      </c>
      <c r="AA48">
        <v>1455</v>
      </c>
      <c r="AB48">
        <v>1411</v>
      </c>
      <c r="AC48">
        <v>1365</v>
      </c>
      <c r="AD48">
        <v>1329</v>
      </c>
      <c r="AE48">
        <v>1319</v>
      </c>
    </row>
    <row r="49" spans="1:31" x14ac:dyDescent="0.3">
      <c r="A49" t="s">
        <v>287</v>
      </c>
      <c r="B49" t="s">
        <v>216</v>
      </c>
      <c r="C49" t="s">
        <v>0</v>
      </c>
      <c r="D49" t="s">
        <v>217</v>
      </c>
      <c r="E49" t="s">
        <v>123</v>
      </c>
      <c r="F49">
        <v>127</v>
      </c>
      <c r="G49">
        <v>134</v>
      </c>
      <c r="H49">
        <v>129</v>
      </c>
      <c r="I49">
        <v>132</v>
      </c>
      <c r="J49">
        <v>136</v>
      </c>
      <c r="K49">
        <v>136</v>
      </c>
      <c r="L49">
        <v>141</v>
      </c>
      <c r="M49">
        <v>142</v>
      </c>
      <c r="N49">
        <v>135</v>
      </c>
      <c r="O49">
        <v>132</v>
      </c>
      <c r="P49">
        <v>129</v>
      </c>
      <c r="Q49">
        <v>134</v>
      </c>
      <c r="R49">
        <v>134</v>
      </c>
      <c r="S49">
        <v>136</v>
      </c>
      <c r="T49">
        <v>137</v>
      </c>
      <c r="U49">
        <v>127</v>
      </c>
      <c r="V49">
        <v>118</v>
      </c>
      <c r="W49">
        <v>116</v>
      </c>
      <c r="X49">
        <v>117</v>
      </c>
      <c r="Y49">
        <v>113</v>
      </c>
      <c r="Z49">
        <v>114</v>
      </c>
      <c r="AA49">
        <v>110</v>
      </c>
      <c r="AB49">
        <v>109</v>
      </c>
      <c r="AC49">
        <v>106</v>
      </c>
      <c r="AD49">
        <v>92</v>
      </c>
      <c r="AE49">
        <v>92</v>
      </c>
    </row>
    <row r="50" spans="1:31" x14ac:dyDescent="0.3">
      <c r="A50" t="s">
        <v>287</v>
      </c>
      <c r="B50" t="s">
        <v>218</v>
      </c>
      <c r="C50" t="s">
        <v>0</v>
      </c>
      <c r="D50" t="s">
        <v>219</v>
      </c>
      <c r="E50" t="s">
        <v>123</v>
      </c>
      <c r="F50">
        <v>322</v>
      </c>
      <c r="G50">
        <v>346</v>
      </c>
      <c r="H50">
        <v>342</v>
      </c>
      <c r="I50">
        <v>350</v>
      </c>
      <c r="J50">
        <v>368</v>
      </c>
      <c r="K50">
        <v>376</v>
      </c>
      <c r="L50">
        <v>387</v>
      </c>
      <c r="M50">
        <v>393</v>
      </c>
      <c r="N50">
        <v>372</v>
      </c>
      <c r="O50">
        <v>365</v>
      </c>
      <c r="P50">
        <v>364</v>
      </c>
      <c r="Q50">
        <v>369</v>
      </c>
      <c r="R50">
        <v>375</v>
      </c>
      <c r="S50">
        <v>395</v>
      </c>
      <c r="T50">
        <v>400</v>
      </c>
      <c r="U50">
        <v>382</v>
      </c>
      <c r="V50">
        <v>357</v>
      </c>
      <c r="W50">
        <v>363</v>
      </c>
      <c r="X50">
        <v>372</v>
      </c>
      <c r="Y50">
        <v>365</v>
      </c>
      <c r="Z50">
        <v>362</v>
      </c>
      <c r="AA50">
        <v>363</v>
      </c>
      <c r="AB50">
        <v>365</v>
      </c>
      <c r="AC50">
        <v>366</v>
      </c>
      <c r="AD50">
        <v>373</v>
      </c>
      <c r="AE50">
        <v>380</v>
      </c>
    </row>
    <row r="51" spans="1:31" x14ac:dyDescent="0.3">
      <c r="A51" t="s">
        <v>287</v>
      </c>
      <c r="B51" t="s">
        <v>220</v>
      </c>
      <c r="C51" t="s">
        <v>0</v>
      </c>
      <c r="D51" t="s">
        <v>221</v>
      </c>
      <c r="E51" t="s">
        <v>123</v>
      </c>
      <c r="F51">
        <v>35</v>
      </c>
      <c r="G51">
        <v>35</v>
      </c>
      <c r="H51">
        <v>33</v>
      </c>
      <c r="I51">
        <v>33</v>
      </c>
      <c r="J51">
        <v>34</v>
      </c>
      <c r="K51">
        <v>33</v>
      </c>
      <c r="L51">
        <v>27</v>
      </c>
      <c r="M51">
        <v>22</v>
      </c>
      <c r="N51">
        <v>17</v>
      </c>
      <c r="O51">
        <v>16</v>
      </c>
      <c r="P51">
        <v>14</v>
      </c>
      <c r="Q51">
        <v>10</v>
      </c>
      <c r="R51">
        <v>10</v>
      </c>
      <c r="S51">
        <v>10</v>
      </c>
      <c r="T51">
        <v>9</v>
      </c>
      <c r="U51">
        <v>8</v>
      </c>
      <c r="V51">
        <v>7</v>
      </c>
      <c r="W51">
        <v>8</v>
      </c>
      <c r="X51">
        <v>8</v>
      </c>
      <c r="Y51">
        <v>7</v>
      </c>
      <c r="Z51">
        <v>6</v>
      </c>
      <c r="AA51">
        <v>5</v>
      </c>
      <c r="AB51">
        <v>5</v>
      </c>
      <c r="AC51">
        <v>4</v>
      </c>
      <c r="AD51">
        <v>1</v>
      </c>
      <c r="AE51">
        <v>0</v>
      </c>
    </row>
    <row r="52" spans="1:31" x14ac:dyDescent="0.3">
      <c r="A52" t="s">
        <v>287</v>
      </c>
      <c r="B52" t="s">
        <v>222</v>
      </c>
      <c r="C52" t="s">
        <v>0</v>
      </c>
      <c r="D52" t="s">
        <v>223</v>
      </c>
      <c r="E52" t="s">
        <v>123</v>
      </c>
      <c r="F52">
        <v>287</v>
      </c>
      <c r="G52">
        <v>311</v>
      </c>
      <c r="H52">
        <v>309</v>
      </c>
      <c r="I52">
        <v>317</v>
      </c>
      <c r="J52">
        <v>334</v>
      </c>
      <c r="K52">
        <v>343</v>
      </c>
      <c r="L52">
        <v>360</v>
      </c>
      <c r="M52">
        <v>371</v>
      </c>
      <c r="N52">
        <v>355</v>
      </c>
      <c r="O52">
        <v>349</v>
      </c>
      <c r="P52">
        <v>350</v>
      </c>
      <c r="Q52">
        <v>359</v>
      </c>
      <c r="R52">
        <v>365</v>
      </c>
      <c r="S52">
        <v>385</v>
      </c>
      <c r="T52">
        <v>391</v>
      </c>
      <c r="U52">
        <v>374</v>
      </c>
      <c r="V52">
        <v>350</v>
      </c>
      <c r="W52">
        <v>355</v>
      </c>
      <c r="X52">
        <v>364</v>
      </c>
      <c r="Y52">
        <v>358</v>
      </c>
      <c r="Z52">
        <v>356</v>
      </c>
      <c r="AA52">
        <v>358</v>
      </c>
      <c r="AB52">
        <v>360</v>
      </c>
      <c r="AC52">
        <v>362</v>
      </c>
      <c r="AD52">
        <v>372</v>
      </c>
      <c r="AE52">
        <v>380</v>
      </c>
    </row>
    <row r="53" spans="1:31" x14ac:dyDescent="0.3">
      <c r="A53" t="s">
        <v>287</v>
      </c>
      <c r="B53" t="s">
        <v>224</v>
      </c>
      <c r="C53" t="s">
        <v>0</v>
      </c>
      <c r="D53" t="s">
        <v>225</v>
      </c>
      <c r="E53" t="s">
        <v>123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2</v>
      </c>
      <c r="AC53">
        <v>4</v>
      </c>
      <c r="AD53">
        <v>5</v>
      </c>
      <c r="AE53">
        <v>5</v>
      </c>
    </row>
    <row r="54" spans="1:31" x14ac:dyDescent="0.3">
      <c r="A54" t="s">
        <v>287</v>
      </c>
      <c r="B54" t="s">
        <v>226</v>
      </c>
      <c r="C54" t="s">
        <v>0</v>
      </c>
      <c r="D54" t="s">
        <v>227</v>
      </c>
      <c r="E54" t="s">
        <v>123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2</v>
      </c>
      <c r="AC54">
        <v>4</v>
      </c>
      <c r="AD54">
        <v>5</v>
      </c>
      <c r="AE54">
        <v>5</v>
      </c>
    </row>
    <row r="55" spans="1:31" x14ac:dyDescent="0.3">
      <c r="A55" t="s">
        <v>287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287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287</v>
      </c>
      <c r="B57" t="s">
        <v>232</v>
      </c>
      <c r="C57" t="s">
        <v>0</v>
      </c>
      <c r="D57" t="s">
        <v>233</v>
      </c>
      <c r="E57" t="s">
        <v>123</v>
      </c>
      <c r="F57">
        <v>118592</v>
      </c>
      <c r="G57">
        <v>127292</v>
      </c>
      <c r="H57">
        <v>128231</v>
      </c>
      <c r="I57">
        <v>136513</v>
      </c>
      <c r="J57">
        <v>148349</v>
      </c>
      <c r="K57">
        <v>157814</v>
      </c>
      <c r="L57">
        <v>172172</v>
      </c>
      <c r="M57">
        <v>182202</v>
      </c>
      <c r="N57">
        <v>181974</v>
      </c>
      <c r="O57">
        <v>186525</v>
      </c>
      <c r="P57">
        <v>195821</v>
      </c>
      <c r="Q57">
        <v>211317</v>
      </c>
      <c r="R57">
        <v>224851</v>
      </c>
      <c r="S57">
        <v>244037</v>
      </c>
      <c r="T57">
        <v>259647</v>
      </c>
      <c r="U57">
        <v>256851</v>
      </c>
      <c r="V57">
        <v>253421</v>
      </c>
      <c r="W57">
        <v>267643</v>
      </c>
      <c r="X57">
        <v>286384</v>
      </c>
      <c r="Y57">
        <v>295416</v>
      </c>
      <c r="Z57">
        <v>301408</v>
      </c>
      <c r="AA57">
        <v>308164</v>
      </c>
      <c r="AB57">
        <v>321178</v>
      </c>
      <c r="AC57">
        <v>338433</v>
      </c>
      <c r="AD57">
        <v>358734</v>
      </c>
      <c r="AE57">
        <v>380151</v>
      </c>
    </row>
    <row r="58" spans="1:31" x14ac:dyDescent="0.3">
      <c r="A58" t="s">
        <v>287</v>
      </c>
      <c r="B58" t="s">
        <v>234</v>
      </c>
      <c r="C58" t="s">
        <v>0</v>
      </c>
      <c r="D58" t="s">
        <v>235</v>
      </c>
      <c r="E58" t="s">
        <v>123</v>
      </c>
      <c r="F58">
        <v>118592</v>
      </c>
      <c r="G58">
        <v>127292</v>
      </c>
      <c r="H58">
        <v>128231</v>
      </c>
      <c r="I58">
        <v>136513</v>
      </c>
      <c r="J58">
        <v>148349</v>
      </c>
      <c r="K58">
        <v>157814</v>
      </c>
      <c r="L58">
        <v>172172</v>
      </c>
      <c r="M58">
        <v>182202</v>
      </c>
      <c r="N58">
        <v>181974</v>
      </c>
      <c r="O58">
        <v>186525</v>
      </c>
      <c r="P58">
        <v>195821</v>
      </c>
      <c r="Q58">
        <v>211317</v>
      </c>
      <c r="R58">
        <v>224851</v>
      </c>
      <c r="S58">
        <v>244037</v>
      </c>
      <c r="T58">
        <v>259647</v>
      </c>
      <c r="U58">
        <v>256851</v>
      </c>
      <c r="V58">
        <v>253421</v>
      </c>
      <c r="W58">
        <v>267643</v>
      </c>
      <c r="X58">
        <v>286384</v>
      </c>
      <c r="Y58">
        <v>295416</v>
      </c>
      <c r="Z58">
        <v>301408</v>
      </c>
      <c r="AA58">
        <v>308164</v>
      </c>
      <c r="AB58">
        <v>321178</v>
      </c>
      <c r="AC58">
        <v>338433</v>
      </c>
      <c r="AD58">
        <v>358734</v>
      </c>
      <c r="AE58">
        <v>380151</v>
      </c>
    </row>
    <row r="59" spans="1:31" x14ac:dyDescent="0.3">
      <c r="A59" t="s">
        <v>287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288</v>
      </c>
      <c r="B2" t="s">
        <v>121</v>
      </c>
      <c r="C2" t="s">
        <v>0</v>
      </c>
      <c r="D2" t="s">
        <v>122</v>
      </c>
      <c r="E2" t="s">
        <v>123</v>
      </c>
      <c r="F2">
        <v>194</v>
      </c>
      <c r="G2">
        <v>205</v>
      </c>
      <c r="H2">
        <v>145</v>
      </c>
      <c r="I2">
        <v>181</v>
      </c>
      <c r="J2">
        <v>158</v>
      </c>
      <c r="K2">
        <v>155</v>
      </c>
      <c r="L2">
        <v>176</v>
      </c>
      <c r="M2">
        <v>179</v>
      </c>
      <c r="N2">
        <v>204</v>
      </c>
      <c r="O2">
        <v>202</v>
      </c>
      <c r="P2">
        <v>174</v>
      </c>
      <c r="Q2">
        <v>184</v>
      </c>
      <c r="R2">
        <v>161</v>
      </c>
      <c r="S2">
        <v>162</v>
      </c>
      <c r="T2">
        <v>162</v>
      </c>
      <c r="U2">
        <v>151</v>
      </c>
      <c r="V2">
        <v>141</v>
      </c>
      <c r="W2">
        <v>131</v>
      </c>
      <c r="X2">
        <v>121</v>
      </c>
      <c r="Y2">
        <v>124</v>
      </c>
      <c r="Z2">
        <v>110</v>
      </c>
      <c r="AA2">
        <v>98</v>
      </c>
      <c r="AB2">
        <v>93</v>
      </c>
      <c r="AC2">
        <v>84</v>
      </c>
      <c r="AD2">
        <v>87</v>
      </c>
      <c r="AE2">
        <v>100</v>
      </c>
    </row>
    <row r="3" spans="1:31" x14ac:dyDescent="0.3">
      <c r="A3" t="s">
        <v>288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288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288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288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288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288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288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288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288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288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288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288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288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288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288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288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288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288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288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288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288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288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288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288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288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288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288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288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288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288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288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288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288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288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288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288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288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288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288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288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288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288</v>
      </c>
      <c r="B44" t="s">
        <v>206</v>
      </c>
      <c r="C44" t="s">
        <v>0</v>
      </c>
      <c r="D44" t="s">
        <v>207</v>
      </c>
      <c r="E44" t="s">
        <v>123</v>
      </c>
      <c r="F44">
        <v>223</v>
      </c>
      <c r="G44">
        <v>232</v>
      </c>
      <c r="H44">
        <v>163</v>
      </c>
      <c r="I44">
        <v>203</v>
      </c>
      <c r="J44">
        <v>176</v>
      </c>
      <c r="K44">
        <v>173</v>
      </c>
      <c r="L44">
        <v>198</v>
      </c>
      <c r="M44">
        <v>202</v>
      </c>
      <c r="N44">
        <v>232</v>
      </c>
      <c r="O44">
        <v>231</v>
      </c>
      <c r="P44">
        <v>200</v>
      </c>
      <c r="Q44">
        <v>215</v>
      </c>
      <c r="R44">
        <v>192</v>
      </c>
      <c r="S44">
        <v>197</v>
      </c>
      <c r="T44">
        <v>201</v>
      </c>
      <c r="U44">
        <v>191</v>
      </c>
      <c r="V44">
        <v>181</v>
      </c>
      <c r="W44">
        <v>174</v>
      </c>
      <c r="X44">
        <v>157</v>
      </c>
      <c r="Y44">
        <v>163</v>
      </c>
      <c r="Z44">
        <v>148</v>
      </c>
      <c r="AA44">
        <v>137</v>
      </c>
      <c r="AB44">
        <v>113</v>
      </c>
      <c r="AC44">
        <v>107</v>
      </c>
      <c r="AD44">
        <v>112</v>
      </c>
      <c r="AE44">
        <v>118</v>
      </c>
    </row>
    <row r="45" spans="1:31" x14ac:dyDescent="0.3">
      <c r="A45" t="s">
        <v>288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288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288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288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288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288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288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288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288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288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288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288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288</v>
      </c>
      <c r="B57" t="s">
        <v>232</v>
      </c>
      <c r="C57" t="s">
        <v>0</v>
      </c>
      <c r="D57" t="s">
        <v>233</v>
      </c>
      <c r="E57" t="s">
        <v>123</v>
      </c>
      <c r="F57">
        <v>223</v>
      </c>
      <c r="G57">
        <v>232</v>
      </c>
      <c r="H57">
        <v>163</v>
      </c>
      <c r="I57">
        <v>203</v>
      </c>
      <c r="J57">
        <v>176</v>
      </c>
      <c r="K57">
        <v>173</v>
      </c>
      <c r="L57">
        <v>198</v>
      </c>
      <c r="M57">
        <v>202</v>
      </c>
      <c r="N57">
        <v>232</v>
      </c>
      <c r="O57">
        <v>231</v>
      </c>
      <c r="P57">
        <v>200</v>
      </c>
      <c r="Q57">
        <v>215</v>
      </c>
      <c r="R57">
        <v>192</v>
      </c>
      <c r="S57">
        <v>197</v>
      </c>
      <c r="T57">
        <v>201</v>
      </c>
      <c r="U57">
        <v>191</v>
      </c>
      <c r="V57">
        <v>181</v>
      </c>
      <c r="W57">
        <v>174</v>
      </c>
      <c r="X57">
        <v>157</v>
      </c>
      <c r="Y57">
        <v>163</v>
      </c>
      <c r="Z57">
        <v>148</v>
      </c>
      <c r="AA57">
        <v>137</v>
      </c>
      <c r="AB57">
        <v>113</v>
      </c>
      <c r="AC57">
        <v>107</v>
      </c>
      <c r="AD57">
        <v>112</v>
      </c>
      <c r="AE57">
        <v>118</v>
      </c>
    </row>
    <row r="58" spans="1:31" x14ac:dyDescent="0.3">
      <c r="A58" t="s">
        <v>288</v>
      </c>
      <c r="B58" t="s">
        <v>234</v>
      </c>
      <c r="C58" t="s">
        <v>0</v>
      </c>
      <c r="D58" t="s">
        <v>235</v>
      </c>
      <c r="E58" t="s">
        <v>123</v>
      </c>
      <c r="F58">
        <v>223</v>
      </c>
      <c r="G58">
        <v>232</v>
      </c>
      <c r="H58">
        <v>163</v>
      </c>
      <c r="I58">
        <v>203</v>
      </c>
      <c r="J58">
        <v>176</v>
      </c>
      <c r="K58">
        <v>173</v>
      </c>
      <c r="L58">
        <v>198</v>
      </c>
      <c r="M58">
        <v>202</v>
      </c>
      <c r="N58">
        <v>232</v>
      </c>
      <c r="O58">
        <v>231</v>
      </c>
      <c r="P58">
        <v>200</v>
      </c>
      <c r="Q58">
        <v>215</v>
      </c>
      <c r="R58">
        <v>192</v>
      </c>
      <c r="S58">
        <v>197</v>
      </c>
      <c r="T58">
        <v>201</v>
      </c>
      <c r="U58">
        <v>191</v>
      </c>
      <c r="V58">
        <v>181</v>
      </c>
      <c r="W58">
        <v>174</v>
      </c>
      <c r="X58">
        <v>157</v>
      </c>
      <c r="Y58">
        <v>163</v>
      </c>
      <c r="Z58">
        <v>148</v>
      </c>
      <c r="AA58">
        <v>137</v>
      </c>
      <c r="AB58">
        <v>113</v>
      </c>
      <c r="AC58">
        <v>107</v>
      </c>
      <c r="AD58">
        <v>112</v>
      </c>
      <c r="AE58">
        <v>118</v>
      </c>
    </row>
    <row r="59" spans="1:31" x14ac:dyDescent="0.3">
      <c r="A59" t="s">
        <v>288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289</v>
      </c>
      <c r="B2" t="s">
        <v>121</v>
      </c>
      <c r="C2" t="s">
        <v>0</v>
      </c>
      <c r="D2" t="s">
        <v>122</v>
      </c>
      <c r="E2" t="s">
        <v>123</v>
      </c>
      <c r="F2">
        <v>10</v>
      </c>
      <c r="G2">
        <v>9</v>
      </c>
      <c r="H2">
        <v>7</v>
      </c>
      <c r="I2">
        <v>9</v>
      </c>
      <c r="J2">
        <v>10</v>
      </c>
      <c r="K2">
        <v>9</v>
      </c>
      <c r="L2">
        <v>8</v>
      </c>
      <c r="M2">
        <v>8</v>
      </c>
      <c r="N2">
        <v>7</v>
      </c>
      <c r="O2">
        <v>5</v>
      </c>
      <c r="P2">
        <v>4</v>
      </c>
      <c r="Q2">
        <v>4</v>
      </c>
      <c r="R2">
        <v>3</v>
      </c>
      <c r="S2">
        <v>3</v>
      </c>
      <c r="T2">
        <v>3</v>
      </c>
      <c r="U2">
        <v>5</v>
      </c>
      <c r="V2">
        <v>9</v>
      </c>
      <c r="W2">
        <v>10</v>
      </c>
      <c r="X2">
        <v>8</v>
      </c>
      <c r="Y2">
        <v>9</v>
      </c>
      <c r="Z2">
        <v>8</v>
      </c>
      <c r="AA2">
        <v>9</v>
      </c>
      <c r="AB2">
        <v>11</v>
      </c>
      <c r="AC2">
        <v>21</v>
      </c>
      <c r="AD2">
        <v>31</v>
      </c>
      <c r="AE2">
        <v>38</v>
      </c>
    </row>
    <row r="3" spans="1:31" x14ac:dyDescent="0.3">
      <c r="A3" t="s">
        <v>289</v>
      </c>
      <c r="B3" t="s">
        <v>124</v>
      </c>
      <c r="C3" t="s">
        <v>0</v>
      </c>
      <c r="D3" t="s">
        <v>125</v>
      </c>
      <c r="E3" t="s">
        <v>123</v>
      </c>
      <c r="F3">
        <v>20</v>
      </c>
      <c r="G3">
        <v>22</v>
      </c>
      <c r="H3">
        <v>22</v>
      </c>
      <c r="I3">
        <v>26</v>
      </c>
      <c r="J3">
        <v>30</v>
      </c>
      <c r="K3">
        <v>34</v>
      </c>
      <c r="L3">
        <v>32</v>
      </c>
      <c r="M3">
        <v>30</v>
      </c>
      <c r="N3">
        <v>29</v>
      </c>
      <c r="O3">
        <v>29</v>
      </c>
      <c r="P3">
        <v>27</v>
      </c>
      <c r="Q3">
        <v>26</v>
      </c>
      <c r="R3">
        <v>26</v>
      </c>
      <c r="S3">
        <v>29</v>
      </c>
      <c r="T3">
        <v>38</v>
      </c>
      <c r="U3">
        <v>42</v>
      </c>
      <c r="V3">
        <v>42</v>
      </c>
      <c r="W3">
        <v>41</v>
      </c>
      <c r="X3">
        <v>42</v>
      </c>
      <c r="Y3">
        <v>39</v>
      </c>
      <c r="Z3">
        <v>36</v>
      </c>
      <c r="AA3">
        <v>42</v>
      </c>
      <c r="AB3">
        <v>56</v>
      </c>
      <c r="AC3">
        <v>61</v>
      </c>
      <c r="AD3">
        <v>56</v>
      </c>
      <c r="AE3">
        <v>61</v>
      </c>
    </row>
    <row r="4" spans="1:31" x14ac:dyDescent="0.3">
      <c r="A4" t="s">
        <v>289</v>
      </c>
      <c r="B4" t="s">
        <v>126</v>
      </c>
      <c r="C4" t="s">
        <v>0</v>
      </c>
      <c r="D4" t="s">
        <v>127</v>
      </c>
      <c r="E4" t="s">
        <v>123</v>
      </c>
      <c r="F4">
        <v>4279</v>
      </c>
      <c r="G4">
        <v>4814</v>
      </c>
      <c r="H4">
        <v>5441</v>
      </c>
      <c r="I4">
        <v>6165</v>
      </c>
      <c r="J4">
        <v>7261</v>
      </c>
      <c r="K4">
        <v>8357</v>
      </c>
      <c r="L4">
        <v>9604</v>
      </c>
      <c r="M4">
        <v>10708</v>
      </c>
      <c r="N4">
        <v>11832</v>
      </c>
      <c r="O4">
        <v>12832</v>
      </c>
      <c r="P4">
        <v>13904</v>
      </c>
      <c r="Q4">
        <v>15056</v>
      </c>
      <c r="R4">
        <v>16055</v>
      </c>
      <c r="S4">
        <v>17411</v>
      </c>
      <c r="T4">
        <v>18881</v>
      </c>
      <c r="U4">
        <v>19866</v>
      </c>
      <c r="V4">
        <v>20090</v>
      </c>
      <c r="W4">
        <v>19858</v>
      </c>
      <c r="X4">
        <v>19552</v>
      </c>
      <c r="Y4">
        <v>19115</v>
      </c>
      <c r="Z4">
        <v>18292</v>
      </c>
      <c r="AA4">
        <v>17434</v>
      </c>
      <c r="AB4">
        <v>16663</v>
      </c>
      <c r="AC4">
        <v>16032</v>
      </c>
      <c r="AD4">
        <v>15442</v>
      </c>
      <c r="AE4">
        <v>15540</v>
      </c>
    </row>
    <row r="5" spans="1:31" x14ac:dyDescent="0.3">
      <c r="A5" t="s">
        <v>289</v>
      </c>
      <c r="B5" t="s">
        <v>128</v>
      </c>
      <c r="C5" t="s">
        <v>0</v>
      </c>
      <c r="D5" t="s">
        <v>129</v>
      </c>
      <c r="E5" t="s">
        <v>123</v>
      </c>
      <c r="F5">
        <v>174</v>
      </c>
      <c r="G5">
        <v>183</v>
      </c>
      <c r="H5">
        <v>186</v>
      </c>
      <c r="I5">
        <v>189</v>
      </c>
      <c r="J5">
        <v>197</v>
      </c>
      <c r="K5">
        <v>198</v>
      </c>
      <c r="L5">
        <v>207</v>
      </c>
      <c r="M5">
        <v>215</v>
      </c>
      <c r="N5">
        <v>215</v>
      </c>
      <c r="O5">
        <v>215</v>
      </c>
      <c r="P5">
        <v>227</v>
      </c>
      <c r="Q5">
        <v>236</v>
      </c>
      <c r="R5">
        <v>238</v>
      </c>
      <c r="S5">
        <v>243</v>
      </c>
      <c r="T5">
        <v>258</v>
      </c>
      <c r="U5">
        <v>270</v>
      </c>
      <c r="V5">
        <v>273</v>
      </c>
      <c r="W5">
        <v>279</v>
      </c>
      <c r="X5">
        <v>289</v>
      </c>
      <c r="Y5">
        <v>295</v>
      </c>
      <c r="Z5">
        <v>290</v>
      </c>
      <c r="AA5">
        <v>281</v>
      </c>
      <c r="AB5">
        <v>283</v>
      </c>
      <c r="AC5">
        <v>279</v>
      </c>
      <c r="AD5">
        <v>273</v>
      </c>
      <c r="AE5">
        <v>278</v>
      </c>
    </row>
    <row r="6" spans="1:31" x14ac:dyDescent="0.3">
      <c r="A6" t="s">
        <v>289</v>
      </c>
      <c r="B6" t="s">
        <v>130</v>
      </c>
      <c r="C6" t="s">
        <v>0</v>
      </c>
      <c r="D6" t="s">
        <v>131</v>
      </c>
      <c r="E6" t="s">
        <v>123</v>
      </c>
      <c r="F6">
        <v>22</v>
      </c>
      <c r="G6">
        <v>24</v>
      </c>
      <c r="H6">
        <v>27</v>
      </c>
      <c r="I6">
        <v>31</v>
      </c>
      <c r="J6">
        <v>38</v>
      </c>
      <c r="K6">
        <v>41</v>
      </c>
      <c r="L6">
        <v>50</v>
      </c>
      <c r="M6">
        <v>51</v>
      </c>
      <c r="N6">
        <v>53</v>
      </c>
      <c r="O6">
        <v>53</v>
      </c>
      <c r="P6">
        <v>49</v>
      </c>
      <c r="Q6">
        <v>52</v>
      </c>
      <c r="R6">
        <v>51</v>
      </c>
      <c r="S6">
        <v>53</v>
      </c>
      <c r="T6">
        <v>60</v>
      </c>
      <c r="U6">
        <v>55</v>
      </c>
      <c r="V6">
        <v>51</v>
      </c>
      <c r="W6">
        <v>47</v>
      </c>
      <c r="X6">
        <v>44</v>
      </c>
      <c r="Y6">
        <v>42</v>
      </c>
      <c r="Z6">
        <v>43</v>
      </c>
      <c r="AA6">
        <v>40</v>
      </c>
      <c r="AB6">
        <v>37</v>
      </c>
      <c r="AC6">
        <v>34</v>
      </c>
      <c r="AD6">
        <v>29</v>
      </c>
      <c r="AE6">
        <v>28</v>
      </c>
    </row>
    <row r="7" spans="1:31" x14ac:dyDescent="0.3">
      <c r="A7" t="s">
        <v>289</v>
      </c>
      <c r="B7" t="s">
        <v>132</v>
      </c>
      <c r="C7" t="s">
        <v>0</v>
      </c>
      <c r="D7" t="s">
        <v>133</v>
      </c>
      <c r="E7" t="s">
        <v>123</v>
      </c>
      <c r="F7">
        <v>232</v>
      </c>
      <c r="G7">
        <v>254</v>
      </c>
      <c r="H7">
        <v>278</v>
      </c>
      <c r="I7">
        <v>296</v>
      </c>
      <c r="J7">
        <v>319</v>
      </c>
      <c r="K7">
        <v>341</v>
      </c>
      <c r="L7">
        <v>375</v>
      </c>
      <c r="M7">
        <v>413</v>
      </c>
      <c r="N7">
        <v>442</v>
      </c>
      <c r="O7">
        <v>460</v>
      </c>
      <c r="P7">
        <v>480</v>
      </c>
      <c r="Q7">
        <v>494</v>
      </c>
      <c r="R7">
        <v>499</v>
      </c>
      <c r="S7">
        <v>507</v>
      </c>
      <c r="T7">
        <v>514</v>
      </c>
      <c r="U7">
        <v>521</v>
      </c>
      <c r="V7">
        <v>493</v>
      </c>
      <c r="W7">
        <v>487</v>
      </c>
      <c r="X7">
        <v>478</v>
      </c>
      <c r="Y7">
        <v>463</v>
      </c>
      <c r="Z7">
        <v>456</v>
      </c>
      <c r="AA7">
        <v>445</v>
      </c>
      <c r="AB7">
        <v>451</v>
      </c>
      <c r="AC7">
        <v>459</v>
      </c>
      <c r="AD7">
        <v>464</v>
      </c>
      <c r="AE7">
        <v>485</v>
      </c>
    </row>
    <row r="8" spans="1:31" x14ac:dyDescent="0.3">
      <c r="A8" t="s">
        <v>289</v>
      </c>
      <c r="B8" t="s">
        <v>134</v>
      </c>
      <c r="C8" t="s">
        <v>0</v>
      </c>
      <c r="D8" t="s">
        <v>135</v>
      </c>
      <c r="E8" t="s">
        <v>123</v>
      </c>
      <c r="F8">
        <v>110</v>
      </c>
      <c r="G8">
        <v>119</v>
      </c>
      <c r="H8">
        <v>128</v>
      </c>
      <c r="I8">
        <v>138</v>
      </c>
      <c r="J8">
        <v>132</v>
      </c>
      <c r="K8">
        <v>132</v>
      </c>
      <c r="L8">
        <v>135</v>
      </c>
      <c r="M8">
        <v>131</v>
      </c>
      <c r="N8">
        <v>121</v>
      </c>
      <c r="O8">
        <v>109</v>
      </c>
      <c r="P8">
        <v>99</v>
      </c>
      <c r="Q8">
        <v>93</v>
      </c>
      <c r="R8">
        <v>96</v>
      </c>
      <c r="S8">
        <v>116</v>
      </c>
      <c r="T8">
        <v>135</v>
      </c>
      <c r="U8">
        <v>146</v>
      </c>
      <c r="V8">
        <v>154</v>
      </c>
      <c r="W8">
        <v>163</v>
      </c>
      <c r="X8">
        <v>166</v>
      </c>
      <c r="Y8">
        <v>163</v>
      </c>
      <c r="Z8">
        <v>159</v>
      </c>
      <c r="AA8">
        <v>158</v>
      </c>
      <c r="AB8">
        <v>159</v>
      </c>
      <c r="AC8">
        <v>162</v>
      </c>
      <c r="AD8">
        <v>164</v>
      </c>
      <c r="AE8">
        <v>172</v>
      </c>
    </row>
    <row r="9" spans="1:31" x14ac:dyDescent="0.3">
      <c r="A9" t="s">
        <v>289</v>
      </c>
      <c r="B9" t="s">
        <v>136</v>
      </c>
      <c r="C9" t="s">
        <v>0</v>
      </c>
      <c r="D9" t="s">
        <v>137</v>
      </c>
      <c r="E9" t="s">
        <v>123</v>
      </c>
      <c r="F9">
        <v>429</v>
      </c>
      <c r="G9">
        <v>472</v>
      </c>
      <c r="H9">
        <v>515</v>
      </c>
      <c r="I9">
        <v>547</v>
      </c>
      <c r="J9">
        <v>603</v>
      </c>
      <c r="K9">
        <v>642</v>
      </c>
      <c r="L9">
        <v>702</v>
      </c>
      <c r="M9">
        <v>764</v>
      </c>
      <c r="N9">
        <v>808</v>
      </c>
      <c r="O9">
        <v>851</v>
      </c>
      <c r="P9">
        <v>900</v>
      </c>
      <c r="Q9">
        <v>966</v>
      </c>
      <c r="R9">
        <v>1023</v>
      </c>
      <c r="S9">
        <v>1081</v>
      </c>
      <c r="T9">
        <v>1149</v>
      </c>
      <c r="U9">
        <v>1200</v>
      </c>
      <c r="V9">
        <v>1226</v>
      </c>
      <c r="W9">
        <v>1238</v>
      </c>
      <c r="X9">
        <v>1283</v>
      </c>
      <c r="Y9">
        <v>1263</v>
      </c>
      <c r="Z9">
        <v>1260</v>
      </c>
      <c r="AA9">
        <v>1250</v>
      </c>
      <c r="AB9">
        <v>1260</v>
      </c>
      <c r="AC9">
        <v>1248</v>
      </c>
      <c r="AD9">
        <v>1232</v>
      </c>
      <c r="AE9">
        <v>1263</v>
      </c>
    </row>
    <row r="10" spans="1:31" x14ac:dyDescent="0.3">
      <c r="A10" t="s">
        <v>289</v>
      </c>
      <c r="B10" t="s">
        <v>138</v>
      </c>
      <c r="C10" t="s">
        <v>0</v>
      </c>
      <c r="D10" t="s">
        <v>139</v>
      </c>
      <c r="E10" t="s">
        <v>123</v>
      </c>
      <c r="F10">
        <v>906</v>
      </c>
      <c r="G10">
        <v>994</v>
      </c>
      <c r="H10">
        <v>1076</v>
      </c>
      <c r="I10">
        <v>1146</v>
      </c>
      <c r="J10">
        <v>1247</v>
      </c>
      <c r="K10">
        <v>1338</v>
      </c>
      <c r="L10">
        <v>1489</v>
      </c>
      <c r="M10">
        <v>1661</v>
      </c>
      <c r="N10">
        <v>1779</v>
      </c>
      <c r="O10">
        <v>1859</v>
      </c>
      <c r="P10">
        <v>1954</v>
      </c>
      <c r="Q10">
        <v>2075</v>
      </c>
      <c r="R10">
        <v>2207</v>
      </c>
      <c r="S10">
        <v>2336</v>
      </c>
      <c r="T10">
        <v>2511</v>
      </c>
      <c r="U10">
        <v>2630</v>
      </c>
      <c r="V10">
        <v>2690</v>
      </c>
      <c r="W10">
        <v>2798</v>
      </c>
      <c r="X10">
        <v>2931</v>
      </c>
      <c r="Y10">
        <v>3008</v>
      </c>
      <c r="Z10">
        <v>3061</v>
      </c>
      <c r="AA10">
        <v>3120</v>
      </c>
      <c r="AB10">
        <v>3225</v>
      </c>
      <c r="AC10">
        <v>3238</v>
      </c>
      <c r="AD10">
        <v>3175</v>
      </c>
      <c r="AE10">
        <v>3292</v>
      </c>
    </row>
    <row r="11" spans="1:31" x14ac:dyDescent="0.3">
      <c r="A11" t="s">
        <v>289</v>
      </c>
      <c r="B11" t="s">
        <v>140</v>
      </c>
      <c r="C11" t="s">
        <v>0</v>
      </c>
      <c r="D11" t="s">
        <v>141</v>
      </c>
      <c r="E11" t="s">
        <v>123</v>
      </c>
      <c r="F11">
        <v>477</v>
      </c>
      <c r="G11">
        <v>522</v>
      </c>
      <c r="H11">
        <v>561</v>
      </c>
      <c r="I11">
        <v>599</v>
      </c>
      <c r="J11">
        <v>644</v>
      </c>
      <c r="K11">
        <v>696</v>
      </c>
      <c r="L11">
        <v>787</v>
      </c>
      <c r="M11">
        <v>897</v>
      </c>
      <c r="N11">
        <v>971</v>
      </c>
      <c r="O11">
        <v>1008</v>
      </c>
      <c r="P11">
        <v>1054</v>
      </c>
      <c r="Q11">
        <v>1109</v>
      </c>
      <c r="R11">
        <v>1184</v>
      </c>
      <c r="S11">
        <v>1255</v>
      </c>
      <c r="T11">
        <v>1362</v>
      </c>
      <c r="U11">
        <v>1430</v>
      </c>
      <c r="V11">
        <v>1464</v>
      </c>
      <c r="W11">
        <v>1560</v>
      </c>
      <c r="X11">
        <v>1648</v>
      </c>
      <c r="Y11">
        <v>1745</v>
      </c>
      <c r="Z11">
        <v>1801</v>
      </c>
      <c r="AA11">
        <v>1870</v>
      </c>
      <c r="AB11">
        <v>1965</v>
      </c>
      <c r="AC11">
        <v>1990</v>
      </c>
      <c r="AD11">
        <v>1943</v>
      </c>
      <c r="AE11">
        <v>2029</v>
      </c>
    </row>
    <row r="12" spans="1:31" x14ac:dyDescent="0.3">
      <c r="A12" t="s">
        <v>289</v>
      </c>
      <c r="B12" t="s">
        <v>142</v>
      </c>
      <c r="C12" t="s">
        <v>0</v>
      </c>
      <c r="D12" t="s">
        <v>143</v>
      </c>
      <c r="E12" t="s">
        <v>123</v>
      </c>
      <c r="F12">
        <v>95</v>
      </c>
      <c r="G12">
        <v>104</v>
      </c>
      <c r="H12">
        <v>109</v>
      </c>
      <c r="I12">
        <v>115</v>
      </c>
      <c r="J12">
        <v>132</v>
      </c>
      <c r="K12">
        <v>150</v>
      </c>
      <c r="L12">
        <v>167</v>
      </c>
      <c r="M12">
        <v>190</v>
      </c>
      <c r="N12">
        <v>204</v>
      </c>
      <c r="O12">
        <v>215</v>
      </c>
      <c r="P12">
        <v>219</v>
      </c>
      <c r="Q12">
        <v>231</v>
      </c>
      <c r="R12">
        <v>243</v>
      </c>
      <c r="S12">
        <v>253</v>
      </c>
      <c r="T12">
        <v>270</v>
      </c>
      <c r="U12">
        <v>280</v>
      </c>
      <c r="V12">
        <v>284</v>
      </c>
      <c r="W12">
        <v>299</v>
      </c>
      <c r="X12">
        <v>306</v>
      </c>
      <c r="Y12">
        <v>311</v>
      </c>
      <c r="Z12">
        <v>321</v>
      </c>
      <c r="AA12">
        <v>319</v>
      </c>
      <c r="AB12">
        <v>341</v>
      </c>
      <c r="AC12">
        <v>345</v>
      </c>
      <c r="AD12">
        <v>353</v>
      </c>
      <c r="AE12">
        <v>373</v>
      </c>
    </row>
    <row r="13" spans="1:31" x14ac:dyDescent="0.3">
      <c r="A13" t="s">
        <v>289</v>
      </c>
      <c r="B13" t="s">
        <v>144</v>
      </c>
      <c r="C13" t="s">
        <v>0</v>
      </c>
      <c r="D13" t="s">
        <v>145</v>
      </c>
      <c r="E13" t="s">
        <v>123</v>
      </c>
      <c r="F13">
        <v>171</v>
      </c>
      <c r="G13">
        <v>186</v>
      </c>
      <c r="H13">
        <v>200</v>
      </c>
      <c r="I13">
        <v>213</v>
      </c>
      <c r="J13">
        <v>231</v>
      </c>
      <c r="K13">
        <v>241</v>
      </c>
      <c r="L13">
        <v>262</v>
      </c>
      <c r="M13">
        <v>270</v>
      </c>
      <c r="N13">
        <v>284</v>
      </c>
      <c r="O13">
        <v>298</v>
      </c>
      <c r="P13">
        <v>318</v>
      </c>
      <c r="Q13">
        <v>338</v>
      </c>
      <c r="R13">
        <v>356</v>
      </c>
      <c r="S13">
        <v>371</v>
      </c>
      <c r="T13">
        <v>402</v>
      </c>
      <c r="U13">
        <v>421</v>
      </c>
      <c r="V13">
        <v>424</v>
      </c>
      <c r="W13">
        <v>423</v>
      </c>
      <c r="X13">
        <v>414</v>
      </c>
      <c r="Y13">
        <v>397</v>
      </c>
      <c r="Z13">
        <v>377</v>
      </c>
      <c r="AA13">
        <v>360</v>
      </c>
      <c r="AB13">
        <v>357</v>
      </c>
      <c r="AC13">
        <v>352</v>
      </c>
      <c r="AD13">
        <v>342</v>
      </c>
      <c r="AE13">
        <v>356</v>
      </c>
    </row>
    <row r="14" spans="1:31" x14ac:dyDescent="0.3">
      <c r="A14" t="s">
        <v>289</v>
      </c>
      <c r="B14" t="s">
        <v>146</v>
      </c>
      <c r="C14" t="s">
        <v>0</v>
      </c>
      <c r="D14" t="s">
        <v>147</v>
      </c>
      <c r="E14" t="s">
        <v>123</v>
      </c>
      <c r="F14">
        <v>1504</v>
      </c>
      <c r="G14">
        <v>1779</v>
      </c>
      <c r="H14">
        <v>2163</v>
      </c>
      <c r="I14">
        <v>2660</v>
      </c>
      <c r="J14">
        <v>3441</v>
      </c>
      <c r="K14">
        <v>4287</v>
      </c>
      <c r="L14">
        <v>5107</v>
      </c>
      <c r="M14">
        <v>5793</v>
      </c>
      <c r="N14">
        <v>6632</v>
      </c>
      <c r="O14">
        <v>7458</v>
      </c>
      <c r="P14">
        <v>8319</v>
      </c>
      <c r="Q14">
        <v>9175</v>
      </c>
      <c r="R14">
        <v>9886</v>
      </c>
      <c r="S14">
        <v>10898</v>
      </c>
      <c r="T14">
        <v>11927</v>
      </c>
      <c r="U14">
        <v>12584</v>
      </c>
      <c r="V14">
        <v>12649</v>
      </c>
      <c r="W14">
        <v>12054</v>
      </c>
      <c r="X14">
        <v>11478</v>
      </c>
      <c r="Y14">
        <v>10858</v>
      </c>
      <c r="Z14">
        <v>9910</v>
      </c>
      <c r="AA14">
        <v>8936</v>
      </c>
      <c r="AB14">
        <v>8187</v>
      </c>
      <c r="AC14">
        <v>7370</v>
      </c>
      <c r="AD14">
        <v>6710</v>
      </c>
      <c r="AE14">
        <v>6353</v>
      </c>
    </row>
    <row r="15" spans="1:31" x14ac:dyDescent="0.3">
      <c r="A15" t="s">
        <v>289</v>
      </c>
      <c r="B15" t="s">
        <v>148</v>
      </c>
      <c r="C15" t="s">
        <v>0</v>
      </c>
      <c r="D15" t="s">
        <v>149</v>
      </c>
      <c r="E15" t="s">
        <v>123</v>
      </c>
      <c r="F15">
        <v>1746</v>
      </c>
      <c r="G15">
        <v>2039</v>
      </c>
      <c r="H15">
        <v>2436</v>
      </c>
      <c r="I15">
        <v>2951</v>
      </c>
      <c r="J15">
        <v>3750</v>
      </c>
      <c r="K15">
        <v>4609</v>
      </c>
      <c r="L15">
        <v>5450</v>
      </c>
      <c r="M15">
        <v>6161</v>
      </c>
      <c r="N15">
        <v>7030</v>
      </c>
      <c r="O15">
        <v>7885</v>
      </c>
      <c r="P15">
        <v>8776</v>
      </c>
      <c r="Q15">
        <v>9656</v>
      </c>
      <c r="R15">
        <v>10401</v>
      </c>
      <c r="S15">
        <v>11502</v>
      </c>
      <c r="T15">
        <v>12630</v>
      </c>
      <c r="U15">
        <v>13405</v>
      </c>
      <c r="V15">
        <v>13545</v>
      </c>
      <c r="W15">
        <v>13052</v>
      </c>
      <c r="X15">
        <v>12499</v>
      </c>
      <c r="Y15">
        <v>11966</v>
      </c>
      <c r="Z15">
        <v>11065</v>
      </c>
      <c r="AA15">
        <v>10102</v>
      </c>
      <c r="AB15">
        <v>9097</v>
      </c>
      <c r="AC15">
        <v>8294</v>
      </c>
      <c r="AD15">
        <v>7652</v>
      </c>
      <c r="AE15">
        <v>7335</v>
      </c>
    </row>
    <row r="16" spans="1:31" x14ac:dyDescent="0.3">
      <c r="A16" t="s">
        <v>289</v>
      </c>
      <c r="B16" t="s">
        <v>150</v>
      </c>
      <c r="C16" t="s">
        <v>0</v>
      </c>
      <c r="D16" t="s">
        <v>151</v>
      </c>
      <c r="E16" t="s">
        <v>123</v>
      </c>
      <c r="F16">
        <v>242</v>
      </c>
      <c r="G16">
        <v>260</v>
      </c>
      <c r="H16">
        <v>273</v>
      </c>
      <c r="I16">
        <v>291</v>
      </c>
      <c r="J16">
        <v>309</v>
      </c>
      <c r="K16">
        <v>322</v>
      </c>
      <c r="L16">
        <v>343</v>
      </c>
      <c r="M16">
        <v>368</v>
      </c>
      <c r="N16">
        <v>398</v>
      </c>
      <c r="O16">
        <v>427</v>
      </c>
      <c r="P16">
        <v>457</v>
      </c>
      <c r="Q16">
        <v>481</v>
      </c>
      <c r="R16">
        <v>515</v>
      </c>
      <c r="S16">
        <v>604</v>
      </c>
      <c r="T16">
        <v>703</v>
      </c>
      <c r="U16">
        <v>821</v>
      </c>
      <c r="V16">
        <v>896</v>
      </c>
      <c r="W16">
        <v>998</v>
      </c>
      <c r="X16">
        <v>1021</v>
      </c>
      <c r="Y16">
        <v>1108</v>
      </c>
      <c r="Z16">
        <v>1155</v>
      </c>
      <c r="AA16">
        <v>1166</v>
      </c>
      <c r="AB16">
        <v>910</v>
      </c>
      <c r="AC16">
        <v>924</v>
      </c>
      <c r="AD16">
        <v>942</v>
      </c>
      <c r="AE16">
        <v>982</v>
      </c>
    </row>
    <row r="17" spans="1:31" x14ac:dyDescent="0.3">
      <c r="A17" t="s">
        <v>289</v>
      </c>
      <c r="B17" t="s">
        <v>152</v>
      </c>
      <c r="C17" t="s">
        <v>0</v>
      </c>
      <c r="D17" t="s">
        <v>153</v>
      </c>
      <c r="E17" t="s">
        <v>123</v>
      </c>
      <c r="F17">
        <v>448</v>
      </c>
      <c r="G17">
        <v>494</v>
      </c>
      <c r="H17">
        <v>541</v>
      </c>
      <c r="I17">
        <v>586</v>
      </c>
      <c r="J17">
        <v>651</v>
      </c>
      <c r="K17">
        <v>685</v>
      </c>
      <c r="L17">
        <v>762</v>
      </c>
      <c r="M17">
        <v>826</v>
      </c>
      <c r="N17">
        <v>854</v>
      </c>
      <c r="O17">
        <v>858</v>
      </c>
      <c r="P17">
        <v>885</v>
      </c>
      <c r="Q17">
        <v>926</v>
      </c>
      <c r="R17">
        <v>971</v>
      </c>
      <c r="S17">
        <v>1147</v>
      </c>
      <c r="T17">
        <v>1275</v>
      </c>
      <c r="U17">
        <v>1379</v>
      </c>
      <c r="V17">
        <v>1475</v>
      </c>
      <c r="W17">
        <v>1636</v>
      </c>
      <c r="X17">
        <v>1790</v>
      </c>
      <c r="Y17">
        <v>1901</v>
      </c>
      <c r="Z17">
        <v>1998</v>
      </c>
      <c r="AA17">
        <v>2116</v>
      </c>
      <c r="AB17">
        <v>2238</v>
      </c>
      <c r="AC17">
        <v>2392</v>
      </c>
      <c r="AD17">
        <v>2507</v>
      </c>
      <c r="AE17">
        <v>2712</v>
      </c>
    </row>
    <row r="18" spans="1:31" x14ac:dyDescent="0.3">
      <c r="A18" t="s">
        <v>289</v>
      </c>
      <c r="B18" t="s">
        <v>154</v>
      </c>
      <c r="C18" t="s">
        <v>0</v>
      </c>
      <c r="D18" t="s">
        <v>155</v>
      </c>
      <c r="E18" t="s">
        <v>123</v>
      </c>
      <c r="F18">
        <v>74</v>
      </c>
      <c r="G18">
        <v>82</v>
      </c>
      <c r="H18">
        <v>88</v>
      </c>
      <c r="I18">
        <v>92</v>
      </c>
      <c r="J18">
        <v>99</v>
      </c>
      <c r="K18">
        <v>105</v>
      </c>
      <c r="L18">
        <v>113</v>
      </c>
      <c r="M18">
        <v>119</v>
      </c>
      <c r="N18">
        <v>122</v>
      </c>
      <c r="O18">
        <v>126</v>
      </c>
      <c r="P18">
        <v>133</v>
      </c>
      <c r="Q18">
        <v>151</v>
      </c>
      <c r="R18">
        <v>151</v>
      </c>
      <c r="S18">
        <v>158</v>
      </c>
      <c r="T18">
        <v>184</v>
      </c>
      <c r="U18">
        <v>196</v>
      </c>
      <c r="V18">
        <v>217</v>
      </c>
      <c r="W18">
        <v>249</v>
      </c>
      <c r="X18">
        <v>267</v>
      </c>
      <c r="Y18">
        <v>255</v>
      </c>
      <c r="Z18">
        <v>255</v>
      </c>
      <c r="AA18">
        <v>261</v>
      </c>
      <c r="AB18">
        <v>277</v>
      </c>
      <c r="AC18">
        <v>293</v>
      </c>
      <c r="AD18">
        <v>311</v>
      </c>
      <c r="AE18">
        <v>339</v>
      </c>
    </row>
    <row r="19" spans="1:31" x14ac:dyDescent="0.3">
      <c r="A19" t="s">
        <v>289</v>
      </c>
      <c r="B19" t="s">
        <v>156</v>
      </c>
      <c r="C19" t="s">
        <v>0</v>
      </c>
      <c r="D19" t="s">
        <v>157</v>
      </c>
      <c r="E19" t="s">
        <v>123</v>
      </c>
      <c r="F19">
        <v>301</v>
      </c>
      <c r="G19">
        <v>335</v>
      </c>
      <c r="H19">
        <v>372</v>
      </c>
      <c r="I19">
        <v>408</v>
      </c>
      <c r="J19">
        <v>465</v>
      </c>
      <c r="K19">
        <v>517</v>
      </c>
      <c r="L19">
        <v>594</v>
      </c>
      <c r="M19">
        <v>671</v>
      </c>
      <c r="N19">
        <v>728</v>
      </c>
      <c r="O19">
        <v>754</v>
      </c>
      <c r="P19">
        <v>764</v>
      </c>
      <c r="Q19">
        <v>804</v>
      </c>
      <c r="R19">
        <v>842</v>
      </c>
      <c r="S19">
        <v>725</v>
      </c>
      <c r="T19">
        <v>642</v>
      </c>
      <c r="U19">
        <v>563</v>
      </c>
      <c r="V19">
        <v>484</v>
      </c>
      <c r="W19">
        <v>425</v>
      </c>
      <c r="X19">
        <v>368</v>
      </c>
      <c r="Y19">
        <v>314</v>
      </c>
      <c r="Z19">
        <v>267</v>
      </c>
      <c r="AA19">
        <v>232</v>
      </c>
      <c r="AB19">
        <v>198</v>
      </c>
      <c r="AC19">
        <v>184</v>
      </c>
      <c r="AD19">
        <v>172</v>
      </c>
      <c r="AE19">
        <v>170</v>
      </c>
    </row>
    <row r="20" spans="1:31" x14ac:dyDescent="0.3">
      <c r="A20" t="s">
        <v>289</v>
      </c>
      <c r="B20" t="s">
        <v>158</v>
      </c>
      <c r="C20" t="s">
        <v>0</v>
      </c>
      <c r="D20" t="s">
        <v>159</v>
      </c>
      <c r="E20" t="s">
        <v>123</v>
      </c>
      <c r="F20">
        <v>50</v>
      </c>
      <c r="G20">
        <v>62</v>
      </c>
      <c r="H20">
        <v>81</v>
      </c>
      <c r="I20">
        <v>97</v>
      </c>
      <c r="J20">
        <v>106</v>
      </c>
      <c r="K20">
        <v>105</v>
      </c>
      <c r="L20">
        <v>116</v>
      </c>
      <c r="M20">
        <v>110</v>
      </c>
      <c r="N20">
        <v>99</v>
      </c>
      <c r="O20">
        <v>87</v>
      </c>
      <c r="P20">
        <v>83</v>
      </c>
      <c r="Q20">
        <v>92</v>
      </c>
      <c r="R20">
        <v>87</v>
      </c>
      <c r="S20">
        <v>84</v>
      </c>
      <c r="T20">
        <v>87</v>
      </c>
      <c r="U20">
        <v>95</v>
      </c>
      <c r="V20">
        <v>100</v>
      </c>
      <c r="W20">
        <v>111</v>
      </c>
      <c r="X20">
        <v>116</v>
      </c>
      <c r="Y20">
        <v>113</v>
      </c>
      <c r="Z20">
        <v>112</v>
      </c>
      <c r="AA20">
        <v>128</v>
      </c>
      <c r="AB20">
        <v>169</v>
      </c>
      <c r="AC20">
        <v>191</v>
      </c>
      <c r="AD20">
        <v>217</v>
      </c>
      <c r="AE20">
        <v>239</v>
      </c>
    </row>
    <row r="21" spans="1:31" x14ac:dyDescent="0.3">
      <c r="A21" t="s">
        <v>289</v>
      </c>
      <c r="B21" t="s">
        <v>160</v>
      </c>
      <c r="C21" t="s">
        <v>0</v>
      </c>
      <c r="D21" t="s">
        <v>161</v>
      </c>
      <c r="E21" t="s">
        <v>123</v>
      </c>
      <c r="F21">
        <v>54</v>
      </c>
      <c r="G21">
        <v>66</v>
      </c>
      <c r="H21">
        <v>85</v>
      </c>
      <c r="I21">
        <v>101</v>
      </c>
      <c r="J21">
        <v>112</v>
      </c>
      <c r="K21">
        <v>112</v>
      </c>
      <c r="L21">
        <v>124</v>
      </c>
      <c r="M21">
        <v>122</v>
      </c>
      <c r="N21">
        <v>113</v>
      </c>
      <c r="O21">
        <v>107</v>
      </c>
      <c r="P21">
        <v>105</v>
      </c>
      <c r="Q21">
        <v>123</v>
      </c>
      <c r="R21">
        <v>128</v>
      </c>
      <c r="S21">
        <v>128</v>
      </c>
      <c r="T21">
        <v>137</v>
      </c>
      <c r="U21">
        <v>153</v>
      </c>
      <c r="V21">
        <v>159</v>
      </c>
      <c r="W21">
        <v>184</v>
      </c>
      <c r="X21">
        <v>196</v>
      </c>
      <c r="Y21">
        <v>195</v>
      </c>
      <c r="Z21">
        <v>205</v>
      </c>
      <c r="AA21">
        <v>230</v>
      </c>
      <c r="AB21">
        <v>269</v>
      </c>
      <c r="AC21">
        <v>285</v>
      </c>
      <c r="AD21">
        <v>304</v>
      </c>
      <c r="AE21">
        <v>316</v>
      </c>
    </row>
    <row r="22" spans="1:31" x14ac:dyDescent="0.3">
      <c r="A22" t="s">
        <v>289</v>
      </c>
      <c r="B22" t="s">
        <v>162</v>
      </c>
      <c r="C22" t="s">
        <v>0</v>
      </c>
      <c r="D22" t="s">
        <v>163</v>
      </c>
      <c r="E22" t="s">
        <v>123</v>
      </c>
      <c r="F22">
        <v>4</v>
      </c>
      <c r="G22">
        <v>4</v>
      </c>
      <c r="H22">
        <v>4</v>
      </c>
      <c r="I22">
        <v>4</v>
      </c>
      <c r="J22">
        <v>6</v>
      </c>
      <c r="K22">
        <v>7</v>
      </c>
      <c r="L22">
        <v>8</v>
      </c>
      <c r="M22">
        <v>12</v>
      </c>
      <c r="N22">
        <v>14</v>
      </c>
      <c r="O22">
        <v>20</v>
      </c>
      <c r="P22">
        <v>22</v>
      </c>
      <c r="Q22">
        <v>31</v>
      </c>
      <c r="R22">
        <v>41</v>
      </c>
      <c r="S22">
        <v>44</v>
      </c>
      <c r="T22">
        <v>50</v>
      </c>
      <c r="U22">
        <v>58</v>
      </c>
      <c r="V22">
        <v>59</v>
      </c>
      <c r="W22">
        <v>73</v>
      </c>
      <c r="X22">
        <v>80</v>
      </c>
      <c r="Y22">
        <v>82</v>
      </c>
      <c r="Z22">
        <v>93</v>
      </c>
      <c r="AA22">
        <v>102</v>
      </c>
      <c r="AB22">
        <v>100</v>
      </c>
      <c r="AC22">
        <v>94</v>
      </c>
      <c r="AD22">
        <v>87</v>
      </c>
      <c r="AE22">
        <v>77</v>
      </c>
    </row>
    <row r="23" spans="1:31" x14ac:dyDescent="0.3">
      <c r="A23" t="s">
        <v>289</v>
      </c>
      <c r="B23" t="s">
        <v>164</v>
      </c>
      <c r="C23" t="s">
        <v>0</v>
      </c>
      <c r="D23" t="s">
        <v>165</v>
      </c>
      <c r="E23" t="s">
        <v>123</v>
      </c>
      <c r="F23">
        <v>36</v>
      </c>
      <c r="G23">
        <v>39</v>
      </c>
      <c r="H23">
        <v>40</v>
      </c>
      <c r="I23">
        <v>43</v>
      </c>
      <c r="J23">
        <v>53</v>
      </c>
      <c r="K23">
        <v>71</v>
      </c>
      <c r="L23">
        <v>82</v>
      </c>
      <c r="M23">
        <v>96</v>
      </c>
      <c r="N23">
        <v>112</v>
      </c>
      <c r="O23">
        <v>110</v>
      </c>
      <c r="P23">
        <v>108</v>
      </c>
      <c r="Q23">
        <v>109</v>
      </c>
      <c r="R23">
        <v>111</v>
      </c>
      <c r="S23">
        <v>118</v>
      </c>
      <c r="T23">
        <v>139</v>
      </c>
      <c r="U23">
        <v>163</v>
      </c>
      <c r="V23">
        <v>175</v>
      </c>
      <c r="W23">
        <v>188</v>
      </c>
      <c r="X23">
        <v>210</v>
      </c>
      <c r="Y23">
        <v>187</v>
      </c>
      <c r="Z23">
        <v>177</v>
      </c>
      <c r="AA23">
        <v>161</v>
      </c>
      <c r="AB23">
        <v>157</v>
      </c>
      <c r="AC23">
        <v>149</v>
      </c>
      <c r="AD23">
        <v>141</v>
      </c>
      <c r="AE23">
        <v>145</v>
      </c>
    </row>
    <row r="24" spans="1:31" x14ac:dyDescent="0.3">
      <c r="A24" t="s">
        <v>289</v>
      </c>
      <c r="B24" t="s">
        <v>166</v>
      </c>
      <c r="C24" t="s">
        <v>0</v>
      </c>
      <c r="D24" t="s">
        <v>167</v>
      </c>
      <c r="E24" t="s">
        <v>123</v>
      </c>
      <c r="F24">
        <v>160</v>
      </c>
      <c r="G24">
        <v>183</v>
      </c>
      <c r="H24">
        <v>211</v>
      </c>
      <c r="I24">
        <v>247</v>
      </c>
      <c r="J24">
        <v>289</v>
      </c>
      <c r="K24">
        <v>340</v>
      </c>
      <c r="L24">
        <v>396</v>
      </c>
      <c r="M24">
        <v>338</v>
      </c>
      <c r="N24">
        <v>287</v>
      </c>
      <c r="O24">
        <v>236</v>
      </c>
      <c r="P24">
        <v>199</v>
      </c>
      <c r="Q24">
        <v>166</v>
      </c>
      <c r="R24">
        <v>189</v>
      </c>
      <c r="S24">
        <v>188</v>
      </c>
      <c r="T24">
        <v>203</v>
      </c>
      <c r="U24">
        <v>218</v>
      </c>
      <c r="V24">
        <v>232</v>
      </c>
      <c r="W24">
        <v>276</v>
      </c>
      <c r="X24">
        <v>291</v>
      </c>
      <c r="Y24">
        <v>295</v>
      </c>
      <c r="Z24">
        <v>297</v>
      </c>
      <c r="AA24">
        <v>296</v>
      </c>
      <c r="AB24">
        <v>286</v>
      </c>
      <c r="AC24">
        <v>297</v>
      </c>
      <c r="AD24">
        <v>302</v>
      </c>
      <c r="AE24">
        <v>309</v>
      </c>
    </row>
    <row r="25" spans="1:31" x14ac:dyDescent="0.3">
      <c r="A25" t="s">
        <v>289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</v>
      </c>
      <c r="T25">
        <v>3</v>
      </c>
      <c r="U25">
        <v>2</v>
      </c>
      <c r="V25">
        <v>2</v>
      </c>
      <c r="W25">
        <v>3</v>
      </c>
      <c r="X25">
        <v>4</v>
      </c>
      <c r="Y25">
        <v>7</v>
      </c>
      <c r="Z25">
        <v>11</v>
      </c>
      <c r="AA25">
        <v>13</v>
      </c>
      <c r="AB25">
        <v>12</v>
      </c>
      <c r="AC25">
        <v>10</v>
      </c>
      <c r="AD25">
        <v>12</v>
      </c>
      <c r="AE25">
        <v>11</v>
      </c>
    </row>
    <row r="26" spans="1:31" x14ac:dyDescent="0.3">
      <c r="A26" t="s">
        <v>289</v>
      </c>
      <c r="B26" t="s">
        <v>170</v>
      </c>
      <c r="C26" t="s">
        <v>0</v>
      </c>
      <c r="D26" t="s">
        <v>171</v>
      </c>
      <c r="E26" t="s">
        <v>123</v>
      </c>
      <c r="F26">
        <v>160</v>
      </c>
      <c r="G26">
        <v>183</v>
      </c>
      <c r="H26">
        <v>211</v>
      </c>
      <c r="I26">
        <v>246</v>
      </c>
      <c r="J26">
        <v>287</v>
      </c>
      <c r="K26">
        <v>337</v>
      </c>
      <c r="L26">
        <v>391</v>
      </c>
      <c r="M26">
        <v>334</v>
      </c>
      <c r="N26">
        <v>283</v>
      </c>
      <c r="O26">
        <v>233</v>
      </c>
      <c r="P26">
        <v>197</v>
      </c>
      <c r="Q26">
        <v>164</v>
      </c>
      <c r="R26">
        <v>187</v>
      </c>
      <c r="S26">
        <v>184</v>
      </c>
      <c r="T26">
        <v>199</v>
      </c>
      <c r="U26">
        <v>211</v>
      </c>
      <c r="V26">
        <v>222</v>
      </c>
      <c r="W26">
        <v>265</v>
      </c>
      <c r="X26">
        <v>279</v>
      </c>
      <c r="Y26">
        <v>280</v>
      </c>
      <c r="Z26">
        <v>280</v>
      </c>
      <c r="AA26">
        <v>275</v>
      </c>
      <c r="AB26">
        <v>268</v>
      </c>
      <c r="AC26">
        <v>282</v>
      </c>
      <c r="AD26">
        <v>286</v>
      </c>
      <c r="AE26">
        <v>294</v>
      </c>
    </row>
    <row r="27" spans="1:31" x14ac:dyDescent="0.3">
      <c r="A27" t="s">
        <v>289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1</v>
      </c>
      <c r="J27">
        <v>2</v>
      </c>
      <c r="K27">
        <v>3</v>
      </c>
      <c r="L27">
        <v>5</v>
      </c>
      <c r="M27">
        <v>4</v>
      </c>
      <c r="N27">
        <v>4</v>
      </c>
      <c r="O27">
        <v>3</v>
      </c>
      <c r="P27">
        <v>2</v>
      </c>
      <c r="Q27">
        <v>2</v>
      </c>
      <c r="R27">
        <v>2</v>
      </c>
      <c r="S27">
        <v>1</v>
      </c>
      <c r="T27">
        <v>1</v>
      </c>
      <c r="U27">
        <v>5</v>
      </c>
      <c r="V27">
        <v>8</v>
      </c>
      <c r="W27">
        <v>8</v>
      </c>
      <c r="X27">
        <v>8</v>
      </c>
      <c r="Y27">
        <v>8</v>
      </c>
      <c r="Z27">
        <v>6</v>
      </c>
      <c r="AA27">
        <v>8</v>
      </c>
      <c r="AB27">
        <v>6</v>
      </c>
      <c r="AC27">
        <v>5</v>
      </c>
      <c r="AD27">
        <v>4</v>
      </c>
      <c r="AE27">
        <v>4</v>
      </c>
    </row>
    <row r="28" spans="1:31" x14ac:dyDescent="0.3">
      <c r="A28" t="s">
        <v>289</v>
      </c>
      <c r="B28" t="s">
        <v>174</v>
      </c>
      <c r="C28" t="s">
        <v>0</v>
      </c>
      <c r="D28" t="s">
        <v>175</v>
      </c>
      <c r="E28" t="s">
        <v>123</v>
      </c>
      <c r="F28">
        <v>30</v>
      </c>
      <c r="G28">
        <v>34</v>
      </c>
      <c r="H28">
        <v>38</v>
      </c>
      <c r="I28">
        <v>39</v>
      </c>
      <c r="J28">
        <v>47</v>
      </c>
      <c r="K28">
        <v>52</v>
      </c>
      <c r="L28">
        <v>70</v>
      </c>
      <c r="M28">
        <v>75</v>
      </c>
      <c r="N28">
        <v>84</v>
      </c>
      <c r="O28">
        <v>89</v>
      </c>
      <c r="P28">
        <v>95</v>
      </c>
      <c r="Q28">
        <v>105</v>
      </c>
      <c r="R28">
        <v>105</v>
      </c>
      <c r="S28">
        <v>104</v>
      </c>
      <c r="T28">
        <v>103</v>
      </c>
      <c r="U28">
        <v>93</v>
      </c>
      <c r="V28">
        <v>90</v>
      </c>
      <c r="W28">
        <v>84</v>
      </c>
      <c r="X28">
        <v>81</v>
      </c>
      <c r="Y28">
        <v>80</v>
      </c>
      <c r="Z28">
        <v>74</v>
      </c>
      <c r="AA28">
        <v>71</v>
      </c>
      <c r="AB28">
        <v>69</v>
      </c>
      <c r="AC28">
        <v>63</v>
      </c>
      <c r="AD28">
        <v>59</v>
      </c>
      <c r="AE28">
        <v>62</v>
      </c>
    </row>
    <row r="29" spans="1:31" x14ac:dyDescent="0.3">
      <c r="A29" t="s">
        <v>289</v>
      </c>
      <c r="B29" t="s">
        <v>176</v>
      </c>
      <c r="C29" t="s">
        <v>0</v>
      </c>
      <c r="D29" t="s">
        <v>177</v>
      </c>
      <c r="E29" t="s">
        <v>123</v>
      </c>
      <c r="F29">
        <v>14</v>
      </c>
      <c r="G29">
        <v>15</v>
      </c>
      <c r="H29">
        <v>16</v>
      </c>
      <c r="I29">
        <v>16</v>
      </c>
      <c r="J29">
        <v>19</v>
      </c>
      <c r="K29">
        <v>20</v>
      </c>
      <c r="L29">
        <v>26</v>
      </c>
      <c r="M29">
        <v>23</v>
      </c>
      <c r="N29">
        <v>23</v>
      </c>
      <c r="O29">
        <v>22</v>
      </c>
      <c r="P29">
        <v>20</v>
      </c>
      <c r="Q29">
        <v>19</v>
      </c>
      <c r="R29">
        <v>16</v>
      </c>
      <c r="S29">
        <v>13</v>
      </c>
      <c r="T29">
        <v>10</v>
      </c>
      <c r="U29">
        <v>9</v>
      </c>
      <c r="V29">
        <v>9</v>
      </c>
      <c r="W29">
        <v>7</v>
      </c>
      <c r="X29">
        <v>7</v>
      </c>
      <c r="Y29">
        <v>6</v>
      </c>
      <c r="Z29">
        <v>6</v>
      </c>
      <c r="AA29">
        <v>6</v>
      </c>
      <c r="AB29">
        <v>5</v>
      </c>
      <c r="AC29">
        <v>5</v>
      </c>
      <c r="AD29">
        <v>7</v>
      </c>
      <c r="AE29">
        <v>6</v>
      </c>
    </row>
    <row r="30" spans="1:31" x14ac:dyDescent="0.3">
      <c r="A30" t="s">
        <v>289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1</v>
      </c>
      <c r="H30">
        <v>2</v>
      </c>
      <c r="I30">
        <v>2</v>
      </c>
      <c r="J30">
        <v>3</v>
      </c>
      <c r="K30">
        <v>3</v>
      </c>
      <c r="L30">
        <v>4</v>
      </c>
      <c r="M30">
        <v>4</v>
      </c>
      <c r="N30">
        <v>5</v>
      </c>
      <c r="O30">
        <v>5</v>
      </c>
      <c r="P30">
        <v>5</v>
      </c>
      <c r="Q30">
        <v>4</v>
      </c>
      <c r="R30">
        <v>4</v>
      </c>
      <c r="S30">
        <v>4</v>
      </c>
      <c r="T30">
        <v>4</v>
      </c>
      <c r="U30">
        <v>3</v>
      </c>
      <c r="V30">
        <v>3</v>
      </c>
      <c r="W30">
        <v>3</v>
      </c>
      <c r="X30">
        <v>2</v>
      </c>
      <c r="Y30">
        <v>3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3</v>
      </c>
    </row>
    <row r="31" spans="1:31" x14ac:dyDescent="0.3">
      <c r="A31" t="s">
        <v>289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289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3</v>
      </c>
      <c r="K32">
        <v>2</v>
      </c>
      <c r="L32">
        <v>2</v>
      </c>
      <c r="M32">
        <v>2</v>
      </c>
      <c r="N32">
        <v>3</v>
      </c>
      <c r="O32">
        <v>5</v>
      </c>
      <c r="P32">
        <v>6</v>
      </c>
      <c r="Q32">
        <v>7</v>
      </c>
      <c r="R32">
        <v>5</v>
      </c>
      <c r="S32">
        <v>6</v>
      </c>
      <c r="T32">
        <v>6</v>
      </c>
      <c r="U32">
        <v>5</v>
      </c>
      <c r="V32">
        <v>6</v>
      </c>
      <c r="W32">
        <v>6</v>
      </c>
      <c r="X32">
        <v>7</v>
      </c>
      <c r="Y32">
        <v>8</v>
      </c>
      <c r="Z32">
        <v>6</v>
      </c>
      <c r="AA32">
        <v>5</v>
      </c>
      <c r="AB32">
        <v>7</v>
      </c>
      <c r="AC32">
        <v>7</v>
      </c>
      <c r="AD32">
        <v>8</v>
      </c>
      <c r="AE32">
        <v>12</v>
      </c>
    </row>
    <row r="33" spans="1:31" x14ac:dyDescent="0.3">
      <c r="A33" t="s">
        <v>289</v>
      </c>
      <c r="B33" t="s">
        <v>184</v>
      </c>
      <c r="C33" t="s">
        <v>0</v>
      </c>
      <c r="D33" t="s">
        <v>185</v>
      </c>
      <c r="E33" t="s">
        <v>123</v>
      </c>
      <c r="F33">
        <v>16</v>
      </c>
      <c r="G33">
        <v>18</v>
      </c>
      <c r="H33">
        <v>20</v>
      </c>
      <c r="I33">
        <v>21</v>
      </c>
      <c r="J33">
        <v>22</v>
      </c>
      <c r="K33">
        <v>27</v>
      </c>
      <c r="L33">
        <v>38</v>
      </c>
      <c r="M33">
        <v>46</v>
      </c>
      <c r="N33">
        <v>53</v>
      </c>
      <c r="O33">
        <v>57</v>
      </c>
      <c r="P33">
        <v>64</v>
      </c>
      <c r="Q33">
        <v>75</v>
      </c>
      <c r="R33">
        <v>80</v>
      </c>
      <c r="S33">
        <v>81</v>
      </c>
      <c r="T33">
        <v>83</v>
      </c>
      <c r="U33">
        <v>76</v>
      </c>
      <c r="V33">
        <v>72</v>
      </c>
      <c r="W33">
        <v>68</v>
      </c>
      <c r="X33">
        <v>65</v>
      </c>
      <c r="Y33">
        <v>63</v>
      </c>
      <c r="Z33">
        <v>60</v>
      </c>
      <c r="AA33">
        <v>58</v>
      </c>
      <c r="AB33">
        <v>55</v>
      </c>
      <c r="AC33">
        <v>49</v>
      </c>
      <c r="AD33">
        <v>42</v>
      </c>
      <c r="AE33">
        <v>41</v>
      </c>
    </row>
    <row r="34" spans="1:31" x14ac:dyDescent="0.3">
      <c r="A34" t="s">
        <v>289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2</v>
      </c>
      <c r="W34">
        <v>2</v>
      </c>
      <c r="X34">
        <v>2</v>
      </c>
      <c r="Y34">
        <v>1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3</v>
      </c>
    </row>
    <row r="35" spans="1:31" x14ac:dyDescent="0.3">
      <c r="A35" t="s">
        <v>289</v>
      </c>
      <c r="B35" t="s">
        <v>188</v>
      </c>
      <c r="C35" t="s">
        <v>0</v>
      </c>
      <c r="D35" t="s">
        <v>189</v>
      </c>
      <c r="E35" t="s">
        <v>123</v>
      </c>
      <c r="F35">
        <v>147</v>
      </c>
      <c r="G35">
        <v>167</v>
      </c>
      <c r="H35">
        <v>190</v>
      </c>
      <c r="I35">
        <v>227</v>
      </c>
      <c r="J35">
        <v>308</v>
      </c>
      <c r="K35">
        <v>369</v>
      </c>
      <c r="L35">
        <v>416</v>
      </c>
      <c r="M35">
        <v>560</v>
      </c>
      <c r="N35">
        <v>661</v>
      </c>
      <c r="O35">
        <v>688</v>
      </c>
      <c r="P35">
        <v>750</v>
      </c>
      <c r="Q35">
        <v>733</v>
      </c>
      <c r="R35">
        <v>864</v>
      </c>
      <c r="S35">
        <v>901</v>
      </c>
      <c r="T35">
        <v>917</v>
      </c>
      <c r="U35">
        <v>941</v>
      </c>
      <c r="V35">
        <v>953</v>
      </c>
      <c r="W35">
        <v>1022</v>
      </c>
      <c r="X35">
        <v>1155</v>
      </c>
      <c r="Y35">
        <v>1198</v>
      </c>
      <c r="Z35">
        <v>1147</v>
      </c>
      <c r="AA35">
        <v>1108</v>
      </c>
      <c r="AB35">
        <v>1175</v>
      </c>
      <c r="AC35">
        <v>1127</v>
      </c>
      <c r="AD35">
        <v>1075</v>
      </c>
      <c r="AE35">
        <v>1127</v>
      </c>
    </row>
    <row r="36" spans="1:31" x14ac:dyDescent="0.3">
      <c r="A36" t="s">
        <v>289</v>
      </c>
      <c r="B36" t="s">
        <v>190</v>
      </c>
      <c r="C36" t="s">
        <v>0</v>
      </c>
      <c r="D36" t="s">
        <v>191</v>
      </c>
      <c r="E36" t="s">
        <v>123</v>
      </c>
      <c r="F36">
        <v>13</v>
      </c>
      <c r="G36">
        <v>16</v>
      </c>
      <c r="H36">
        <v>17</v>
      </c>
      <c r="I36">
        <v>18</v>
      </c>
      <c r="J36">
        <v>20</v>
      </c>
      <c r="K36">
        <v>19</v>
      </c>
      <c r="L36">
        <v>20</v>
      </c>
      <c r="M36">
        <v>21</v>
      </c>
      <c r="N36">
        <v>24</v>
      </c>
      <c r="O36">
        <v>24</v>
      </c>
      <c r="P36">
        <v>23</v>
      </c>
      <c r="Q36">
        <v>24</v>
      </c>
      <c r="R36">
        <v>25</v>
      </c>
      <c r="S36">
        <v>33</v>
      </c>
      <c r="T36">
        <v>37</v>
      </c>
      <c r="U36">
        <v>79</v>
      </c>
      <c r="V36">
        <v>117</v>
      </c>
      <c r="W36">
        <v>148</v>
      </c>
      <c r="X36">
        <v>184</v>
      </c>
      <c r="Y36">
        <v>224</v>
      </c>
      <c r="Z36">
        <v>249</v>
      </c>
      <c r="AA36">
        <v>246</v>
      </c>
      <c r="AB36">
        <v>298</v>
      </c>
      <c r="AC36">
        <v>353</v>
      </c>
      <c r="AD36">
        <v>413</v>
      </c>
      <c r="AE36">
        <v>464</v>
      </c>
    </row>
    <row r="37" spans="1:31" x14ac:dyDescent="0.3">
      <c r="A37" t="s">
        <v>289</v>
      </c>
      <c r="B37" t="s">
        <v>192</v>
      </c>
      <c r="C37" t="s">
        <v>0</v>
      </c>
      <c r="D37" t="s">
        <v>193</v>
      </c>
      <c r="E37" t="s">
        <v>123</v>
      </c>
      <c r="F37">
        <v>119</v>
      </c>
      <c r="G37">
        <v>136</v>
      </c>
      <c r="H37">
        <v>158</v>
      </c>
      <c r="I37">
        <v>190</v>
      </c>
      <c r="J37">
        <v>241</v>
      </c>
      <c r="K37">
        <v>275</v>
      </c>
      <c r="L37">
        <v>294</v>
      </c>
      <c r="M37">
        <v>337</v>
      </c>
      <c r="N37">
        <v>338</v>
      </c>
      <c r="O37">
        <v>347</v>
      </c>
      <c r="P37">
        <v>357</v>
      </c>
      <c r="Q37">
        <v>357</v>
      </c>
      <c r="R37">
        <v>343</v>
      </c>
      <c r="S37">
        <v>334</v>
      </c>
      <c r="T37">
        <v>325</v>
      </c>
      <c r="U37">
        <v>310</v>
      </c>
      <c r="V37">
        <v>290</v>
      </c>
      <c r="W37">
        <v>262</v>
      </c>
      <c r="X37">
        <v>250</v>
      </c>
      <c r="Y37">
        <v>237</v>
      </c>
      <c r="Z37">
        <v>219</v>
      </c>
      <c r="AA37">
        <v>205</v>
      </c>
      <c r="AB37">
        <v>191</v>
      </c>
      <c r="AC37">
        <v>175</v>
      </c>
      <c r="AD37">
        <v>167</v>
      </c>
      <c r="AE37">
        <v>160</v>
      </c>
    </row>
    <row r="38" spans="1:31" x14ac:dyDescent="0.3">
      <c r="A38" t="s">
        <v>289</v>
      </c>
      <c r="B38" t="s">
        <v>194</v>
      </c>
      <c r="C38" t="s">
        <v>0</v>
      </c>
      <c r="D38" t="s">
        <v>195</v>
      </c>
      <c r="E38" t="s">
        <v>123</v>
      </c>
      <c r="F38">
        <v>15</v>
      </c>
      <c r="G38">
        <v>15</v>
      </c>
      <c r="H38">
        <v>15</v>
      </c>
      <c r="I38">
        <v>19</v>
      </c>
      <c r="J38">
        <v>47</v>
      </c>
      <c r="K38">
        <v>75</v>
      </c>
      <c r="L38">
        <v>102</v>
      </c>
      <c r="M38">
        <v>202</v>
      </c>
      <c r="N38">
        <v>299</v>
      </c>
      <c r="O38">
        <v>317</v>
      </c>
      <c r="P38">
        <v>370</v>
      </c>
      <c r="Q38">
        <v>352</v>
      </c>
      <c r="R38">
        <v>496</v>
      </c>
      <c r="S38">
        <v>534</v>
      </c>
      <c r="T38">
        <v>555</v>
      </c>
      <c r="U38">
        <v>552</v>
      </c>
      <c r="V38">
        <v>546</v>
      </c>
      <c r="W38">
        <v>612</v>
      </c>
      <c r="X38">
        <v>721</v>
      </c>
      <c r="Y38">
        <v>737</v>
      </c>
      <c r="Z38">
        <v>679</v>
      </c>
      <c r="AA38">
        <v>657</v>
      </c>
      <c r="AB38">
        <v>686</v>
      </c>
      <c r="AC38">
        <v>599</v>
      </c>
      <c r="AD38">
        <v>495</v>
      </c>
      <c r="AE38">
        <v>503</v>
      </c>
    </row>
    <row r="39" spans="1:31" x14ac:dyDescent="0.3">
      <c r="A39" t="s">
        <v>289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7</v>
      </c>
      <c r="H39">
        <v>20</v>
      </c>
      <c r="I39">
        <v>20</v>
      </c>
      <c r="J39">
        <v>20</v>
      </c>
      <c r="K39">
        <v>25</v>
      </c>
      <c r="L39">
        <v>67</v>
      </c>
      <c r="M39">
        <v>57</v>
      </c>
      <c r="N39">
        <v>48</v>
      </c>
      <c r="O39">
        <v>39</v>
      </c>
      <c r="P39">
        <v>33</v>
      </c>
      <c r="Q39">
        <v>28</v>
      </c>
      <c r="R39">
        <v>55</v>
      </c>
      <c r="S39">
        <v>113</v>
      </c>
      <c r="T39">
        <v>159</v>
      </c>
      <c r="U39">
        <v>198</v>
      </c>
      <c r="V39">
        <v>231</v>
      </c>
      <c r="W39">
        <v>271</v>
      </c>
      <c r="X39">
        <v>284</v>
      </c>
      <c r="Y39">
        <v>303</v>
      </c>
      <c r="Z39">
        <v>324</v>
      </c>
      <c r="AA39">
        <v>331</v>
      </c>
      <c r="AB39">
        <v>368</v>
      </c>
      <c r="AC39">
        <v>389</v>
      </c>
      <c r="AD39">
        <v>399</v>
      </c>
      <c r="AE39">
        <v>416</v>
      </c>
    </row>
    <row r="40" spans="1:31" x14ac:dyDescent="0.3">
      <c r="A40" t="s">
        <v>289</v>
      </c>
      <c r="B40" t="s">
        <v>198</v>
      </c>
      <c r="C40" t="s">
        <v>0</v>
      </c>
      <c r="D40" t="s">
        <v>199</v>
      </c>
      <c r="E40" t="s">
        <v>123</v>
      </c>
      <c r="F40">
        <v>8</v>
      </c>
      <c r="G40">
        <v>9</v>
      </c>
      <c r="H40">
        <v>10</v>
      </c>
      <c r="I40">
        <v>9</v>
      </c>
      <c r="J40">
        <v>9</v>
      </c>
      <c r="K40">
        <v>9</v>
      </c>
      <c r="L40">
        <v>9</v>
      </c>
      <c r="M40">
        <v>8</v>
      </c>
      <c r="N40">
        <v>6</v>
      </c>
      <c r="O40">
        <v>5</v>
      </c>
      <c r="P40">
        <v>4</v>
      </c>
      <c r="Q40">
        <v>3</v>
      </c>
      <c r="R40">
        <v>3</v>
      </c>
      <c r="S40">
        <v>2</v>
      </c>
      <c r="T40">
        <v>2</v>
      </c>
      <c r="U40">
        <v>5</v>
      </c>
      <c r="V40">
        <v>7</v>
      </c>
      <c r="W40">
        <v>9</v>
      </c>
      <c r="X40">
        <v>7</v>
      </c>
      <c r="Y40">
        <v>7</v>
      </c>
      <c r="Z40">
        <v>8</v>
      </c>
      <c r="AA40">
        <v>9</v>
      </c>
      <c r="AB40">
        <v>9</v>
      </c>
      <c r="AC40">
        <v>9</v>
      </c>
      <c r="AD40">
        <v>9</v>
      </c>
      <c r="AE40">
        <v>10</v>
      </c>
    </row>
    <row r="41" spans="1:31" x14ac:dyDescent="0.3">
      <c r="A41" t="s">
        <v>289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289</v>
      </c>
      <c r="B42" t="s">
        <v>202</v>
      </c>
      <c r="C42" t="s">
        <v>0</v>
      </c>
      <c r="D42" t="s">
        <v>203</v>
      </c>
      <c r="E42" t="s">
        <v>123</v>
      </c>
      <c r="F42">
        <v>1507</v>
      </c>
      <c r="G42">
        <v>1623</v>
      </c>
      <c r="H42">
        <v>1743</v>
      </c>
      <c r="I42">
        <v>1838</v>
      </c>
      <c r="J42">
        <v>1991</v>
      </c>
      <c r="K42">
        <v>2106</v>
      </c>
      <c r="L42">
        <v>2295</v>
      </c>
      <c r="M42">
        <v>2556</v>
      </c>
      <c r="N42">
        <v>2689</v>
      </c>
      <c r="O42">
        <v>2797</v>
      </c>
      <c r="P42">
        <v>2927</v>
      </c>
      <c r="Q42">
        <v>3107</v>
      </c>
      <c r="R42">
        <v>3169</v>
      </c>
      <c r="S42">
        <v>3227</v>
      </c>
      <c r="T42">
        <v>3432</v>
      </c>
      <c r="U42">
        <v>3570</v>
      </c>
      <c r="V42">
        <v>3578</v>
      </c>
      <c r="W42">
        <v>3660</v>
      </c>
      <c r="X42">
        <v>3717</v>
      </c>
      <c r="Y42">
        <v>3682</v>
      </c>
      <c r="Z42">
        <v>3623</v>
      </c>
      <c r="AA42">
        <v>3539</v>
      </c>
      <c r="AB42">
        <v>3459</v>
      </c>
      <c r="AC42">
        <v>3455</v>
      </c>
      <c r="AD42">
        <v>3469</v>
      </c>
      <c r="AE42">
        <v>3582</v>
      </c>
    </row>
    <row r="43" spans="1:31" x14ac:dyDescent="0.3">
      <c r="A43" t="s">
        <v>289</v>
      </c>
      <c r="B43" t="s">
        <v>204</v>
      </c>
      <c r="C43" t="s">
        <v>0</v>
      </c>
      <c r="D43" t="s">
        <v>205</v>
      </c>
      <c r="E43" t="s">
        <v>123</v>
      </c>
      <c r="F43">
        <v>1511</v>
      </c>
      <c r="G43">
        <v>1629</v>
      </c>
      <c r="H43">
        <v>1751</v>
      </c>
      <c r="I43">
        <v>1846</v>
      </c>
      <c r="J43">
        <v>2001</v>
      </c>
      <c r="K43">
        <v>2114</v>
      </c>
      <c r="L43">
        <v>2303</v>
      </c>
      <c r="M43">
        <v>2568</v>
      </c>
      <c r="N43">
        <v>2703</v>
      </c>
      <c r="O43">
        <v>2816</v>
      </c>
      <c r="P43">
        <v>2951</v>
      </c>
      <c r="Q43">
        <v>3136</v>
      </c>
      <c r="R43">
        <v>3200</v>
      </c>
      <c r="S43">
        <v>3252</v>
      </c>
      <c r="T43">
        <v>3454</v>
      </c>
      <c r="U43">
        <v>3591</v>
      </c>
      <c r="V43">
        <v>3598</v>
      </c>
      <c r="W43">
        <v>3682</v>
      </c>
      <c r="X43">
        <v>3737</v>
      </c>
      <c r="Y43">
        <v>3707</v>
      </c>
      <c r="Z43">
        <v>3648</v>
      </c>
      <c r="AA43">
        <v>3573</v>
      </c>
      <c r="AB43">
        <v>3492</v>
      </c>
      <c r="AC43">
        <v>3488</v>
      </c>
      <c r="AD43">
        <v>3499</v>
      </c>
      <c r="AE43">
        <v>3624</v>
      </c>
    </row>
    <row r="44" spans="1:31" x14ac:dyDescent="0.3">
      <c r="A44" t="s">
        <v>289</v>
      </c>
      <c r="B44" t="s">
        <v>206</v>
      </c>
      <c r="C44" t="s">
        <v>0</v>
      </c>
      <c r="D44" t="s">
        <v>207</v>
      </c>
      <c r="E44" t="s">
        <v>123</v>
      </c>
      <c r="F44">
        <v>6273</v>
      </c>
      <c r="G44">
        <v>6998</v>
      </c>
      <c r="H44">
        <v>7833</v>
      </c>
      <c r="I44">
        <v>8754</v>
      </c>
      <c r="J44">
        <v>10164</v>
      </c>
      <c r="K44">
        <v>11519</v>
      </c>
      <c r="L44">
        <v>13144</v>
      </c>
      <c r="M44">
        <v>14606</v>
      </c>
      <c r="N44">
        <v>15924</v>
      </c>
      <c r="O44">
        <v>17001</v>
      </c>
      <c r="P44">
        <v>18229</v>
      </c>
      <c r="Q44">
        <v>19540</v>
      </c>
      <c r="R44">
        <v>20788</v>
      </c>
      <c r="S44">
        <v>22298</v>
      </c>
      <c r="T44">
        <v>24088</v>
      </c>
      <c r="U44">
        <v>25334</v>
      </c>
      <c r="V44">
        <v>25647</v>
      </c>
      <c r="W44">
        <v>25691</v>
      </c>
      <c r="X44">
        <v>25636</v>
      </c>
      <c r="Y44">
        <v>25216</v>
      </c>
      <c r="Z44">
        <v>24300</v>
      </c>
      <c r="AA44">
        <v>23346</v>
      </c>
      <c r="AB44">
        <v>22649</v>
      </c>
      <c r="AC44">
        <v>22025</v>
      </c>
      <c r="AD44">
        <v>21426</v>
      </c>
      <c r="AE44">
        <v>21768</v>
      </c>
    </row>
    <row r="45" spans="1:31" x14ac:dyDescent="0.3">
      <c r="A45" t="s">
        <v>289</v>
      </c>
      <c r="B45" t="s">
        <v>208</v>
      </c>
      <c r="C45" t="s">
        <v>0</v>
      </c>
      <c r="D45" t="s">
        <v>209</v>
      </c>
      <c r="E45" t="s">
        <v>123</v>
      </c>
      <c r="F45">
        <v>6263</v>
      </c>
      <c r="G45">
        <v>6989</v>
      </c>
      <c r="H45">
        <v>7826</v>
      </c>
      <c r="I45">
        <v>8745</v>
      </c>
      <c r="J45">
        <v>10154</v>
      </c>
      <c r="K45">
        <v>11510</v>
      </c>
      <c r="L45">
        <v>13136</v>
      </c>
      <c r="M45">
        <v>14598</v>
      </c>
      <c r="N45">
        <v>15917</v>
      </c>
      <c r="O45">
        <v>16996</v>
      </c>
      <c r="P45">
        <v>18225</v>
      </c>
      <c r="Q45">
        <v>19536</v>
      </c>
      <c r="R45">
        <v>20785</v>
      </c>
      <c r="S45">
        <v>22295</v>
      </c>
      <c r="T45">
        <v>24085</v>
      </c>
      <c r="U45">
        <v>25329</v>
      </c>
      <c r="V45">
        <v>25638</v>
      </c>
      <c r="W45">
        <v>25681</v>
      </c>
      <c r="X45">
        <v>25628</v>
      </c>
      <c r="Y45">
        <v>25207</v>
      </c>
      <c r="Z45">
        <v>24292</v>
      </c>
      <c r="AA45">
        <v>23337</v>
      </c>
      <c r="AB45">
        <v>22638</v>
      </c>
      <c r="AC45">
        <v>22004</v>
      </c>
      <c r="AD45">
        <v>21395</v>
      </c>
      <c r="AE45">
        <v>21730</v>
      </c>
    </row>
    <row r="46" spans="1:31" x14ac:dyDescent="0.3">
      <c r="A46" t="s">
        <v>289</v>
      </c>
      <c r="B46" t="s">
        <v>210</v>
      </c>
      <c r="C46" t="s">
        <v>0</v>
      </c>
      <c r="D46" t="s">
        <v>211</v>
      </c>
      <c r="E46" t="s">
        <v>123</v>
      </c>
      <c r="F46">
        <v>4</v>
      </c>
      <c r="G46">
        <v>6</v>
      </c>
      <c r="H46">
        <v>8</v>
      </c>
      <c r="I46">
        <v>8</v>
      </c>
      <c r="J46">
        <v>10</v>
      </c>
      <c r="K46">
        <v>8</v>
      </c>
      <c r="L46">
        <v>8</v>
      </c>
      <c r="M46">
        <v>12</v>
      </c>
      <c r="N46">
        <v>14</v>
      </c>
      <c r="O46">
        <v>19</v>
      </c>
      <c r="P46">
        <v>24</v>
      </c>
      <c r="Q46">
        <v>29</v>
      </c>
      <c r="R46">
        <v>31</v>
      </c>
      <c r="S46">
        <v>25</v>
      </c>
      <c r="T46">
        <v>22</v>
      </c>
      <c r="U46">
        <v>21</v>
      </c>
      <c r="V46">
        <v>20</v>
      </c>
      <c r="W46">
        <v>22</v>
      </c>
      <c r="X46">
        <v>20</v>
      </c>
      <c r="Y46">
        <v>25</v>
      </c>
      <c r="Z46">
        <v>25</v>
      </c>
      <c r="AA46">
        <v>34</v>
      </c>
      <c r="AB46">
        <v>33</v>
      </c>
      <c r="AC46">
        <v>33</v>
      </c>
      <c r="AD46">
        <v>30</v>
      </c>
      <c r="AE46">
        <v>42</v>
      </c>
    </row>
    <row r="47" spans="1:31" x14ac:dyDescent="0.3">
      <c r="A47" t="s">
        <v>289</v>
      </c>
      <c r="B47" t="s">
        <v>212</v>
      </c>
      <c r="C47" t="s">
        <v>0</v>
      </c>
      <c r="D47" t="s">
        <v>213</v>
      </c>
      <c r="E47" t="s">
        <v>123</v>
      </c>
      <c r="F47">
        <v>120</v>
      </c>
      <c r="G47">
        <v>127</v>
      </c>
      <c r="H47">
        <v>134</v>
      </c>
      <c r="I47">
        <v>144</v>
      </c>
      <c r="J47">
        <v>162</v>
      </c>
      <c r="K47">
        <v>173</v>
      </c>
      <c r="L47">
        <v>182</v>
      </c>
      <c r="M47">
        <v>199</v>
      </c>
      <c r="N47">
        <v>209</v>
      </c>
      <c r="O47">
        <v>216</v>
      </c>
      <c r="P47">
        <v>224</v>
      </c>
      <c r="Q47">
        <v>245</v>
      </c>
      <c r="R47">
        <v>239</v>
      </c>
      <c r="S47">
        <v>234</v>
      </c>
      <c r="T47">
        <v>253</v>
      </c>
      <c r="U47">
        <v>259</v>
      </c>
      <c r="V47">
        <v>252</v>
      </c>
      <c r="W47">
        <v>272</v>
      </c>
      <c r="X47">
        <v>277</v>
      </c>
      <c r="Y47">
        <v>273</v>
      </c>
      <c r="Z47">
        <v>266</v>
      </c>
      <c r="AA47">
        <v>293</v>
      </c>
      <c r="AB47">
        <v>331</v>
      </c>
      <c r="AC47">
        <v>362</v>
      </c>
      <c r="AD47">
        <v>380</v>
      </c>
      <c r="AE47">
        <v>408</v>
      </c>
    </row>
    <row r="48" spans="1:31" x14ac:dyDescent="0.3">
      <c r="A48" t="s">
        <v>289</v>
      </c>
      <c r="B48" t="s">
        <v>214</v>
      </c>
      <c r="C48" t="s">
        <v>0</v>
      </c>
      <c r="D48" t="s">
        <v>215</v>
      </c>
      <c r="E48" t="s">
        <v>123</v>
      </c>
      <c r="F48">
        <v>1715</v>
      </c>
      <c r="G48">
        <v>1948</v>
      </c>
      <c r="H48">
        <v>2272</v>
      </c>
      <c r="I48">
        <v>2417</v>
      </c>
      <c r="J48">
        <v>2670</v>
      </c>
      <c r="K48">
        <v>2776</v>
      </c>
      <c r="L48">
        <v>3028</v>
      </c>
      <c r="M48">
        <v>3329</v>
      </c>
      <c r="N48">
        <v>3596</v>
      </c>
      <c r="O48">
        <v>3807</v>
      </c>
      <c r="P48">
        <v>4039</v>
      </c>
      <c r="Q48">
        <v>4306</v>
      </c>
      <c r="R48">
        <v>4522</v>
      </c>
      <c r="S48">
        <v>4682</v>
      </c>
      <c r="T48">
        <v>5083</v>
      </c>
      <c r="U48">
        <v>5466</v>
      </c>
      <c r="V48">
        <v>5676</v>
      </c>
      <c r="W48">
        <v>5938</v>
      </c>
      <c r="X48">
        <v>6128</v>
      </c>
      <c r="Y48">
        <v>6288</v>
      </c>
      <c r="Z48">
        <v>6233</v>
      </c>
      <c r="AA48">
        <v>6334</v>
      </c>
      <c r="AB48">
        <v>6553</v>
      </c>
      <c r="AC48">
        <v>6706</v>
      </c>
      <c r="AD48">
        <v>6813</v>
      </c>
      <c r="AE48">
        <v>7162</v>
      </c>
    </row>
    <row r="49" spans="1:31" x14ac:dyDescent="0.3">
      <c r="A49" t="s">
        <v>289</v>
      </c>
      <c r="B49" t="s">
        <v>216</v>
      </c>
      <c r="C49" t="s">
        <v>0</v>
      </c>
      <c r="D49" t="s">
        <v>217</v>
      </c>
      <c r="E49" t="s">
        <v>123</v>
      </c>
      <c r="F49">
        <v>1587</v>
      </c>
      <c r="G49">
        <v>1812</v>
      </c>
      <c r="H49">
        <v>2127</v>
      </c>
      <c r="I49">
        <v>2260</v>
      </c>
      <c r="J49">
        <v>2491</v>
      </c>
      <c r="K49">
        <v>2584</v>
      </c>
      <c r="L49">
        <v>2826</v>
      </c>
      <c r="M49">
        <v>3107</v>
      </c>
      <c r="N49">
        <v>3362</v>
      </c>
      <c r="O49">
        <v>3566</v>
      </c>
      <c r="P49">
        <v>3789</v>
      </c>
      <c r="Q49">
        <v>4033</v>
      </c>
      <c r="R49">
        <v>4252</v>
      </c>
      <c r="S49">
        <v>4416</v>
      </c>
      <c r="T49">
        <v>4795</v>
      </c>
      <c r="U49">
        <v>5166</v>
      </c>
      <c r="V49">
        <v>5380</v>
      </c>
      <c r="W49">
        <v>5617</v>
      </c>
      <c r="X49">
        <v>5798</v>
      </c>
      <c r="Y49">
        <v>5960</v>
      </c>
      <c r="Z49">
        <v>5914</v>
      </c>
      <c r="AA49">
        <v>5987</v>
      </c>
      <c r="AB49">
        <v>6166</v>
      </c>
      <c r="AC49">
        <v>6279</v>
      </c>
      <c r="AD49">
        <v>6361</v>
      </c>
      <c r="AE49">
        <v>6672</v>
      </c>
    </row>
    <row r="50" spans="1:31" x14ac:dyDescent="0.3">
      <c r="A50" t="s">
        <v>289</v>
      </c>
      <c r="B50" t="s">
        <v>218</v>
      </c>
      <c r="C50" t="s">
        <v>0</v>
      </c>
      <c r="D50" t="s">
        <v>219</v>
      </c>
      <c r="E50" t="s">
        <v>123</v>
      </c>
      <c r="F50">
        <v>8</v>
      </c>
      <c r="G50">
        <v>9</v>
      </c>
      <c r="H50">
        <v>11</v>
      </c>
      <c r="I50">
        <v>13</v>
      </c>
      <c r="J50">
        <v>17</v>
      </c>
      <c r="K50">
        <v>19</v>
      </c>
      <c r="L50">
        <v>20</v>
      </c>
      <c r="M50">
        <v>23</v>
      </c>
      <c r="N50">
        <v>25</v>
      </c>
      <c r="O50">
        <v>25</v>
      </c>
      <c r="P50">
        <v>26</v>
      </c>
      <c r="Q50">
        <v>28</v>
      </c>
      <c r="R50">
        <v>31</v>
      </c>
      <c r="S50">
        <v>32</v>
      </c>
      <c r="T50">
        <v>35</v>
      </c>
      <c r="U50">
        <v>41</v>
      </c>
      <c r="V50">
        <v>44</v>
      </c>
      <c r="W50">
        <v>49</v>
      </c>
      <c r="X50">
        <v>53</v>
      </c>
      <c r="Y50">
        <v>55</v>
      </c>
      <c r="Z50">
        <v>53</v>
      </c>
      <c r="AA50">
        <v>54</v>
      </c>
      <c r="AB50">
        <v>56</v>
      </c>
      <c r="AC50">
        <v>65</v>
      </c>
      <c r="AD50">
        <v>72</v>
      </c>
      <c r="AE50">
        <v>82</v>
      </c>
    </row>
    <row r="51" spans="1:31" x14ac:dyDescent="0.3">
      <c r="A51" t="s">
        <v>289</v>
      </c>
      <c r="B51" t="s">
        <v>220</v>
      </c>
      <c r="C51" t="s">
        <v>0</v>
      </c>
      <c r="D51" t="s">
        <v>221</v>
      </c>
      <c r="E51" t="s">
        <v>123</v>
      </c>
      <c r="F51">
        <v>8</v>
      </c>
      <c r="G51">
        <v>8</v>
      </c>
      <c r="H51">
        <v>9</v>
      </c>
      <c r="I51">
        <v>11</v>
      </c>
      <c r="J51">
        <v>14</v>
      </c>
      <c r="K51">
        <v>16</v>
      </c>
      <c r="L51">
        <v>17</v>
      </c>
      <c r="M51">
        <v>18</v>
      </c>
      <c r="N51">
        <v>19</v>
      </c>
      <c r="O51">
        <v>19</v>
      </c>
      <c r="P51">
        <v>19</v>
      </c>
      <c r="Q51">
        <v>20</v>
      </c>
      <c r="R51">
        <v>23</v>
      </c>
      <c r="S51">
        <v>24</v>
      </c>
      <c r="T51">
        <v>26</v>
      </c>
      <c r="U51">
        <v>29</v>
      </c>
      <c r="V51">
        <v>30</v>
      </c>
      <c r="W51">
        <v>32</v>
      </c>
      <c r="X51">
        <v>33</v>
      </c>
      <c r="Y51">
        <v>32</v>
      </c>
      <c r="Z51">
        <v>28</v>
      </c>
      <c r="AA51">
        <v>26</v>
      </c>
      <c r="AB51">
        <v>26</v>
      </c>
      <c r="AC51">
        <v>34</v>
      </c>
      <c r="AD51">
        <v>37</v>
      </c>
      <c r="AE51">
        <v>42</v>
      </c>
    </row>
    <row r="52" spans="1:31" x14ac:dyDescent="0.3">
      <c r="A52" t="s">
        <v>289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</v>
      </c>
      <c r="H52">
        <v>2</v>
      </c>
      <c r="I52">
        <v>2</v>
      </c>
      <c r="J52">
        <v>3</v>
      </c>
      <c r="K52">
        <v>3</v>
      </c>
      <c r="L52">
        <v>3</v>
      </c>
      <c r="M52">
        <v>5</v>
      </c>
      <c r="N52">
        <v>6</v>
      </c>
      <c r="O52">
        <v>6</v>
      </c>
      <c r="P52">
        <v>7</v>
      </c>
      <c r="Q52">
        <v>8</v>
      </c>
      <c r="R52">
        <v>8</v>
      </c>
      <c r="S52">
        <v>8</v>
      </c>
      <c r="T52">
        <v>9</v>
      </c>
      <c r="U52">
        <v>12</v>
      </c>
      <c r="V52">
        <v>14</v>
      </c>
      <c r="W52">
        <v>17</v>
      </c>
      <c r="X52">
        <v>20</v>
      </c>
      <c r="Y52">
        <v>23</v>
      </c>
      <c r="Z52">
        <v>25</v>
      </c>
      <c r="AA52">
        <v>28</v>
      </c>
      <c r="AB52">
        <v>30</v>
      </c>
      <c r="AC52">
        <v>31</v>
      </c>
      <c r="AD52">
        <v>35</v>
      </c>
      <c r="AE52">
        <v>40</v>
      </c>
    </row>
    <row r="53" spans="1:31" x14ac:dyDescent="0.3">
      <c r="A53" t="s">
        <v>289</v>
      </c>
      <c r="B53" t="s">
        <v>224</v>
      </c>
      <c r="C53" t="s">
        <v>0</v>
      </c>
      <c r="D53" t="s">
        <v>225</v>
      </c>
      <c r="E53" t="s">
        <v>123</v>
      </c>
      <c r="F53">
        <v>6</v>
      </c>
      <c r="G53">
        <v>6</v>
      </c>
      <c r="H53">
        <v>7</v>
      </c>
      <c r="I53">
        <v>9</v>
      </c>
      <c r="J53">
        <v>11</v>
      </c>
      <c r="K53">
        <v>12</v>
      </c>
      <c r="L53">
        <v>13</v>
      </c>
      <c r="M53">
        <v>13</v>
      </c>
      <c r="N53">
        <v>13</v>
      </c>
      <c r="O53">
        <v>12</v>
      </c>
      <c r="P53">
        <v>13</v>
      </c>
      <c r="Q53">
        <v>14</v>
      </c>
      <c r="R53">
        <v>16</v>
      </c>
      <c r="S53">
        <v>17</v>
      </c>
      <c r="T53">
        <v>22</v>
      </c>
      <c r="U53">
        <v>30</v>
      </c>
      <c r="V53">
        <v>34</v>
      </c>
      <c r="W53">
        <v>42</v>
      </c>
      <c r="X53">
        <v>46</v>
      </c>
      <c r="Y53">
        <v>55</v>
      </c>
      <c r="Z53">
        <v>59</v>
      </c>
      <c r="AA53">
        <v>56</v>
      </c>
      <c r="AB53">
        <v>67</v>
      </c>
      <c r="AC53">
        <v>75</v>
      </c>
      <c r="AD53">
        <v>81</v>
      </c>
      <c r="AE53">
        <v>88</v>
      </c>
    </row>
    <row r="54" spans="1:31" x14ac:dyDescent="0.3">
      <c r="A54" t="s">
        <v>289</v>
      </c>
      <c r="B54" t="s">
        <v>226</v>
      </c>
      <c r="C54" t="s">
        <v>0</v>
      </c>
      <c r="D54" t="s">
        <v>227</v>
      </c>
      <c r="E54" t="s">
        <v>123</v>
      </c>
      <c r="F54">
        <v>26</v>
      </c>
      <c r="G54">
        <v>28</v>
      </c>
      <c r="H54">
        <v>28</v>
      </c>
      <c r="I54">
        <v>31</v>
      </c>
      <c r="J54">
        <v>33</v>
      </c>
      <c r="K54">
        <v>36</v>
      </c>
      <c r="L54">
        <v>42</v>
      </c>
      <c r="M54">
        <v>44</v>
      </c>
      <c r="N54">
        <v>48</v>
      </c>
      <c r="O54">
        <v>50</v>
      </c>
      <c r="P54">
        <v>53</v>
      </c>
      <c r="Q54">
        <v>54</v>
      </c>
      <c r="R54">
        <v>52</v>
      </c>
      <c r="S54">
        <v>51</v>
      </c>
      <c r="T54">
        <v>54</v>
      </c>
      <c r="U54">
        <v>63</v>
      </c>
      <c r="V54">
        <v>66</v>
      </c>
      <c r="W54">
        <v>73</v>
      </c>
      <c r="X54">
        <v>78</v>
      </c>
      <c r="Y54">
        <v>87</v>
      </c>
      <c r="Z54">
        <v>91</v>
      </c>
      <c r="AA54">
        <v>90</v>
      </c>
      <c r="AB54">
        <v>102</v>
      </c>
      <c r="AC54">
        <v>111</v>
      </c>
      <c r="AD54">
        <v>117</v>
      </c>
      <c r="AE54">
        <v>127</v>
      </c>
    </row>
    <row r="55" spans="1:31" x14ac:dyDescent="0.3">
      <c r="A55" t="s">
        <v>289</v>
      </c>
      <c r="B55" t="s">
        <v>228</v>
      </c>
      <c r="C55" t="s">
        <v>0</v>
      </c>
      <c r="D55" t="s">
        <v>229</v>
      </c>
      <c r="E55" t="s">
        <v>123</v>
      </c>
      <c r="F55">
        <v>20</v>
      </c>
      <c r="G55">
        <v>22</v>
      </c>
      <c r="H55">
        <v>21</v>
      </c>
      <c r="I55">
        <v>22</v>
      </c>
      <c r="J55">
        <v>22</v>
      </c>
      <c r="K55">
        <v>24</v>
      </c>
      <c r="L55">
        <v>29</v>
      </c>
      <c r="M55">
        <v>31</v>
      </c>
      <c r="N55">
        <v>35</v>
      </c>
      <c r="O55">
        <v>38</v>
      </c>
      <c r="P55">
        <v>40</v>
      </c>
      <c r="Q55">
        <v>40</v>
      </c>
      <c r="R55">
        <v>36</v>
      </c>
      <c r="S55">
        <v>34</v>
      </c>
      <c r="T55">
        <v>32</v>
      </c>
      <c r="U55">
        <v>33</v>
      </c>
      <c r="V55">
        <v>32</v>
      </c>
      <c r="W55">
        <v>31</v>
      </c>
      <c r="X55">
        <v>32</v>
      </c>
      <c r="Y55">
        <v>32</v>
      </c>
      <c r="Z55">
        <v>32</v>
      </c>
      <c r="AA55">
        <v>34</v>
      </c>
      <c r="AB55">
        <v>35</v>
      </c>
      <c r="AC55">
        <v>36</v>
      </c>
      <c r="AD55">
        <v>36</v>
      </c>
      <c r="AE55">
        <v>39</v>
      </c>
    </row>
    <row r="56" spans="1:31" x14ac:dyDescent="0.3">
      <c r="A56" t="s">
        <v>289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289</v>
      </c>
      <c r="B57" t="s">
        <v>232</v>
      </c>
      <c r="C57" t="s">
        <v>0</v>
      </c>
      <c r="D57" t="s">
        <v>233</v>
      </c>
      <c r="E57" t="s">
        <v>123</v>
      </c>
      <c r="F57">
        <v>7996</v>
      </c>
      <c r="G57">
        <v>8955</v>
      </c>
      <c r="H57">
        <v>10115</v>
      </c>
      <c r="I57">
        <v>11180</v>
      </c>
      <c r="J57">
        <v>12843</v>
      </c>
      <c r="K57">
        <v>14304</v>
      </c>
      <c r="L57">
        <v>16181</v>
      </c>
      <c r="M57">
        <v>17943</v>
      </c>
      <c r="N57">
        <v>19526</v>
      </c>
      <c r="O57">
        <v>20813</v>
      </c>
      <c r="P57">
        <v>22272</v>
      </c>
      <c r="Q57">
        <v>23849</v>
      </c>
      <c r="R57">
        <v>25313</v>
      </c>
      <c r="S57">
        <v>26982</v>
      </c>
      <c r="T57">
        <v>29173</v>
      </c>
      <c r="U57">
        <v>30805</v>
      </c>
      <c r="V57">
        <v>31330</v>
      </c>
      <c r="W57">
        <v>31638</v>
      </c>
      <c r="X57">
        <v>31771</v>
      </c>
      <c r="Y57">
        <v>31511</v>
      </c>
      <c r="Z57">
        <v>30541</v>
      </c>
      <c r="AA57">
        <v>29689</v>
      </c>
      <c r="AB57">
        <v>29211</v>
      </c>
      <c r="AC57">
        <v>28740</v>
      </c>
      <c r="AD57">
        <v>28248</v>
      </c>
      <c r="AE57">
        <v>28940</v>
      </c>
    </row>
    <row r="58" spans="1:31" x14ac:dyDescent="0.3">
      <c r="A58" t="s">
        <v>289</v>
      </c>
      <c r="B58" t="s">
        <v>234</v>
      </c>
      <c r="C58" t="s">
        <v>0</v>
      </c>
      <c r="D58" t="s">
        <v>235</v>
      </c>
      <c r="E58" t="s">
        <v>123</v>
      </c>
      <c r="F58">
        <v>7996</v>
      </c>
      <c r="G58">
        <v>8955</v>
      </c>
      <c r="H58">
        <v>10115</v>
      </c>
      <c r="I58">
        <v>11180</v>
      </c>
      <c r="J58">
        <v>12843</v>
      </c>
      <c r="K58">
        <v>14304</v>
      </c>
      <c r="L58">
        <v>16181</v>
      </c>
      <c r="M58">
        <v>17943</v>
      </c>
      <c r="N58">
        <v>19526</v>
      </c>
      <c r="O58">
        <v>20813</v>
      </c>
      <c r="P58">
        <v>22272</v>
      </c>
      <c r="Q58">
        <v>23849</v>
      </c>
      <c r="R58">
        <v>25313</v>
      </c>
      <c r="S58">
        <v>26982</v>
      </c>
      <c r="T58">
        <v>29173</v>
      </c>
      <c r="U58">
        <v>30805</v>
      </c>
      <c r="V58">
        <v>31330</v>
      </c>
      <c r="W58">
        <v>31638</v>
      </c>
      <c r="X58">
        <v>31771</v>
      </c>
      <c r="Y58">
        <v>31511</v>
      </c>
      <c r="Z58">
        <v>30541</v>
      </c>
      <c r="AA58">
        <v>29689</v>
      </c>
      <c r="AB58">
        <v>29211</v>
      </c>
      <c r="AC58">
        <v>28740</v>
      </c>
      <c r="AD58">
        <v>28248</v>
      </c>
      <c r="AE58">
        <v>28940</v>
      </c>
    </row>
    <row r="59" spans="1:31" x14ac:dyDescent="0.3">
      <c r="A59" t="s">
        <v>289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290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290</v>
      </c>
      <c r="B3" t="s">
        <v>124</v>
      </c>
      <c r="C3" t="s">
        <v>0</v>
      </c>
      <c r="D3" t="s">
        <v>125</v>
      </c>
      <c r="E3" t="s">
        <v>123</v>
      </c>
      <c r="F3">
        <v>115</v>
      </c>
      <c r="G3">
        <v>113</v>
      </c>
      <c r="H3">
        <v>111</v>
      </c>
      <c r="I3">
        <v>112</v>
      </c>
      <c r="J3">
        <v>117</v>
      </c>
      <c r="K3">
        <v>126</v>
      </c>
      <c r="L3">
        <v>143</v>
      </c>
      <c r="M3">
        <v>161</v>
      </c>
      <c r="N3">
        <v>169</v>
      </c>
      <c r="O3">
        <v>167</v>
      </c>
      <c r="P3">
        <v>171</v>
      </c>
      <c r="Q3">
        <v>177</v>
      </c>
      <c r="R3">
        <v>196</v>
      </c>
      <c r="S3">
        <v>217</v>
      </c>
      <c r="T3">
        <v>235</v>
      </c>
      <c r="U3">
        <v>252</v>
      </c>
      <c r="V3">
        <v>282</v>
      </c>
      <c r="W3">
        <v>310</v>
      </c>
      <c r="X3">
        <v>304</v>
      </c>
      <c r="Y3">
        <v>283</v>
      </c>
      <c r="Z3">
        <v>261</v>
      </c>
      <c r="AA3">
        <v>249</v>
      </c>
      <c r="AB3">
        <v>255</v>
      </c>
      <c r="AC3">
        <v>272</v>
      </c>
      <c r="AD3">
        <v>284</v>
      </c>
      <c r="AE3">
        <v>296</v>
      </c>
    </row>
    <row r="4" spans="1:31" x14ac:dyDescent="0.3">
      <c r="A4" t="s">
        <v>290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290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290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290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290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290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290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290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290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290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290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290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290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290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290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290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290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290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290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290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290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290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290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290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290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290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290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290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290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290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290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290</v>
      </c>
      <c r="B35" t="s">
        <v>188</v>
      </c>
      <c r="C35" t="s">
        <v>0</v>
      </c>
      <c r="D35" t="s">
        <v>189</v>
      </c>
      <c r="E35" t="s">
        <v>123</v>
      </c>
      <c r="F35">
        <v>737</v>
      </c>
      <c r="G35">
        <v>789</v>
      </c>
      <c r="H35">
        <v>800</v>
      </c>
      <c r="I35">
        <v>816</v>
      </c>
      <c r="J35">
        <v>839</v>
      </c>
      <c r="K35">
        <v>845</v>
      </c>
      <c r="L35">
        <v>899</v>
      </c>
      <c r="M35">
        <v>930</v>
      </c>
      <c r="N35">
        <v>930</v>
      </c>
      <c r="O35">
        <v>916</v>
      </c>
      <c r="P35">
        <v>944</v>
      </c>
      <c r="Q35">
        <v>980</v>
      </c>
      <c r="R35">
        <v>1012</v>
      </c>
      <c r="S35">
        <v>1022</v>
      </c>
      <c r="T35">
        <v>1036</v>
      </c>
      <c r="U35">
        <v>1109</v>
      </c>
      <c r="V35">
        <v>1165</v>
      </c>
      <c r="W35">
        <v>1258</v>
      </c>
      <c r="X35">
        <v>1308</v>
      </c>
      <c r="Y35">
        <v>1332</v>
      </c>
      <c r="Z35">
        <v>1347</v>
      </c>
      <c r="AA35">
        <v>1418</v>
      </c>
      <c r="AB35">
        <v>1493</v>
      </c>
      <c r="AC35">
        <v>1553</v>
      </c>
      <c r="AD35">
        <v>1607</v>
      </c>
      <c r="AE35">
        <v>1676</v>
      </c>
    </row>
    <row r="36" spans="1:31" x14ac:dyDescent="0.3">
      <c r="A36" t="s">
        <v>290</v>
      </c>
      <c r="B36" t="s">
        <v>190</v>
      </c>
      <c r="C36" t="s">
        <v>0</v>
      </c>
      <c r="D36" t="s">
        <v>191</v>
      </c>
      <c r="E36" t="s">
        <v>123</v>
      </c>
      <c r="F36">
        <v>737</v>
      </c>
      <c r="G36">
        <v>789</v>
      </c>
      <c r="H36">
        <v>800</v>
      </c>
      <c r="I36">
        <v>816</v>
      </c>
      <c r="J36">
        <v>839</v>
      </c>
      <c r="K36">
        <v>845</v>
      </c>
      <c r="L36">
        <v>899</v>
      </c>
      <c r="M36">
        <v>930</v>
      </c>
      <c r="N36">
        <v>930</v>
      </c>
      <c r="O36">
        <v>916</v>
      </c>
      <c r="P36">
        <v>944</v>
      </c>
      <c r="Q36">
        <v>980</v>
      </c>
      <c r="R36">
        <v>1012</v>
      </c>
      <c r="S36">
        <v>1022</v>
      </c>
      <c r="T36">
        <v>1036</v>
      </c>
      <c r="U36">
        <v>1109</v>
      </c>
      <c r="V36">
        <v>1165</v>
      </c>
      <c r="W36">
        <v>1258</v>
      </c>
      <c r="X36">
        <v>1308</v>
      </c>
      <c r="Y36">
        <v>1332</v>
      </c>
      <c r="Z36">
        <v>1347</v>
      </c>
      <c r="AA36">
        <v>1418</v>
      </c>
      <c r="AB36">
        <v>1493</v>
      </c>
      <c r="AC36">
        <v>1553</v>
      </c>
      <c r="AD36">
        <v>1607</v>
      </c>
      <c r="AE36">
        <v>1676</v>
      </c>
    </row>
    <row r="37" spans="1:31" x14ac:dyDescent="0.3">
      <c r="A37" t="s">
        <v>290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290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290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290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290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290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290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290</v>
      </c>
      <c r="B44" t="s">
        <v>206</v>
      </c>
      <c r="C44" t="s">
        <v>0</v>
      </c>
      <c r="D44" t="s">
        <v>207</v>
      </c>
      <c r="E44" t="s">
        <v>123</v>
      </c>
      <c r="F44">
        <v>950</v>
      </c>
      <c r="G44">
        <v>1004</v>
      </c>
      <c r="H44">
        <v>1013</v>
      </c>
      <c r="I44">
        <v>1032</v>
      </c>
      <c r="J44">
        <v>1062</v>
      </c>
      <c r="K44">
        <v>1080</v>
      </c>
      <c r="L44">
        <v>1156</v>
      </c>
      <c r="M44">
        <v>1211</v>
      </c>
      <c r="N44">
        <v>1220</v>
      </c>
      <c r="O44">
        <v>1205</v>
      </c>
      <c r="P44">
        <v>1243</v>
      </c>
      <c r="Q44">
        <v>1293</v>
      </c>
      <c r="R44">
        <v>1351</v>
      </c>
      <c r="S44">
        <v>1387</v>
      </c>
      <c r="T44">
        <v>1435</v>
      </c>
      <c r="U44">
        <v>1549</v>
      </c>
      <c r="V44">
        <v>1663</v>
      </c>
      <c r="W44">
        <v>1810</v>
      </c>
      <c r="X44">
        <v>1871</v>
      </c>
      <c r="Y44">
        <v>1885</v>
      </c>
      <c r="Z44">
        <v>1872</v>
      </c>
      <c r="AA44">
        <v>1942</v>
      </c>
      <c r="AB44">
        <v>2042</v>
      </c>
      <c r="AC44">
        <v>2151</v>
      </c>
      <c r="AD44">
        <v>2238</v>
      </c>
      <c r="AE44">
        <v>2338</v>
      </c>
    </row>
    <row r="45" spans="1:31" x14ac:dyDescent="0.3">
      <c r="A45" t="s">
        <v>290</v>
      </c>
      <c r="B45" t="s">
        <v>208</v>
      </c>
      <c r="C45" t="s">
        <v>0</v>
      </c>
      <c r="D45" t="s">
        <v>209</v>
      </c>
      <c r="E45" t="s">
        <v>123</v>
      </c>
      <c r="F45">
        <v>950</v>
      </c>
      <c r="G45">
        <v>1004</v>
      </c>
      <c r="H45">
        <v>1013</v>
      </c>
      <c r="I45">
        <v>1032</v>
      </c>
      <c r="J45">
        <v>1062</v>
      </c>
      <c r="K45">
        <v>1080</v>
      </c>
      <c r="L45">
        <v>1156</v>
      </c>
      <c r="M45">
        <v>1211</v>
      </c>
      <c r="N45">
        <v>1220</v>
      </c>
      <c r="O45">
        <v>1205</v>
      </c>
      <c r="P45">
        <v>1243</v>
      </c>
      <c r="Q45">
        <v>1293</v>
      </c>
      <c r="R45">
        <v>1351</v>
      </c>
      <c r="S45">
        <v>1387</v>
      </c>
      <c r="T45">
        <v>1435</v>
      </c>
      <c r="U45">
        <v>1549</v>
      </c>
      <c r="V45">
        <v>1663</v>
      </c>
      <c r="W45">
        <v>1810</v>
      </c>
      <c r="X45">
        <v>1871</v>
      </c>
      <c r="Y45">
        <v>1885</v>
      </c>
      <c r="Z45">
        <v>1872</v>
      </c>
      <c r="AA45">
        <v>1942</v>
      </c>
      <c r="AB45">
        <v>2042</v>
      </c>
      <c r="AC45">
        <v>2151</v>
      </c>
      <c r="AD45">
        <v>2238</v>
      </c>
      <c r="AE45">
        <v>2338</v>
      </c>
    </row>
    <row r="46" spans="1:31" x14ac:dyDescent="0.3">
      <c r="A46" t="s">
        <v>290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290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290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290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290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290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290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290</v>
      </c>
      <c r="B53" t="s">
        <v>224</v>
      </c>
      <c r="C53" t="s">
        <v>0</v>
      </c>
      <c r="D53" t="s">
        <v>225</v>
      </c>
      <c r="E53" t="s">
        <v>123</v>
      </c>
      <c r="F53">
        <v>98</v>
      </c>
      <c r="G53">
        <v>102</v>
      </c>
      <c r="H53">
        <v>102</v>
      </c>
      <c r="I53">
        <v>104</v>
      </c>
      <c r="J53">
        <v>106</v>
      </c>
      <c r="K53">
        <v>109</v>
      </c>
      <c r="L53">
        <v>114</v>
      </c>
      <c r="M53">
        <v>120</v>
      </c>
      <c r="N53">
        <v>121</v>
      </c>
      <c r="O53">
        <v>122</v>
      </c>
      <c r="P53">
        <v>128</v>
      </c>
      <c r="Q53">
        <v>136</v>
      </c>
      <c r="R53">
        <v>143</v>
      </c>
      <c r="S53">
        <v>148</v>
      </c>
      <c r="T53">
        <v>164</v>
      </c>
      <c r="U53">
        <v>188</v>
      </c>
      <c r="V53">
        <v>216</v>
      </c>
      <c r="W53">
        <v>242</v>
      </c>
      <c r="X53">
        <v>259</v>
      </c>
      <c r="Y53">
        <v>270</v>
      </c>
      <c r="Z53">
        <v>264</v>
      </c>
      <c r="AA53">
        <v>275</v>
      </c>
      <c r="AB53">
        <v>294</v>
      </c>
      <c r="AC53">
        <v>326</v>
      </c>
      <c r="AD53">
        <v>347</v>
      </c>
      <c r="AE53">
        <v>366</v>
      </c>
    </row>
    <row r="54" spans="1:31" x14ac:dyDescent="0.3">
      <c r="A54" t="s">
        <v>290</v>
      </c>
      <c r="B54" t="s">
        <v>226</v>
      </c>
      <c r="C54" t="s">
        <v>0</v>
      </c>
      <c r="D54" t="s">
        <v>227</v>
      </c>
      <c r="E54" t="s">
        <v>123</v>
      </c>
      <c r="F54">
        <v>98</v>
      </c>
      <c r="G54">
        <v>102</v>
      </c>
      <c r="H54">
        <v>102</v>
      </c>
      <c r="I54">
        <v>104</v>
      </c>
      <c r="J54">
        <v>106</v>
      </c>
      <c r="K54">
        <v>109</v>
      </c>
      <c r="L54">
        <v>114</v>
      </c>
      <c r="M54">
        <v>120</v>
      </c>
      <c r="N54">
        <v>121</v>
      </c>
      <c r="O54">
        <v>122</v>
      </c>
      <c r="P54">
        <v>128</v>
      </c>
      <c r="Q54">
        <v>136</v>
      </c>
      <c r="R54">
        <v>143</v>
      </c>
      <c r="S54">
        <v>148</v>
      </c>
      <c r="T54">
        <v>164</v>
      </c>
      <c r="U54">
        <v>188</v>
      </c>
      <c r="V54">
        <v>216</v>
      </c>
      <c r="W54">
        <v>242</v>
      </c>
      <c r="X54">
        <v>259</v>
      </c>
      <c r="Y54">
        <v>270</v>
      </c>
      <c r="Z54">
        <v>264</v>
      </c>
      <c r="AA54">
        <v>275</v>
      </c>
      <c r="AB54">
        <v>294</v>
      </c>
      <c r="AC54">
        <v>326</v>
      </c>
      <c r="AD54">
        <v>347</v>
      </c>
      <c r="AE54">
        <v>366</v>
      </c>
    </row>
    <row r="55" spans="1:31" x14ac:dyDescent="0.3">
      <c r="A55" t="s">
        <v>290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290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290</v>
      </c>
      <c r="B57" t="s">
        <v>232</v>
      </c>
      <c r="C57" t="s">
        <v>0</v>
      </c>
      <c r="D57" t="s">
        <v>233</v>
      </c>
      <c r="E57" t="s">
        <v>123</v>
      </c>
      <c r="F57">
        <v>950</v>
      </c>
      <c r="G57">
        <v>1004</v>
      </c>
      <c r="H57">
        <v>1013</v>
      </c>
      <c r="I57">
        <v>1032</v>
      </c>
      <c r="J57">
        <v>1062</v>
      </c>
      <c r="K57">
        <v>1080</v>
      </c>
      <c r="L57">
        <v>1156</v>
      </c>
      <c r="M57">
        <v>1211</v>
      </c>
      <c r="N57">
        <v>1220</v>
      </c>
      <c r="O57">
        <v>1205</v>
      </c>
      <c r="P57">
        <v>1243</v>
      </c>
      <c r="Q57">
        <v>1293</v>
      </c>
      <c r="R57">
        <v>1351</v>
      </c>
      <c r="S57">
        <v>1387</v>
      </c>
      <c r="T57">
        <v>1435</v>
      </c>
      <c r="U57">
        <v>1549</v>
      </c>
      <c r="V57">
        <v>1663</v>
      </c>
      <c r="W57">
        <v>1810</v>
      </c>
      <c r="X57">
        <v>1871</v>
      </c>
      <c r="Y57">
        <v>1885</v>
      </c>
      <c r="Z57">
        <v>1872</v>
      </c>
      <c r="AA57">
        <v>1942</v>
      </c>
      <c r="AB57">
        <v>2042</v>
      </c>
      <c r="AC57">
        <v>2151</v>
      </c>
      <c r="AD57">
        <v>2238</v>
      </c>
      <c r="AE57">
        <v>2338</v>
      </c>
    </row>
    <row r="58" spans="1:31" x14ac:dyDescent="0.3">
      <c r="A58" t="s">
        <v>290</v>
      </c>
      <c r="B58" t="s">
        <v>234</v>
      </c>
      <c r="C58" t="s">
        <v>0</v>
      </c>
      <c r="D58" t="s">
        <v>235</v>
      </c>
      <c r="E58" t="s">
        <v>123</v>
      </c>
      <c r="F58">
        <v>950</v>
      </c>
      <c r="G58">
        <v>1004</v>
      </c>
      <c r="H58">
        <v>1013</v>
      </c>
      <c r="I58">
        <v>1032</v>
      </c>
      <c r="J58">
        <v>1062</v>
      </c>
      <c r="K58">
        <v>1080</v>
      </c>
      <c r="L58">
        <v>1156</v>
      </c>
      <c r="M58">
        <v>1211</v>
      </c>
      <c r="N58">
        <v>1220</v>
      </c>
      <c r="O58">
        <v>1205</v>
      </c>
      <c r="P58">
        <v>1243</v>
      </c>
      <c r="Q58">
        <v>1293</v>
      </c>
      <c r="R58">
        <v>1351</v>
      </c>
      <c r="S58">
        <v>1387</v>
      </c>
      <c r="T58">
        <v>1435</v>
      </c>
      <c r="U58">
        <v>1549</v>
      </c>
      <c r="V58">
        <v>1663</v>
      </c>
      <c r="W58">
        <v>1810</v>
      </c>
      <c r="X58">
        <v>1871</v>
      </c>
      <c r="Y58">
        <v>1885</v>
      </c>
      <c r="Z58">
        <v>1872</v>
      </c>
      <c r="AA58">
        <v>1942</v>
      </c>
      <c r="AB58">
        <v>2042</v>
      </c>
      <c r="AC58">
        <v>2151</v>
      </c>
      <c r="AD58">
        <v>2238</v>
      </c>
      <c r="AE58">
        <v>2338</v>
      </c>
    </row>
    <row r="59" spans="1:31" x14ac:dyDescent="0.3">
      <c r="A59" t="s">
        <v>290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291</v>
      </c>
      <c r="B2" t="s">
        <v>121</v>
      </c>
      <c r="C2" t="s">
        <v>0</v>
      </c>
      <c r="D2" t="s">
        <v>122</v>
      </c>
      <c r="E2" t="s">
        <v>123</v>
      </c>
      <c r="F2">
        <v>14043</v>
      </c>
      <c r="G2">
        <v>12682</v>
      </c>
      <c r="H2">
        <v>12528</v>
      </c>
      <c r="I2">
        <v>12985</v>
      </c>
      <c r="J2">
        <v>13173</v>
      </c>
      <c r="K2">
        <v>13396</v>
      </c>
      <c r="L2">
        <v>14040</v>
      </c>
      <c r="M2">
        <v>14527</v>
      </c>
      <c r="N2">
        <v>14925</v>
      </c>
      <c r="O2">
        <v>15187</v>
      </c>
      <c r="P2">
        <v>15560</v>
      </c>
      <c r="Q2">
        <v>16095</v>
      </c>
      <c r="R2">
        <v>17001</v>
      </c>
      <c r="S2">
        <v>18294</v>
      </c>
      <c r="T2">
        <v>18709</v>
      </c>
      <c r="U2">
        <v>19081</v>
      </c>
      <c r="V2">
        <v>18765</v>
      </c>
      <c r="W2">
        <v>19114</v>
      </c>
      <c r="X2">
        <v>19945</v>
      </c>
      <c r="Y2">
        <v>20285</v>
      </c>
      <c r="Z2">
        <v>19839</v>
      </c>
      <c r="AA2">
        <v>19627</v>
      </c>
      <c r="AB2">
        <v>19671</v>
      </c>
      <c r="AC2">
        <v>19819</v>
      </c>
      <c r="AD2">
        <v>20746</v>
      </c>
      <c r="AE2">
        <v>21202</v>
      </c>
    </row>
    <row r="3" spans="1:31" x14ac:dyDescent="0.3">
      <c r="A3" t="s">
        <v>291</v>
      </c>
      <c r="B3" t="s">
        <v>124</v>
      </c>
      <c r="C3" t="s">
        <v>0</v>
      </c>
      <c r="D3" t="s">
        <v>125</v>
      </c>
      <c r="E3" t="s">
        <v>123</v>
      </c>
      <c r="F3">
        <v>828</v>
      </c>
      <c r="G3">
        <v>803</v>
      </c>
      <c r="H3">
        <v>779</v>
      </c>
      <c r="I3">
        <v>795</v>
      </c>
      <c r="J3">
        <v>823</v>
      </c>
      <c r="K3">
        <v>859</v>
      </c>
      <c r="L3">
        <v>916</v>
      </c>
      <c r="M3">
        <v>955</v>
      </c>
      <c r="N3">
        <v>1022</v>
      </c>
      <c r="O3">
        <v>1026</v>
      </c>
      <c r="P3">
        <v>1055</v>
      </c>
      <c r="Q3">
        <v>1121</v>
      </c>
      <c r="R3">
        <v>1375</v>
      </c>
      <c r="S3">
        <v>1967</v>
      </c>
      <c r="T3">
        <v>2222</v>
      </c>
      <c r="U3">
        <v>2350</v>
      </c>
      <c r="V3">
        <v>2593</v>
      </c>
      <c r="W3">
        <v>2866</v>
      </c>
      <c r="X3">
        <v>3035</v>
      </c>
      <c r="Y3">
        <v>3101</v>
      </c>
      <c r="Z3">
        <v>3211</v>
      </c>
      <c r="AA3">
        <v>3207</v>
      </c>
      <c r="AB3">
        <v>3271</v>
      </c>
      <c r="AC3">
        <v>3410</v>
      </c>
      <c r="AD3">
        <v>3571</v>
      </c>
      <c r="AE3">
        <v>3842</v>
      </c>
    </row>
    <row r="4" spans="1:31" x14ac:dyDescent="0.3">
      <c r="A4" t="s">
        <v>291</v>
      </c>
      <c r="B4" t="s">
        <v>126</v>
      </c>
      <c r="C4" t="s">
        <v>0</v>
      </c>
      <c r="D4" t="s">
        <v>127</v>
      </c>
      <c r="E4" t="s">
        <v>123</v>
      </c>
      <c r="F4">
        <v>40944</v>
      </c>
      <c r="G4">
        <v>41351</v>
      </c>
      <c r="H4">
        <v>42849</v>
      </c>
      <c r="I4">
        <v>44711</v>
      </c>
      <c r="J4">
        <v>46450</v>
      </c>
      <c r="K4">
        <v>48207</v>
      </c>
      <c r="L4">
        <v>50944</v>
      </c>
      <c r="M4">
        <v>52842</v>
      </c>
      <c r="N4">
        <v>53537</v>
      </c>
      <c r="O4">
        <v>53878</v>
      </c>
      <c r="P4">
        <v>55051</v>
      </c>
      <c r="Q4">
        <v>56901</v>
      </c>
      <c r="R4">
        <v>58896</v>
      </c>
      <c r="S4">
        <v>61446</v>
      </c>
      <c r="T4">
        <v>63482</v>
      </c>
      <c r="U4">
        <v>62919</v>
      </c>
      <c r="V4">
        <v>60891</v>
      </c>
      <c r="W4">
        <v>60513</v>
      </c>
      <c r="X4">
        <v>60200</v>
      </c>
      <c r="Y4">
        <v>59190</v>
      </c>
      <c r="Z4">
        <v>57963</v>
      </c>
      <c r="AA4">
        <v>57231</v>
      </c>
      <c r="AB4">
        <v>57523</v>
      </c>
      <c r="AC4">
        <v>57389</v>
      </c>
      <c r="AD4">
        <v>57321</v>
      </c>
      <c r="AE4">
        <v>57946</v>
      </c>
    </row>
    <row r="5" spans="1:31" x14ac:dyDescent="0.3">
      <c r="A5" t="s">
        <v>291</v>
      </c>
      <c r="B5" t="s">
        <v>128</v>
      </c>
      <c r="C5" t="s">
        <v>0</v>
      </c>
      <c r="D5" t="s">
        <v>129</v>
      </c>
      <c r="E5" t="s">
        <v>123</v>
      </c>
      <c r="F5">
        <v>4358</v>
      </c>
      <c r="G5">
        <v>4288</v>
      </c>
      <c r="H5">
        <v>4294</v>
      </c>
      <c r="I5">
        <v>4328</v>
      </c>
      <c r="J5">
        <v>4378</v>
      </c>
      <c r="K5">
        <v>4437</v>
      </c>
      <c r="L5">
        <v>4552</v>
      </c>
      <c r="M5">
        <v>4747</v>
      </c>
      <c r="N5">
        <v>4746</v>
      </c>
      <c r="O5">
        <v>4655</v>
      </c>
      <c r="P5">
        <v>4717</v>
      </c>
      <c r="Q5">
        <v>4824</v>
      </c>
      <c r="R5">
        <v>4940</v>
      </c>
      <c r="S5">
        <v>5141</v>
      </c>
      <c r="T5">
        <v>5267</v>
      </c>
      <c r="U5">
        <v>5124</v>
      </c>
      <c r="V5">
        <v>4875</v>
      </c>
      <c r="W5">
        <v>4931</v>
      </c>
      <c r="X5">
        <v>5082</v>
      </c>
      <c r="Y5">
        <v>5182</v>
      </c>
      <c r="Z5">
        <v>5166</v>
      </c>
      <c r="AA5">
        <v>5307</v>
      </c>
      <c r="AB5">
        <v>5472</v>
      </c>
      <c r="AC5">
        <v>5503</v>
      </c>
      <c r="AD5">
        <v>5526</v>
      </c>
      <c r="AE5">
        <v>5651</v>
      </c>
    </row>
    <row r="6" spans="1:31" x14ac:dyDescent="0.3">
      <c r="A6" t="s">
        <v>291</v>
      </c>
      <c r="B6" t="s">
        <v>130</v>
      </c>
      <c r="C6" t="s">
        <v>0</v>
      </c>
      <c r="D6" t="s">
        <v>131</v>
      </c>
      <c r="E6" t="s">
        <v>123</v>
      </c>
      <c r="F6">
        <v>764</v>
      </c>
      <c r="G6">
        <v>704</v>
      </c>
      <c r="H6">
        <v>690</v>
      </c>
      <c r="I6">
        <v>676</v>
      </c>
      <c r="J6">
        <v>652</v>
      </c>
      <c r="K6">
        <v>635</v>
      </c>
      <c r="L6">
        <v>632</v>
      </c>
      <c r="M6">
        <v>617</v>
      </c>
      <c r="N6">
        <v>582</v>
      </c>
      <c r="O6">
        <v>544</v>
      </c>
      <c r="P6">
        <v>521</v>
      </c>
      <c r="Q6">
        <v>511</v>
      </c>
      <c r="R6">
        <v>496</v>
      </c>
      <c r="S6">
        <v>481</v>
      </c>
      <c r="T6">
        <v>448</v>
      </c>
      <c r="U6">
        <v>407</v>
      </c>
      <c r="V6">
        <v>368</v>
      </c>
      <c r="W6">
        <v>354</v>
      </c>
      <c r="X6">
        <v>331</v>
      </c>
      <c r="Y6">
        <v>314</v>
      </c>
      <c r="Z6">
        <v>304</v>
      </c>
      <c r="AA6">
        <v>309</v>
      </c>
      <c r="AB6">
        <v>308</v>
      </c>
      <c r="AC6">
        <v>319</v>
      </c>
      <c r="AD6">
        <v>315</v>
      </c>
      <c r="AE6">
        <v>327</v>
      </c>
    </row>
    <row r="7" spans="1:31" x14ac:dyDescent="0.3">
      <c r="A7" t="s">
        <v>291</v>
      </c>
      <c r="B7" t="s">
        <v>132</v>
      </c>
      <c r="C7" t="s">
        <v>0</v>
      </c>
      <c r="D7" t="s">
        <v>133</v>
      </c>
      <c r="E7" t="s">
        <v>123</v>
      </c>
      <c r="F7">
        <v>15048</v>
      </c>
      <c r="G7">
        <v>15270</v>
      </c>
      <c r="H7">
        <v>15415</v>
      </c>
      <c r="I7">
        <v>15749</v>
      </c>
      <c r="J7">
        <v>15743</v>
      </c>
      <c r="K7">
        <v>15774</v>
      </c>
      <c r="L7">
        <v>16502</v>
      </c>
      <c r="M7">
        <v>16405</v>
      </c>
      <c r="N7">
        <v>16180</v>
      </c>
      <c r="O7">
        <v>15713</v>
      </c>
      <c r="P7">
        <v>15593</v>
      </c>
      <c r="Q7">
        <v>15661</v>
      </c>
      <c r="R7">
        <v>15498</v>
      </c>
      <c r="S7">
        <v>15733</v>
      </c>
      <c r="T7">
        <v>15387</v>
      </c>
      <c r="U7">
        <v>14617</v>
      </c>
      <c r="V7">
        <v>13686</v>
      </c>
      <c r="W7">
        <v>13372</v>
      </c>
      <c r="X7">
        <v>13227</v>
      </c>
      <c r="Y7">
        <v>12777</v>
      </c>
      <c r="Z7">
        <v>12366</v>
      </c>
      <c r="AA7">
        <v>12483</v>
      </c>
      <c r="AB7">
        <v>12778</v>
      </c>
      <c r="AC7">
        <v>12657</v>
      </c>
      <c r="AD7">
        <v>12659</v>
      </c>
      <c r="AE7">
        <v>12600</v>
      </c>
    </row>
    <row r="8" spans="1:31" x14ac:dyDescent="0.3">
      <c r="A8" t="s">
        <v>291</v>
      </c>
      <c r="B8" t="s">
        <v>134</v>
      </c>
      <c r="C8" t="s">
        <v>0</v>
      </c>
      <c r="D8" t="s">
        <v>135</v>
      </c>
      <c r="E8" t="s">
        <v>123</v>
      </c>
      <c r="F8">
        <v>1328</v>
      </c>
      <c r="G8">
        <v>1261</v>
      </c>
      <c r="H8">
        <v>1341</v>
      </c>
      <c r="I8">
        <v>1332</v>
      </c>
      <c r="J8">
        <v>1337</v>
      </c>
      <c r="K8">
        <v>1312</v>
      </c>
      <c r="L8">
        <v>1368</v>
      </c>
      <c r="M8">
        <v>1331</v>
      </c>
      <c r="N8">
        <v>1331</v>
      </c>
      <c r="O8">
        <v>1306</v>
      </c>
      <c r="P8">
        <v>1440</v>
      </c>
      <c r="Q8">
        <v>1602</v>
      </c>
      <c r="R8">
        <v>2303</v>
      </c>
      <c r="S8">
        <v>2340</v>
      </c>
      <c r="T8">
        <v>2463</v>
      </c>
      <c r="U8">
        <v>2467</v>
      </c>
      <c r="V8">
        <v>2366</v>
      </c>
      <c r="W8">
        <v>2408</v>
      </c>
      <c r="X8">
        <v>2463</v>
      </c>
      <c r="Y8">
        <v>2482</v>
      </c>
      <c r="Z8">
        <v>2641</v>
      </c>
      <c r="AA8">
        <v>2548</v>
      </c>
      <c r="AB8">
        <v>2843</v>
      </c>
      <c r="AC8">
        <v>2916</v>
      </c>
      <c r="AD8">
        <v>2921</v>
      </c>
      <c r="AE8">
        <v>2894</v>
      </c>
    </row>
    <row r="9" spans="1:31" x14ac:dyDescent="0.3">
      <c r="A9" t="s">
        <v>291</v>
      </c>
      <c r="B9" t="s">
        <v>136</v>
      </c>
      <c r="C9" t="s">
        <v>0</v>
      </c>
      <c r="D9" t="s">
        <v>137</v>
      </c>
      <c r="E9" t="s">
        <v>123</v>
      </c>
      <c r="F9">
        <v>3076</v>
      </c>
      <c r="G9">
        <v>3023</v>
      </c>
      <c r="H9">
        <v>3183</v>
      </c>
      <c r="I9">
        <v>3298</v>
      </c>
      <c r="J9">
        <v>3411</v>
      </c>
      <c r="K9">
        <v>3436</v>
      </c>
      <c r="L9">
        <v>3539</v>
      </c>
      <c r="M9">
        <v>3759</v>
      </c>
      <c r="N9">
        <v>3754</v>
      </c>
      <c r="O9">
        <v>3782</v>
      </c>
      <c r="P9">
        <v>3793</v>
      </c>
      <c r="Q9">
        <v>3898</v>
      </c>
      <c r="R9">
        <v>4077</v>
      </c>
      <c r="S9">
        <v>4236</v>
      </c>
      <c r="T9">
        <v>4500</v>
      </c>
      <c r="U9">
        <v>4406</v>
      </c>
      <c r="V9">
        <v>4262</v>
      </c>
      <c r="W9">
        <v>4296</v>
      </c>
      <c r="X9">
        <v>4440</v>
      </c>
      <c r="Y9">
        <v>4392</v>
      </c>
      <c r="Z9">
        <v>4423</v>
      </c>
      <c r="AA9">
        <v>4508</v>
      </c>
      <c r="AB9">
        <v>4783</v>
      </c>
      <c r="AC9">
        <v>4891</v>
      </c>
      <c r="AD9">
        <v>4947</v>
      </c>
      <c r="AE9">
        <v>5033</v>
      </c>
    </row>
    <row r="10" spans="1:31" x14ac:dyDescent="0.3">
      <c r="A10" t="s">
        <v>291</v>
      </c>
      <c r="B10" t="s">
        <v>138</v>
      </c>
      <c r="C10" t="s">
        <v>0</v>
      </c>
      <c r="D10" t="s">
        <v>139</v>
      </c>
      <c r="E10" t="s">
        <v>123</v>
      </c>
      <c r="F10">
        <v>4048</v>
      </c>
      <c r="G10">
        <v>4022</v>
      </c>
      <c r="H10">
        <v>4214</v>
      </c>
      <c r="I10">
        <v>4372</v>
      </c>
      <c r="J10">
        <v>4532</v>
      </c>
      <c r="K10">
        <v>4618</v>
      </c>
      <c r="L10">
        <v>4800</v>
      </c>
      <c r="M10">
        <v>5171</v>
      </c>
      <c r="N10">
        <v>5228</v>
      </c>
      <c r="O10">
        <v>5281</v>
      </c>
      <c r="P10">
        <v>5323</v>
      </c>
      <c r="Q10">
        <v>5486</v>
      </c>
      <c r="R10">
        <v>5740</v>
      </c>
      <c r="S10">
        <v>5978</v>
      </c>
      <c r="T10">
        <v>6372</v>
      </c>
      <c r="U10">
        <v>6341</v>
      </c>
      <c r="V10">
        <v>6205</v>
      </c>
      <c r="W10">
        <v>6361</v>
      </c>
      <c r="X10">
        <v>6683</v>
      </c>
      <c r="Y10">
        <v>6752</v>
      </c>
      <c r="Z10">
        <v>6840</v>
      </c>
      <c r="AA10">
        <v>6992</v>
      </c>
      <c r="AB10">
        <v>7360</v>
      </c>
      <c r="AC10">
        <v>7509</v>
      </c>
      <c r="AD10">
        <v>7547</v>
      </c>
      <c r="AE10">
        <v>7734</v>
      </c>
    </row>
    <row r="11" spans="1:31" x14ac:dyDescent="0.3">
      <c r="A11" t="s">
        <v>291</v>
      </c>
      <c r="B11" t="s">
        <v>140</v>
      </c>
      <c r="C11" t="s">
        <v>0</v>
      </c>
      <c r="D11" t="s">
        <v>141</v>
      </c>
      <c r="E11" t="s">
        <v>123</v>
      </c>
      <c r="F11">
        <v>972</v>
      </c>
      <c r="G11">
        <v>999</v>
      </c>
      <c r="H11">
        <v>1031</v>
      </c>
      <c r="I11">
        <v>1074</v>
      </c>
      <c r="J11">
        <v>1121</v>
      </c>
      <c r="K11">
        <v>1182</v>
      </c>
      <c r="L11">
        <v>1261</v>
      </c>
      <c r="M11">
        <v>1412</v>
      </c>
      <c r="N11">
        <v>1474</v>
      </c>
      <c r="O11">
        <v>1499</v>
      </c>
      <c r="P11">
        <v>1530</v>
      </c>
      <c r="Q11">
        <v>1588</v>
      </c>
      <c r="R11">
        <v>1663</v>
      </c>
      <c r="S11">
        <v>1742</v>
      </c>
      <c r="T11">
        <v>1872</v>
      </c>
      <c r="U11">
        <v>1935</v>
      </c>
      <c r="V11">
        <v>1943</v>
      </c>
      <c r="W11">
        <v>2065</v>
      </c>
      <c r="X11">
        <v>2243</v>
      </c>
      <c r="Y11">
        <v>2360</v>
      </c>
      <c r="Z11">
        <v>2417</v>
      </c>
      <c r="AA11">
        <v>2484</v>
      </c>
      <c r="AB11">
        <v>2577</v>
      </c>
      <c r="AC11">
        <v>2618</v>
      </c>
      <c r="AD11">
        <v>2600</v>
      </c>
      <c r="AE11">
        <v>2701</v>
      </c>
    </row>
    <row r="12" spans="1:31" x14ac:dyDescent="0.3">
      <c r="A12" t="s">
        <v>291</v>
      </c>
      <c r="B12" t="s">
        <v>142</v>
      </c>
      <c r="C12" t="s">
        <v>0</v>
      </c>
      <c r="D12" t="s">
        <v>143</v>
      </c>
      <c r="E12" t="s">
        <v>123</v>
      </c>
      <c r="F12">
        <v>2453</v>
      </c>
      <c r="G12">
        <v>2386</v>
      </c>
      <c r="H12">
        <v>2440</v>
      </c>
      <c r="I12">
        <v>2579</v>
      </c>
      <c r="J12">
        <v>2709</v>
      </c>
      <c r="K12">
        <v>2805</v>
      </c>
      <c r="L12">
        <v>2881</v>
      </c>
      <c r="M12">
        <v>2949</v>
      </c>
      <c r="N12">
        <v>2956</v>
      </c>
      <c r="O12">
        <v>2962</v>
      </c>
      <c r="P12">
        <v>3018</v>
      </c>
      <c r="Q12">
        <v>3142</v>
      </c>
      <c r="R12">
        <v>3176</v>
      </c>
      <c r="S12">
        <v>3266</v>
      </c>
      <c r="T12">
        <v>3340</v>
      </c>
      <c r="U12">
        <v>3240</v>
      </c>
      <c r="V12">
        <v>3113</v>
      </c>
      <c r="W12">
        <v>3094</v>
      </c>
      <c r="X12">
        <v>3098</v>
      </c>
      <c r="Y12">
        <v>3065</v>
      </c>
      <c r="Z12">
        <v>3076</v>
      </c>
      <c r="AA12">
        <v>3111</v>
      </c>
      <c r="AB12">
        <v>3154</v>
      </c>
      <c r="AC12">
        <v>3256</v>
      </c>
      <c r="AD12">
        <v>3367</v>
      </c>
      <c r="AE12">
        <v>3545</v>
      </c>
    </row>
    <row r="13" spans="1:31" x14ac:dyDescent="0.3">
      <c r="A13" t="s">
        <v>291</v>
      </c>
      <c r="B13" t="s">
        <v>144</v>
      </c>
      <c r="C13" t="s">
        <v>0</v>
      </c>
      <c r="D13" t="s">
        <v>145</v>
      </c>
      <c r="E13" t="s">
        <v>123</v>
      </c>
      <c r="F13">
        <v>4181</v>
      </c>
      <c r="G13">
        <v>4261</v>
      </c>
      <c r="H13">
        <v>4598</v>
      </c>
      <c r="I13">
        <v>4864</v>
      </c>
      <c r="J13">
        <v>4952</v>
      </c>
      <c r="K13">
        <v>5130</v>
      </c>
      <c r="L13">
        <v>5321</v>
      </c>
      <c r="M13">
        <v>5790</v>
      </c>
      <c r="N13">
        <v>5852</v>
      </c>
      <c r="O13">
        <v>6106</v>
      </c>
      <c r="P13">
        <v>6126</v>
      </c>
      <c r="Q13">
        <v>6208</v>
      </c>
      <c r="R13">
        <v>6350</v>
      </c>
      <c r="S13">
        <v>6724</v>
      </c>
      <c r="T13">
        <v>7083</v>
      </c>
      <c r="U13">
        <v>7023</v>
      </c>
      <c r="V13">
        <v>6799</v>
      </c>
      <c r="W13">
        <v>7137</v>
      </c>
      <c r="X13">
        <v>7073</v>
      </c>
      <c r="Y13">
        <v>7013</v>
      </c>
      <c r="Z13">
        <v>6926</v>
      </c>
      <c r="AA13">
        <v>6808</v>
      </c>
      <c r="AB13">
        <v>6807</v>
      </c>
      <c r="AC13">
        <v>6876</v>
      </c>
      <c r="AD13">
        <v>7048</v>
      </c>
      <c r="AE13">
        <v>7140</v>
      </c>
    </row>
    <row r="14" spans="1:31" x14ac:dyDescent="0.3">
      <c r="A14" t="s">
        <v>291</v>
      </c>
      <c r="B14" t="s">
        <v>146</v>
      </c>
      <c r="C14" t="s">
        <v>0</v>
      </c>
      <c r="D14" t="s">
        <v>147</v>
      </c>
      <c r="E14" t="s">
        <v>123</v>
      </c>
      <c r="F14">
        <v>2771</v>
      </c>
      <c r="G14">
        <v>3120</v>
      </c>
      <c r="H14">
        <v>3620</v>
      </c>
      <c r="I14">
        <v>4355</v>
      </c>
      <c r="J14">
        <v>5486</v>
      </c>
      <c r="K14">
        <v>6656</v>
      </c>
      <c r="L14">
        <v>7788</v>
      </c>
      <c r="M14">
        <v>8528</v>
      </c>
      <c r="N14">
        <v>9309</v>
      </c>
      <c r="O14">
        <v>10070</v>
      </c>
      <c r="P14">
        <v>11012</v>
      </c>
      <c r="Q14">
        <v>11955</v>
      </c>
      <c r="R14">
        <v>12642</v>
      </c>
      <c r="S14">
        <v>13635</v>
      </c>
      <c r="T14">
        <v>14565</v>
      </c>
      <c r="U14">
        <v>15184</v>
      </c>
      <c r="V14">
        <v>15140</v>
      </c>
      <c r="W14">
        <v>14299</v>
      </c>
      <c r="X14">
        <v>13538</v>
      </c>
      <c r="Y14">
        <v>12812</v>
      </c>
      <c r="Z14">
        <v>11784</v>
      </c>
      <c r="AA14">
        <v>10702</v>
      </c>
      <c r="AB14">
        <v>9921</v>
      </c>
      <c r="AC14">
        <v>9061</v>
      </c>
      <c r="AD14">
        <v>8379</v>
      </c>
      <c r="AE14">
        <v>8058</v>
      </c>
    </row>
    <row r="15" spans="1:31" x14ac:dyDescent="0.3">
      <c r="A15" t="s">
        <v>291</v>
      </c>
      <c r="B15" t="s">
        <v>148</v>
      </c>
      <c r="C15" t="s">
        <v>0</v>
      </c>
      <c r="D15" t="s">
        <v>149</v>
      </c>
      <c r="E15" t="s">
        <v>123</v>
      </c>
      <c r="F15">
        <v>3588</v>
      </c>
      <c r="G15">
        <v>3952</v>
      </c>
      <c r="H15">
        <v>4488</v>
      </c>
      <c r="I15">
        <v>5271</v>
      </c>
      <c r="J15">
        <v>6428</v>
      </c>
      <c r="K15">
        <v>7609</v>
      </c>
      <c r="L15">
        <v>8772</v>
      </c>
      <c r="M15">
        <v>9522</v>
      </c>
      <c r="N15">
        <v>10330</v>
      </c>
      <c r="O15">
        <v>11098</v>
      </c>
      <c r="P15">
        <v>12066</v>
      </c>
      <c r="Q15">
        <v>13043</v>
      </c>
      <c r="R15">
        <v>13801</v>
      </c>
      <c r="S15">
        <v>14941</v>
      </c>
      <c r="T15">
        <v>16002</v>
      </c>
      <c r="U15">
        <v>16737</v>
      </c>
      <c r="V15">
        <v>16726</v>
      </c>
      <c r="W15">
        <v>15978</v>
      </c>
      <c r="X15">
        <v>15234</v>
      </c>
      <c r="Y15">
        <v>14576</v>
      </c>
      <c r="Z15">
        <v>13623</v>
      </c>
      <c r="AA15">
        <v>12581</v>
      </c>
      <c r="AB15">
        <v>11548</v>
      </c>
      <c r="AC15">
        <v>10728</v>
      </c>
      <c r="AD15">
        <v>10115</v>
      </c>
      <c r="AE15">
        <v>9859</v>
      </c>
    </row>
    <row r="16" spans="1:31" x14ac:dyDescent="0.3">
      <c r="A16" t="s">
        <v>291</v>
      </c>
      <c r="B16" t="s">
        <v>150</v>
      </c>
      <c r="C16" t="s">
        <v>0</v>
      </c>
      <c r="D16" t="s">
        <v>151</v>
      </c>
      <c r="E16" t="s">
        <v>123</v>
      </c>
      <c r="F16">
        <v>817</v>
      </c>
      <c r="G16">
        <v>832</v>
      </c>
      <c r="H16">
        <v>868</v>
      </c>
      <c r="I16">
        <v>916</v>
      </c>
      <c r="J16">
        <v>942</v>
      </c>
      <c r="K16">
        <v>953</v>
      </c>
      <c r="L16">
        <v>984</v>
      </c>
      <c r="M16">
        <v>994</v>
      </c>
      <c r="N16">
        <v>1021</v>
      </c>
      <c r="O16">
        <v>1028</v>
      </c>
      <c r="P16">
        <v>1054</v>
      </c>
      <c r="Q16">
        <v>1088</v>
      </c>
      <c r="R16">
        <v>1159</v>
      </c>
      <c r="S16">
        <v>1306</v>
      </c>
      <c r="T16">
        <v>1437</v>
      </c>
      <c r="U16">
        <v>1553</v>
      </c>
      <c r="V16">
        <v>1586</v>
      </c>
      <c r="W16">
        <v>1679</v>
      </c>
      <c r="X16">
        <v>1696</v>
      </c>
      <c r="Y16">
        <v>1764</v>
      </c>
      <c r="Z16">
        <v>1839</v>
      </c>
      <c r="AA16">
        <v>1879</v>
      </c>
      <c r="AB16">
        <v>1627</v>
      </c>
      <c r="AC16">
        <v>1667</v>
      </c>
      <c r="AD16">
        <v>1736</v>
      </c>
      <c r="AE16">
        <v>1801</v>
      </c>
    </row>
    <row r="17" spans="1:31" x14ac:dyDescent="0.3">
      <c r="A17" t="s">
        <v>291</v>
      </c>
      <c r="B17" t="s">
        <v>152</v>
      </c>
      <c r="C17" t="s">
        <v>0</v>
      </c>
      <c r="D17" t="s">
        <v>153</v>
      </c>
      <c r="E17" t="s">
        <v>123</v>
      </c>
      <c r="F17">
        <v>2221</v>
      </c>
      <c r="G17">
        <v>2272</v>
      </c>
      <c r="H17">
        <v>2378</v>
      </c>
      <c r="I17">
        <v>2456</v>
      </c>
      <c r="J17">
        <v>2527</v>
      </c>
      <c r="K17">
        <v>2594</v>
      </c>
      <c r="L17">
        <v>2696</v>
      </c>
      <c r="M17">
        <v>2770</v>
      </c>
      <c r="N17">
        <v>2832</v>
      </c>
      <c r="O17">
        <v>2769</v>
      </c>
      <c r="P17">
        <v>2796</v>
      </c>
      <c r="Q17">
        <v>2890</v>
      </c>
      <c r="R17">
        <v>3002</v>
      </c>
      <c r="S17">
        <v>3308</v>
      </c>
      <c r="T17">
        <v>3633</v>
      </c>
      <c r="U17">
        <v>3662</v>
      </c>
      <c r="V17">
        <v>3676</v>
      </c>
      <c r="W17">
        <v>3865</v>
      </c>
      <c r="X17">
        <v>4041</v>
      </c>
      <c r="Y17">
        <v>4214</v>
      </c>
      <c r="Z17">
        <v>4338</v>
      </c>
      <c r="AA17">
        <v>4438</v>
      </c>
      <c r="AB17">
        <v>4572</v>
      </c>
      <c r="AC17">
        <v>4821</v>
      </c>
      <c r="AD17">
        <v>5018</v>
      </c>
      <c r="AE17">
        <v>5283</v>
      </c>
    </row>
    <row r="18" spans="1:31" x14ac:dyDescent="0.3">
      <c r="A18" t="s">
        <v>291</v>
      </c>
      <c r="B18" t="s">
        <v>154</v>
      </c>
      <c r="C18" t="s">
        <v>0</v>
      </c>
      <c r="D18" t="s">
        <v>155</v>
      </c>
      <c r="E18" t="s">
        <v>123</v>
      </c>
      <c r="F18">
        <v>1513</v>
      </c>
      <c r="G18">
        <v>1490</v>
      </c>
      <c r="H18">
        <v>1457</v>
      </c>
      <c r="I18">
        <v>1454</v>
      </c>
      <c r="J18">
        <v>1450</v>
      </c>
      <c r="K18">
        <v>1440</v>
      </c>
      <c r="L18">
        <v>1459</v>
      </c>
      <c r="M18">
        <v>1473</v>
      </c>
      <c r="N18">
        <v>1419</v>
      </c>
      <c r="O18">
        <v>1384</v>
      </c>
      <c r="P18">
        <v>1386</v>
      </c>
      <c r="Q18">
        <v>1432</v>
      </c>
      <c r="R18">
        <v>1442</v>
      </c>
      <c r="S18">
        <v>1483</v>
      </c>
      <c r="T18">
        <v>1536</v>
      </c>
      <c r="U18">
        <v>1482</v>
      </c>
      <c r="V18">
        <v>1421</v>
      </c>
      <c r="W18">
        <v>1447</v>
      </c>
      <c r="X18">
        <v>1499</v>
      </c>
      <c r="Y18">
        <v>1437</v>
      </c>
      <c r="Z18">
        <v>1375</v>
      </c>
      <c r="AA18">
        <v>1347</v>
      </c>
      <c r="AB18">
        <v>1414</v>
      </c>
      <c r="AC18">
        <v>1527</v>
      </c>
      <c r="AD18">
        <v>1513</v>
      </c>
      <c r="AE18">
        <v>1568</v>
      </c>
    </row>
    <row r="19" spans="1:31" x14ac:dyDescent="0.3">
      <c r="A19" t="s">
        <v>291</v>
      </c>
      <c r="B19" t="s">
        <v>156</v>
      </c>
      <c r="C19" t="s">
        <v>0</v>
      </c>
      <c r="D19" t="s">
        <v>157</v>
      </c>
      <c r="E19" t="s">
        <v>123</v>
      </c>
      <c r="F19">
        <v>1442</v>
      </c>
      <c r="G19">
        <v>1445</v>
      </c>
      <c r="H19">
        <v>1534</v>
      </c>
      <c r="I19">
        <v>1630</v>
      </c>
      <c r="J19">
        <v>1742</v>
      </c>
      <c r="K19">
        <v>1853</v>
      </c>
      <c r="L19">
        <v>1961</v>
      </c>
      <c r="M19">
        <v>2067</v>
      </c>
      <c r="N19">
        <v>2081</v>
      </c>
      <c r="O19">
        <v>2060</v>
      </c>
      <c r="P19">
        <v>2065</v>
      </c>
      <c r="Q19">
        <v>2102</v>
      </c>
      <c r="R19">
        <v>2148</v>
      </c>
      <c r="S19">
        <v>2051</v>
      </c>
      <c r="T19">
        <v>1951</v>
      </c>
      <c r="U19">
        <v>1819</v>
      </c>
      <c r="V19">
        <v>1656</v>
      </c>
      <c r="W19">
        <v>1566</v>
      </c>
      <c r="X19">
        <v>1469</v>
      </c>
      <c r="Y19">
        <v>1378</v>
      </c>
      <c r="Z19">
        <v>1308</v>
      </c>
      <c r="AA19">
        <v>1307</v>
      </c>
      <c r="AB19">
        <v>1267</v>
      </c>
      <c r="AC19">
        <v>1277</v>
      </c>
      <c r="AD19">
        <v>1292</v>
      </c>
      <c r="AE19">
        <v>1345</v>
      </c>
    </row>
    <row r="20" spans="1:31" x14ac:dyDescent="0.3">
      <c r="A20" t="s">
        <v>291</v>
      </c>
      <c r="B20" t="s">
        <v>158</v>
      </c>
      <c r="C20" t="s">
        <v>0</v>
      </c>
      <c r="D20" t="s">
        <v>159</v>
      </c>
      <c r="E20" t="s">
        <v>123</v>
      </c>
      <c r="F20">
        <v>13445</v>
      </c>
      <c r="G20">
        <v>13248</v>
      </c>
      <c r="H20">
        <v>13449</v>
      </c>
      <c r="I20">
        <v>13700</v>
      </c>
      <c r="J20">
        <v>13688</v>
      </c>
      <c r="K20">
        <v>13899</v>
      </c>
      <c r="L20">
        <v>14453</v>
      </c>
      <c r="M20">
        <v>14855</v>
      </c>
      <c r="N20">
        <v>14850</v>
      </c>
      <c r="O20">
        <v>15260</v>
      </c>
      <c r="P20">
        <v>15823</v>
      </c>
      <c r="Q20">
        <v>16507</v>
      </c>
      <c r="R20">
        <v>17293</v>
      </c>
      <c r="S20">
        <v>18625</v>
      </c>
      <c r="T20">
        <v>20393</v>
      </c>
      <c r="U20">
        <v>20637</v>
      </c>
      <c r="V20">
        <v>21157</v>
      </c>
      <c r="W20">
        <v>22473</v>
      </c>
      <c r="X20">
        <v>24045</v>
      </c>
      <c r="Y20">
        <v>25327</v>
      </c>
      <c r="Z20">
        <v>26539</v>
      </c>
      <c r="AA20">
        <v>28187</v>
      </c>
      <c r="AB20">
        <v>29385</v>
      </c>
      <c r="AC20">
        <v>30711</v>
      </c>
      <c r="AD20">
        <v>31912</v>
      </c>
      <c r="AE20">
        <v>33342</v>
      </c>
    </row>
    <row r="21" spans="1:31" x14ac:dyDescent="0.3">
      <c r="A21" t="s">
        <v>291</v>
      </c>
      <c r="B21" t="s">
        <v>160</v>
      </c>
      <c r="C21" t="s">
        <v>0</v>
      </c>
      <c r="D21" t="s">
        <v>161</v>
      </c>
      <c r="E21" t="s">
        <v>123</v>
      </c>
      <c r="F21">
        <v>18010</v>
      </c>
      <c r="G21">
        <v>17840</v>
      </c>
      <c r="H21">
        <v>18097</v>
      </c>
      <c r="I21">
        <v>18518</v>
      </c>
      <c r="J21">
        <v>18651</v>
      </c>
      <c r="K21">
        <v>19051</v>
      </c>
      <c r="L21">
        <v>19858</v>
      </c>
      <c r="M21">
        <v>20547</v>
      </c>
      <c r="N21">
        <v>20675</v>
      </c>
      <c r="O21">
        <v>21233</v>
      </c>
      <c r="P21">
        <v>22059</v>
      </c>
      <c r="Q21">
        <v>23179</v>
      </c>
      <c r="R21">
        <v>24467</v>
      </c>
      <c r="S21">
        <v>26407</v>
      </c>
      <c r="T21">
        <v>28891</v>
      </c>
      <c r="U21">
        <v>29228</v>
      </c>
      <c r="V21">
        <v>29862</v>
      </c>
      <c r="W21">
        <v>31653</v>
      </c>
      <c r="X21">
        <v>33705</v>
      </c>
      <c r="Y21">
        <v>35102</v>
      </c>
      <c r="Z21">
        <v>36354</v>
      </c>
      <c r="AA21">
        <v>37973</v>
      </c>
      <c r="AB21">
        <v>39120</v>
      </c>
      <c r="AC21">
        <v>40854</v>
      </c>
      <c r="AD21">
        <v>42380</v>
      </c>
      <c r="AE21">
        <v>44390</v>
      </c>
    </row>
    <row r="22" spans="1:31" x14ac:dyDescent="0.3">
      <c r="A22" t="s">
        <v>291</v>
      </c>
      <c r="B22" t="s">
        <v>162</v>
      </c>
      <c r="C22" t="s">
        <v>0</v>
      </c>
      <c r="D22" t="s">
        <v>163</v>
      </c>
      <c r="E22" t="s">
        <v>123</v>
      </c>
      <c r="F22">
        <v>4565</v>
      </c>
      <c r="G22">
        <v>4592</v>
      </c>
      <c r="H22">
        <v>4648</v>
      </c>
      <c r="I22">
        <v>4818</v>
      </c>
      <c r="J22">
        <v>4963</v>
      </c>
      <c r="K22">
        <v>5152</v>
      </c>
      <c r="L22">
        <v>5405</v>
      </c>
      <c r="M22">
        <v>5692</v>
      </c>
      <c r="N22">
        <v>5825</v>
      </c>
      <c r="O22">
        <v>5973</v>
      </c>
      <c r="P22">
        <v>6236</v>
      </c>
      <c r="Q22">
        <v>6672</v>
      </c>
      <c r="R22">
        <v>7174</v>
      </c>
      <c r="S22">
        <v>7782</v>
      </c>
      <c r="T22">
        <v>8498</v>
      </c>
      <c r="U22">
        <v>8591</v>
      </c>
      <c r="V22">
        <v>8705</v>
      </c>
      <c r="W22">
        <v>9180</v>
      </c>
      <c r="X22">
        <v>9660</v>
      </c>
      <c r="Y22">
        <v>9775</v>
      </c>
      <c r="Z22">
        <v>9815</v>
      </c>
      <c r="AA22">
        <v>9786</v>
      </c>
      <c r="AB22">
        <v>9735</v>
      </c>
      <c r="AC22">
        <v>10143</v>
      </c>
      <c r="AD22">
        <v>10468</v>
      </c>
      <c r="AE22">
        <v>11048</v>
      </c>
    </row>
    <row r="23" spans="1:31" x14ac:dyDescent="0.3">
      <c r="A23" t="s">
        <v>291</v>
      </c>
      <c r="B23" t="s">
        <v>164</v>
      </c>
      <c r="C23" t="s">
        <v>0</v>
      </c>
      <c r="D23" t="s">
        <v>165</v>
      </c>
      <c r="E23" t="s">
        <v>123</v>
      </c>
      <c r="F23">
        <v>2109</v>
      </c>
      <c r="G23">
        <v>2084</v>
      </c>
      <c r="H23">
        <v>2154</v>
      </c>
      <c r="I23">
        <v>2213</v>
      </c>
      <c r="J23">
        <v>2384</v>
      </c>
      <c r="K23">
        <v>2593</v>
      </c>
      <c r="L23">
        <v>2762</v>
      </c>
      <c r="M23">
        <v>2930</v>
      </c>
      <c r="N23">
        <v>3070</v>
      </c>
      <c r="O23">
        <v>3169</v>
      </c>
      <c r="P23">
        <v>3360</v>
      </c>
      <c r="Q23">
        <v>3621</v>
      </c>
      <c r="R23">
        <v>3936</v>
      </c>
      <c r="S23">
        <v>4361</v>
      </c>
      <c r="T23">
        <v>4529</v>
      </c>
      <c r="U23">
        <v>4610</v>
      </c>
      <c r="V23">
        <v>4629</v>
      </c>
      <c r="W23">
        <v>4861</v>
      </c>
      <c r="X23">
        <v>5064</v>
      </c>
      <c r="Y23">
        <v>5153</v>
      </c>
      <c r="Z23">
        <v>5200</v>
      </c>
      <c r="AA23">
        <v>5387</v>
      </c>
      <c r="AB23">
        <v>5662</v>
      </c>
      <c r="AC23">
        <v>5972</v>
      </c>
      <c r="AD23">
        <v>6379</v>
      </c>
      <c r="AE23">
        <v>6830</v>
      </c>
    </row>
    <row r="24" spans="1:31" x14ac:dyDescent="0.3">
      <c r="A24" t="s">
        <v>291</v>
      </c>
      <c r="B24" t="s">
        <v>166</v>
      </c>
      <c r="C24" t="s">
        <v>0</v>
      </c>
      <c r="D24" t="s">
        <v>167</v>
      </c>
      <c r="E24" t="s">
        <v>123</v>
      </c>
      <c r="F24">
        <v>12759</v>
      </c>
      <c r="G24">
        <v>12584</v>
      </c>
      <c r="H24">
        <v>12555</v>
      </c>
      <c r="I24">
        <v>12540</v>
      </c>
      <c r="J24">
        <v>12850</v>
      </c>
      <c r="K24">
        <v>13265</v>
      </c>
      <c r="L24">
        <v>13557</v>
      </c>
      <c r="M24">
        <v>13869</v>
      </c>
      <c r="N24">
        <v>13688</v>
      </c>
      <c r="O24">
        <v>13410</v>
      </c>
      <c r="P24">
        <v>13363</v>
      </c>
      <c r="Q24">
        <v>13257</v>
      </c>
      <c r="R24">
        <v>13567</v>
      </c>
      <c r="S24">
        <v>14129</v>
      </c>
      <c r="T24">
        <v>14498</v>
      </c>
      <c r="U24">
        <v>14172</v>
      </c>
      <c r="V24">
        <v>13516</v>
      </c>
      <c r="W24">
        <v>13979</v>
      </c>
      <c r="X24">
        <v>14466</v>
      </c>
      <c r="Y24">
        <v>14583</v>
      </c>
      <c r="Z24">
        <v>14216</v>
      </c>
      <c r="AA24">
        <v>14448</v>
      </c>
      <c r="AB24">
        <v>14774</v>
      </c>
      <c r="AC24">
        <v>15251</v>
      </c>
      <c r="AD24">
        <v>15626</v>
      </c>
      <c r="AE24">
        <v>16017</v>
      </c>
    </row>
    <row r="25" spans="1:31" x14ac:dyDescent="0.3">
      <c r="A25" t="s">
        <v>291</v>
      </c>
      <c r="B25" t="s">
        <v>168</v>
      </c>
      <c r="C25" t="s">
        <v>0</v>
      </c>
      <c r="D25" t="s">
        <v>169</v>
      </c>
      <c r="E25" t="s">
        <v>123</v>
      </c>
      <c r="F25">
        <v>1735</v>
      </c>
      <c r="G25">
        <v>1675</v>
      </c>
      <c r="H25">
        <v>1658</v>
      </c>
      <c r="I25">
        <v>1650</v>
      </c>
      <c r="J25">
        <v>1687</v>
      </c>
      <c r="K25">
        <v>1717</v>
      </c>
      <c r="L25">
        <v>1740</v>
      </c>
      <c r="M25">
        <v>1774</v>
      </c>
      <c r="N25">
        <v>1741</v>
      </c>
      <c r="O25">
        <v>1723</v>
      </c>
      <c r="P25">
        <v>1713</v>
      </c>
      <c r="Q25">
        <v>1779</v>
      </c>
      <c r="R25">
        <v>1799</v>
      </c>
      <c r="S25">
        <v>1884</v>
      </c>
      <c r="T25">
        <v>1934</v>
      </c>
      <c r="U25">
        <v>1929</v>
      </c>
      <c r="V25">
        <v>1852</v>
      </c>
      <c r="W25">
        <v>1879</v>
      </c>
      <c r="X25">
        <v>1903</v>
      </c>
      <c r="Y25">
        <v>1897</v>
      </c>
      <c r="Z25">
        <v>1851</v>
      </c>
      <c r="AA25">
        <v>1894</v>
      </c>
      <c r="AB25">
        <v>1880</v>
      </c>
      <c r="AC25">
        <v>1931</v>
      </c>
      <c r="AD25">
        <v>2011</v>
      </c>
      <c r="AE25">
        <v>2071</v>
      </c>
    </row>
    <row r="26" spans="1:31" x14ac:dyDescent="0.3">
      <c r="A26" t="s">
        <v>291</v>
      </c>
      <c r="B26" t="s">
        <v>170</v>
      </c>
      <c r="C26" t="s">
        <v>0</v>
      </c>
      <c r="D26" t="s">
        <v>171</v>
      </c>
      <c r="E26" t="s">
        <v>123</v>
      </c>
      <c r="F26">
        <v>6644</v>
      </c>
      <c r="G26">
        <v>6623</v>
      </c>
      <c r="H26">
        <v>6627</v>
      </c>
      <c r="I26">
        <v>6611</v>
      </c>
      <c r="J26">
        <v>6723</v>
      </c>
      <c r="K26">
        <v>6927</v>
      </c>
      <c r="L26">
        <v>7080</v>
      </c>
      <c r="M26">
        <v>7196</v>
      </c>
      <c r="N26">
        <v>6962</v>
      </c>
      <c r="O26">
        <v>6638</v>
      </c>
      <c r="P26">
        <v>6553</v>
      </c>
      <c r="Q26">
        <v>6328</v>
      </c>
      <c r="R26">
        <v>6492</v>
      </c>
      <c r="S26">
        <v>6737</v>
      </c>
      <c r="T26">
        <v>6792</v>
      </c>
      <c r="U26">
        <v>6492</v>
      </c>
      <c r="V26">
        <v>6199</v>
      </c>
      <c r="W26">
        <v>6412</v>
      </c>
      <c r="X26">
        <v>6586</v>
      </c>
      <c r="Y26">
        <v>6651</v>
      </c>
      <c r="Z26">
        <v>6332</v>
      </c>
      <c r="AA26">
        <v>6422</v>
      </c>
      <c r="AB26">
        <v>6637</v>
      </c>
      <c r="AC26">
        <v>6911</v>
      </c>
      <c r="AD26">
        <v>7004</v>
      </c>
      <c r="AE26">
        <v>7062</v>
      </c>
    </row>
    <row r="27" spans="1:31" x14ac:dyDescent="0.3">
      <c r="A27" t="s">
        <v>291</v>
      </c>
      <c r="B27" t="s">
        <v>172</v>
      </c>
      <c r="C27" t="s">
        <v>0</v>
      </c>
      <c r="D27" t="s">
        <v>173</v>
      </c>
      <c r="E27" t="s">
        <v>123</v>
      </c>
      <c r="F27">
        <v>4380</v>
      </c>
      <c r="G27">
        <v>4286</v>
      </c>
      <c r="H27">
        <v>4270</v>
      </c>
      <c r="I27">
        <v>4279</v>
      </c>
      <c r="J27">
        <v>4440</v>
      </c>
      <c r="K27">
        <v>4621</v>
      </c>
      <c r="L27">
        <v>4737</v>
      </c>
      <c r="M27">
        <v>4899</v>
      </c>
      <c r="N27">
        <v>4985</v>
      </c>
      <c r="O27">
        <v>5049</v>
      </c>
      <c r="P27">
        <v>5097</v>
      </c>
      <c r="Q27">
        <v>5150</v>
      </c>
      <c r="R27">
        <v>5276</v>
      </c>
      <c r="S27">
        <v>5508</v>
      </c>
      <c r="T27">
        <v>5772</v>
      </c>
      <c r="U27">
        <v>5751</v>
      </c>
      <c r="V27">
        <v>5465</v>
      </c>
      <c r="W27">
        <v>5688</v>
      </c>
      <c r="X27">
        <v>5977</v>
      </c>
      <c r="Y27">
        <v>6035</v>
      </c>
      <c r="Z27">
        <v>6033</v>
      </c>
      <c r="AA27">
        <v>6132</v>
      </c>
      <c r="AB27">
        <v>6257</v>
      </c>
      <c r="AC27">
        <v>6409</v>
      </c>
      <c r="AD27">
        <v>6611</v>
      </c>
      <c r="AE27">
        <v>6884</v>
      </c>
    </row>
    <row r="28" spans="1:31" x14ac:dyDescent="0.3">
      <c r="A28" t="s">
        <v>291</v>
      </c>
      <c r="B28" t="s">
        <v>174</v>
      </c>
      <c r="C28" t="s">
        <v>0</v>
      </c>
      <c r="D28" t="s">
        <v>175</v>
      </c>
      <c r="E28" t="s">
        <v>123</v>
      </c>
      <c r="F28">
        <v>11430</v>
      </c>
      <c r="G28">
        <v>11245</v>
      </c>
      <c r="H28">
        <v>11489</v>
      </c>
      <c r="I28">
        <v>12218</v>
      </c>
      <c r="J28">
        <v>12633</v>
      </c>
      <c r="K28">
        <v>12834</v>
      </c>
      <c r="L28">
        <v>13640</v>
      </c>
      <c r="M28">
        <v>13940</v>
      </c>
      <c r="N28">
        <v>13767</v>
      </c>
      <c r="O28">
        <v>14042</v>
      </c>
      <c r="P28">
        <v>14164</v>
      </c>
      <c r="Q28">
        <v>14554</v>
      </c>
      <c r="R28">
        <v>15007</v>
      </c>
      <c r="S28">
        <v>15363</v>
      </c>
      <c r="T28">
        <v>15950</v>
      </c>
      <c r="U28">
        <v>15626</v>
      </c>
      <c r="V28">
        <v>15571</v>
      </c>
      <c r="W28">
        <v>15843</v>
      </c>
      <c r="X28">
        <v>16345</v>
      </c>
      <c r="Y28">
        <v>16097</v>
      </c>
      <c r="Z28">
        <v>16164</v>
      </c>
      <c r="AA28">
        <v>16675</v>
      </c>
      <c r="AB28">
        <v>16921</v>
      </c>
      <c r="AC28">
        <v>16324</v>
      </c>
      <c r="AD28">
        <v>18128</v>
      </c>
      <c r="AE28">
        <v>18472</v>
      </c>
    </row>
    <row r="29" spans="1:31" x14ac:dyDescent="0.3">
      <c r="A29" t="s">
        <v>291</v>
      </c>
      <c r="B29" t="s">
        <v>176</v>
      </c>
      <c r="C29" t="s">
        <v>0</v>
      </c>
      <c r="D29" t="s">
        <v>177</v>
      </c>
      <c r="E29" t="s">
        <v>123</v>
      </c>
      <c r="F29">
        <v>3372</v>
      </c>
      <c r="G29">
        <v>3459</v>
      </c>
      <c r="H29">
        <v>3581</v>
      </c>
      <c r="I29">
        <v>3832</v>
      </c>
      <c r="J29">
        <v>3984</v>
      </c>
      <c r="K29">
        <v>4080</v>
      </c>
      <c r="L29">
        <v>4334</v>
      </c>
      <c r="M29">
        <v>4497</v>
      </c>
      <c r="N29">
        <v>4542</v>
      </c>
      <c r="O29">
        <v>4638</v>
      </c>
      <c r="P29">
        <v>4752</v>
      </c>
      <c r="Q29">
        <v>4736</v>
      </c>
      <c r="R29">
        <v>4708</v>
      </c>
      <c r="S29">
        <v>4860</v>
      </c>
      <c r="T29">
        <v>4910</v>
      </c>
      <c r="U29">
        <v>4819</v>
      </c>
      <c r="V29">
        <v>4858</v>
      </c>
      <c r="W29">
        <v>4815</v>
      </c>
      <c r="X29">
        <v>4851</v>
      </c>
      <c r="Y29">
        <v>4745</v>
      </c>
      <c r="Z29">
        <v>4818</v>
      </c>
      <c r="AA29">
        <v>4949</v>
      </c>
      <c r="AB29">
        <v>5108</v>
      </c>
      <c r="AC29">
        <v>4260</v>
      </c>
      <c r="AD29">
        <v>5532</v>
      </c>
      <c r="AE29">
        <v>5620</v>
      </c>
    </row>
    <row r="30" spans="1:31" x14ac:dyDescent="0.3">
      <c r="A30" t="s">
        <v>291</v>
      </c>
      <c r="B30" t="s">
        <v>178</v>
      </c>
      <c r="C30" t="s">
        <v>0</v>
      </c>
      <c r="D30" t="s">
        <v>179</v>
      </c>
      <c r="E30" t="s">
        <v>123</v>
      </c>
      <c r="F30">
        <v>3583</v>
      </c>
      <c r="G30">
        <v>3259</v>
      </c>
      <c r="H30">
        <v>3315</v>
      </c>
      <c r="I30">
        <v>3447</v>
      </c>
      <c r="J30">
        <v>3405</v>
      </c>
      <c r="K30">
        <v>3279</v>
      </c>
      <c r="L30">
        <v>3500</v>
      </c>
      <c r="M30">
        <v>3499</v>
      </c>
      <c r="N30">
        <v>3244</v>
      </c>
      <c r="O30">
        <v>3345</v>
      </c>
      <c r="P30">
        <v>3219</v>
      </c>
      <c r="Q30">
        <v>3249</v>
      </c>
      <c r="R30">
        <v>3331</v>
      </c>
      <c r="S30">
        <v>3103</v>
      </c>
      <c r="T30">
        <v>2956</v>
      </c>
      <c r="U30">
        <v>2791</v>
      </c>
      <c r="V30">
        <v>2835</v>
      </c>
      <c r="W30">
        <v>2990</v>
      </c>
      <c r="X30">
        <v>3061</v>
      </c>
      <c r="Y30">
        <v>2969</v>
      </c>
      <c r="Z30">
        <v>2836</v>
      </c>
      <c r="AA30">
        <v>2700</v>
      </c>
      <c r="AB30">
        <v>2470</v>
      </c>
      <c r="AC30">
        <v>2447</v>
      </c>
      <c r="AD30">
        <v>2378</v>
      </c>
      <c r="AE30">
        <v>2289</v>
      </c>
    </row>
    <row r="31" spans="1:31" x14ac:dyDescent="0.3">
      <c r="A31" t="s">
        <v>291</v>
      </c>
      <c r="B31" t="s">
        <v>180</v>
      </c>
      <c r="C31" t="s">
        <v>0</v>
      </c>
      <c r="D31" t="s">
        <v>181</v>
      </c>
      <c r="E31" t="s">
        <v>123</v>
      </c>
      <c r="F31">
        <v>1068</v>
      </c>
      <c r="G31">
        <v>1010</v>
      </c>
      <c r="H31">
        <v>982</v>
      </c>
      <c r="I31">
        <v>1013</v>
      </c>
      <c r="J31">
        <v>1175</v>
      </c>
      <c r="K31">
        <v>1206</v>
      </c>
      <c r="L31">
        <v>1338</v>
      </c>
      <c r="M31">
        <v>1296</v>
      </c>
      <c r="N31">
        <v>1203</v>
      </c>
      <c r="O31">
        <v>1165</v>
      </c>
      <c r="P31">
        <v>1265</v>
      </c>
      <c r="Q31">
        <v>1391</v>
      </c>
      <c r="R31">
        <v>1484</v>
      </c>
      <c r="S31">
        <v>1521</v>
      </c>
      <c r="T31">
        <v>1702</v>
      </c>
      <c r="U31">
        <v>1627</v>
      </c>
      <c r="V31">
        <v>1526</v>
      </c>
      <c r="W31">
        <v>1463</v>
      </c>
      <c r="X31">
        <v>1635</v>
      </c>
      <c r="Y31">
        <v>1467</v>
      </c>
      <c r="Z31">
        <v>1574</v>
      </c>
      <c r="AA31">
        <v>1959</v>
      </c>
      <c r="AB31">
        <v>2075</v>
      </c>
      <c r="AC31">
        <v>2054</v>
      </c>
      <c r="AD31">
        <v>2161</v>
      </c>
      <c r="AE31">
        <v>2135</v>
      </c>
    </row>
    <row r="32" spans="1:31" x14ac:dyDescent="0.3">
      <c r="A32" t="s">
        <v>291</v>
      </c>
      <c r="B32" t="s">
        <v>182</v>
      </c>
      <c r="C32" t="s">
        <v>0</v>
      </c>
      <c r="D32" t="s">
        <v>183</v>
      </c>
      <c r="E32" t="s">
        <v>123</v>
      </c>
      <c r="F32">
        <v>2924</v>
      </c>
      <c r="G32">
        <v>3026</v>
      </c>
      <c r="H32">
        <v>3093</v>
      </c>
      <c r="I32">
        <v>3359</v>
      </c>
      <c r="J32">
        <v>3460</v>
      </c>
      <c r="K32">
        <v>3614</v>
      </c>
      <c r="L32">
        <v>3798</v>
      </c>
      <c r="M32">
        <v>3965</v>
      </c>
      <c r="N32">
        <v>4107</v>
      </c>
      <c r="O32">
        <v>4247</v>
      </c>
      <c r="P32">
        <v>4306</v>
      </c>
      <c r="Q32">
        <v>4541</v>
      </c>
      <c r="R32">
        <v>4862</v>
      </c>
      <c r="S32">
        <v>5228</v>
      </c>
      <c r="T32">
        <v>5681</v>
      </c>
      <c r="U32">
        <v>5691</v>
      </c>
      <c r="V32">
        <v>5701</v>
      </c>
      <c r="W32">
        <v>5908</v>
      </c>
      <c r="X32">
        <v>6131</v>
      </c>
      <c r="Y32">
        <v>6247</v>
      </c>
      <c r="Z32">
        <v>6367</v>
      </c>
      <c r="AA32">
        <v>6559</v>
      </c>
      <c r="AB32">
        <v>6777</v>
      </c>
      <c r="AC32">
        <v>7090</v>
      </c>
      <c r="AD32">
        <v>7608</v>
      </c>
      <c r="AE32">
        <v>7989</v>
      </c>
    </row>
    <row r="33" spans="1:31" x14ac:dyDescent="0.3">
      <c r="A33" t="s">
        <v>291</v>
      </c>
      <c r="B33" t="s">
        <v>184</v>
      </c>
      <c r="C33" t="s">
        <v>0</v>
      </c>
      <c r="D33" t="s">
        <v>185</v>
      </c>
      <c r="E33" t="s">
        <v>123</v>
      </c>
      <c r="F33">
        <v>483</v>
      </c>
      <c r="G33">
        <v>491</v>
      </c>
      <c r="H33">
        <v>518</v>
      </c>
      <c r="I33">
        <v>567</v>
      </c>
      <c r="J33">
        <v>609</v>
      </c>
      <c r="K33">
        <v>655</v>
      </c>
      <c r="L33">
        <v>670</v>
      </c>
      <c r="M33">
        <v>683</v>
      </c>
      <c r="N33">
        <v>671</v>
      </c>
      <c r="O33">
        <v>647</v>
      </c>
      <c r="P33">
        <v>622</v>
      </c>
      <c r="Q33">
        <v>637</v>
      </c>
      <c r="R33">
        <v>622</v>
      </c>
      <c r="S33">
        <v>651</v>
      </c>
      <c r="T33">
        <v>701</v>
      </c>
      <c r="U33">
        <v>698</v>
      </c>
      <c r="V33">
        <v>651</v>
      </c>
      <c r="W33">
        <v>667</v>
      </c>
      <c r="X33">
        <v>667</v>
      </c>
      <c r="Y33">
        <v>669</v>
      </c>
      <c r="Z33">
        <v>569</v>
      </c>
      <c r="AA33">
        <v>508</v>
      </c>
      <c r="AB33">
        <v>491</v>
      </c>
      <c r="AC33">
        <v>473</v>
      </c>
      <c r="AD33">
        <v>449</v>
      </c>
      <c r="AE33">
        <v>439</v>
      </c>
    </row>
    <row r="34" spans="1:31" x14ac:dyDescent="0.3">
      <c r="A34" t="s">
        <v>291</v>
      </c>
      <c r="B34" t="s">
        <v>186</v>
      </c>
      <c r="C34" t="s">
        <v>0</v>
      </c>
      <c r="D34" t="s">
        <v>187</v>
      </c>
      <c r="E34" t="s">
        <v>123</v>
      </c>
      <c r="F34">
        <v>1619</v>
      </c>
      <c r="G34">
        <v>1621</v>
      </c>
      <c r="H34">
        <v>1635</v>
      </c>
      <c r="I34">
        <v>1666</v>
      </c>
      <c r="J34">
        <v>1716</v>
      </c>
      <c r="K34">
        <v>1771</v>
      </c>
      <c r="L34">
        <v>1786</v>
      </c>
      <c r="M34">
        <v>1861</v>
      </c>
      <c r="N34">
        <v>1833</v>
      </c>
      <c r="O34">
        <v>1821</v>
      </c>
      <c r="P34">
        <v>1851</v>
      </c>
      <c r="Q34">
        <v>1952</v>
      </c>
      <c r="R34">
        <v>2032</v>
      </c>
      <c r="S34">
        <v>2149</v>
      </c>
      <c r="T34">
        <v>2246</v>
      </c>
      <c r="U34">
        <v>2245</v>
      </c>
      <c r="V34">
        <v>2143</v>
      </c>
      <c r="W34">
        <v>2200</v>
      </c>
      <c r="X34">
        <v>2252</v>
      </c>
      <c r="Y34">
        <v>2260</v>
      </c>
      <c r="Z34">
        <v>2259</v>
      </c>
      <c r="AA34">
        <v>2326</v>
      </c>
      <c r="AB34">
        <v>2392</v>
      </c>
      <c r="AC34">
        <v>2508</v>
      </c>
      <c r="AD34">
        <v>2634</v>
      </c>
      <c r="AE34">
        <v>2760</v>
      </c>
    </row>
    <row r="35" spans="1:31" x14ac:dyDescent="0.3">
      <c r="A35" t="s">
        <v>291</v>
      </c>
      <c r="B35" t="s">
        <v>188</v>
      </c>
      <c r="C35" t="s">
        <v>0</v>
      </c>
      <c r="D35" t="s">
        <v>189</v>
      </c>
      <c r="E35" t="s">
        <v>123</v>
      </c>
      <c r="F35">
        <v>6378</v>
      </c>
      <c r="G35">
        <v>6331</v>
      </c>
      <c r="H35">
        <v>6652</v>
      </c>
      <c r="I35">
        <v>7093</v>
      </c>
      <c r="J35">
        <v>7593</v>
      </c>
      <c r="K35">
        <v>8179</v>
      </c>
      <c r="L35">
        <v>8904</v>
      </c>
      <c r="M35">
        <v>9441</v>
      </c>
      <c r="N35">
        <v>9523</v>
      </c>
      <c r="O35">
        <v>9361</v>
      </c>
      <c r="P35">
        <v>9453</v>
      </c>
      <c r="Q35">
        <v>9436</v>
      </c>
      <c r="R35">
        <v>9655</v>
      </c>
      <c r="S35">
        <v>9771</v>
      </c>
      <c r="T35">
        <v>9827</v>
      </c>
      <c r="U35">
        <v>9674</v>
      </c>
      <c r="V35">
        <v>9535</v>
      </c>
      <c r="W35">
        <v>9725</v>
      </c>
      <c r="X35">
        <v>10001</v>
      </c>
      <c r="Y35">
        <v>10285</v>
      </c>
      <c r="Z35">
        <v>10493</v>
      </c>
      <c r="AA35">
        <v>10562</v>
      </c>
      <c r="AB35">
        <v>10729</v>
      </c>
      <c r="AC35">
        <v>11422</v>
      </c>
      <c r="AD35">
        <v>11518</v>
      </c>
      <c r="AE35">
        <v>12023</v>
      </c>
    </row>
    <row r="36" spans="1:31" x14ac:dyDescent="0.3">
      <c r="A36" t="s">
        <v>291</v>
      </c>
      <c r="B36" t="s">
        <v>190</v>
      </c>
      <c r="C36" t="s">
        <v>0</v>
      </c>
      <c r="D36" t="s">
        <v>191</v>
      </c>
      <c r="E36" t="s">
        <v>123</v>
      </c>
      <c r="F36">
        <v>1598</v>
      </c>
      <c r="G36">
        <v>1625</v>
      </c>
      <c r="H36">
        <v>1698</v>
      </c>
      <c r="I36">
        <v>1759</v>
      </c>
      <c r="J36">
        <v>1768</v>
      </c>
      <c r="K36">
        <v>1803</v>
      </c>
      <c r="L36">
        <v>1877</v>
      </c>
      <c r="M36">
        <v>1906</v>
      </c>
      <c r="N36">
        <v>1891</v>
      </c>
      <c r="O36">
        <v>1857</v>
      </c>
      <c r="P36">
        <v>1898</v>
      </c>
      <c r="Q36">
        <v>1933</v>
      </c>
      <c r="R36">
        <v>1988</v>
      </c>
      <c r="S36">
        <v>2010</v>
      </c>
      <c r="T36">
        <v>2065</v>
      </c>
      <c r="U36">
        <v>2200</v>
      </c>
      <c r="V36">
        <v>2268</v>
      </c>
      <c r="W36">
        <v>2411</v>
      </c>
      <c r="X36">
        <v>2515</v>
      </c>
      <c r="Y36">
        <v>2454</v>
      </c>
      <c r="Z36">
        <v>2508</v>
      </c>
      <c r="AA36">
        <v>2579</v>
      </c>
      <c r="AB36">
        <v>2734</v>
      </c>
      <c r="AC36">
        <v>2869</v>
      </c>
      <c r="AD36">
        <v>2972</v>
      </c>
      <c r="AE36">
        <v>3055</v>
      </c>
    </row>
    <row r="37" spans="1:31" x14ac:dyDescent="0.3">
      <c r="A37" t="s">
        <v>291</v>
      </c>
      <c r="B37" t="s">
        <v>192</v>
      </c>
      <c r="C37" t="s">
        <v>0</v>
      </c>
      <c r="D37" t="s">
        <v>193</v>
      </c>
      <c r="E37" t="s">
        <v>123</v>
      </c>
      <c r="F37">
        <v>4241</v>
      </c>
      <c r="G37">
        <v>4175</v>
      </c>
      <c r="H37">
        <v>4394</v>
      </c>
      <c r="I37">
        <v>4705</v>
      </c>
      <c r="J37">
        <v>5079</v>
      </c>
      <c r="K37">
        <v>5516</v>
      </c>
      <c r="L37">
        <v>6019</v>
      </c>
      <c r="M37">
        <v>6387</v>
      </c>
      <c r="N37">
        <v>6376</v>
      </c>
      <c r="O37">
        <v>6281</v>
      </c>
      <c r="P37">
        <v>6208</v>
      </c>
      <c r="Q37">
        <v>6087</v>
      </c>
      <c r="R37">
        <v>6051</v>
      </c>
      <c r="S37">
        <v>6064</v>
      </c>
      <c r="T37">
        <v>6100</v>
      </c>
      <c r="U37">
        <v>5820</v>
      </c>
      <c r="V37">
        <v>5601</v>
      </c>
      <c r="W37">
        <v>5525</v>
      </c>
      <c r="X37">
        <v>5486</v>
      </c>
      <c r="Y37">
        <v>5276</v>
      </c>
      <c r="Z37">
        <v>5084</v>
      </c>
      <c r="AA37">
        <v>4977</v>
      </c>
      <c r="AB37">
        <v>4855</v>
      </c>
      <c r="AC37">
        <v>4881</v>
      </c>
      <c r="AD37">
        <v>4799</v>
      </c>
      <c r="AE37">
        <v>4885</v>
      </c>
    </row>
    <row r="38" spans="1:31" x14ac:dyDescent="0.3">
      <c r="A38" t="s">
        <v>291</v>
      </c>
      <c r="B38" t="s">
        <v>194</v>
      </c>
      <c r="C38" t="s">
        <v>0</v>
      </c>
      <c r="D38" t="s">
        <v>195</v>
      </c>
      <c r="E38" t="s">
        <v>123</v>
      </c>
      <c r="F38">
        <v>539</v>
      </c>
      <c r="G38">
        <v>531</v>
      </c>
      <c r="H38">
        <v>560</v>
      </c>
      <c r="I38">
        <v>629</v>
      </c>
      <c r="J38">
        <v>746</v>
      </c>
      <c r="K38">
        <v>860</v>
      </c>
      <c r="L38">
        <v>1008</v>
      </c>
      <c r="M38">
        <v>1148</v>
      </c>
      <c r="N38">
        <v>1256</v>
      </c>
      <c r="O38">
        <v>1223</v>
      </c>
      <c r="P38">
        <v>1347</v>
      </c>
      <c r="Q38">
        <v>1416</v>
      </c>
      <c r="R38">
        <v>1616</v>
      </c>
      <c r="S38">
        <v>1697</v>
      </c>
      <c r="T38">
        <v>1662</v>
      </c>
      <c r="U38">
        <v>1654</v>
      </c>
      <c r="V38">
        <v>1666</v>
      </c>
      <c r="W38">
        <v>1789</v>
      </c>
      <c r="X38">
        <v>2000</v>
      </c>
      <c r="Y38">
        <v>2555</v>
      </c>
      <c r="Z38">
        <v>2901</v>
      </c>
      <c r="AA38">
        <v>3006</v>
      </c>
      <c r="AB38">
        <v>3140</v>
      </c>
      <c r="AC38">
        <v>3672</v>
      </c>
      <c r="AD38">
        <v>3747</v>
      </c>
      <c r="AE38">
        <v>4083</v>
      </c>
    </row>
    <row r="39" spans="1:31" x14ac:dyDescent="0.3">
      <c r="A39" t="s">
        <v>291</v>
      </c>
      <c r="B39" t="s">
        <v>196</v>
      </c>
      <c r="C39" t="s">
        <v>0</v>
      </c>
      <c r="D39" t="s">
        <v>197</v>
      </c>
      <c r="E39" t="s">
        <v>123</v>
      </c>
      <c r="F39">
        <v>2471</v>
      </c>
      <c r="G39">
        <v>2307</v>
      </c>
      <c r="H39">
        <v>2124</v>
      </c>
      <c r="I39">
        <v>1988</v>
      </c>
      <c r="J39">
        <v>1904</v>
      </c>
      <c r="K39">
        <v>1895</v>
      </c>
      <c r="L39">
        <v>1841</v>
      </c>
      <c r="M39">
        <v>1847</v>
      </c>
      <c r="N39">
        <v>1699</v>
      </c>
      <c r="O39">
        <v>1495</v>
      </c>
      <c r="P39">
        <v>1458</v>
      </c>
      <c r="Q39">
        <v>1442</v>
      </c>
      <c r="R39">
        <v>1619</v>
      </c>
      <c r="S39">
        <v>1783</v>
      </c>
      <c r="T39">
        <v>1919</v>
      </c>
      <c r="U39">
        <v>1827</v>
      </c>
      <c r="V39">
        <v>1740</v>
      </c>
      <c r="W39">
        <v>1702</v>
      </c>
      <c r="X39">
        <v>1687</v>
      </c>
      <c r="Y39">
        <v>1748</v>
      </c>
      <c r="Z39">
        <v>1748</v>
      </c>
      <c r="AA39">
        <v>1750</v>
      </c>
      <c r="AB39">
        <v>2158</v>
      </c>
      <c r="AC39">
        <v>2100</v>
      </c>
      <c r="AD39">
        <v>2144</v>
      </c>
      <c r="AE39">
        <v>2086</v>
      </c>
    </row>
    <row r="40" spans="1:31" x14ac:dyDescent="0.3">
      <c r="A40" t="s">
        <v>291</v>
      </c>
      <c r="B40" t="s">
        <v>198</v>
      </c>
      <c r="C40" t="s">
        <v>0</v>
      </c>
      <c r="D40" t="s">
        <v>199</v>
      </c>
      <c r="E40" t="s">
        <v>123</v>
      </c>
      <c r="F40">
        <v>135038</v>
      </c>
      <c r="G40">
        <v>144872</v>
      </c>
      <c r="H40">
        <v>145669</v>
      </c>
      <c r="I40">
        <v>154103</v>
      </c>
      <c r="J40">
        <v>169174</v>
      </c>
      <c r="K40">
        <v>181774</v>
      </c>
      <c r="L40">
        <v>199398</v>
      </c>
      <c r="M40">
        <v>213216</v>
      </c>
      <c r="N40">
        <v>215740</v>
      </c>
      <c r="O40">
        <v>221689</v>
      </c>
      <c r="P40">
        <v>234080</v>
      </c>
      <c r="Q40">
        <v>253825</v>
      </c>
      <c r="R40">
        <v>272761</v>
      </c>
      <c r="S40">
        <v>299342</v>
      </c>
      <c r="T40">
        <v>320495</v>
      </c>
      <c r="U40">
        <v>318714</v>
      </c>
      <c r="V40">
        <v>313528</v>
      </c>
      <c r="W40">
        <v>331107</v>
      </c>
      <c r="X40">
        <v>355516</v>
      </c>
      <c r="Y40">
        <v>366899</v>
      </c>
      <c r="Z40">
        <v>374961</v>
      </c>
      <c r="AA40">
        <v>383273</v>
      </c>
      <c r="AB40">
        <v>399406</v>
      </c>
      <c r="AC40">
        <v>420844</v>
      </c>
      <c r="AD40">
        <v>446997</v>
      </c>
      <c r="AE40">
        <v>474632</v>
      </c>
    </row>
    <row r="41" spans="1:31" x14ac:dyDescent="0.3">
      <c r="A41" t="s">
        <v>291</v>
      </c>
      <c r="B41" t="s">
        <v>200</v>
      </c>
      <c r="C41" t="s">
        <v>0</v>
      </c>
      <c r="D41" t="s">
        <v>201</v>
      </c>
      <c r="E41" t="s">
        <v>123</v>
      </c>
      <c r="F41">
        <v>75257</v>
      </c>
      <c r="G41">
        <v>81071</v>
      </c>
      <c r="H41">
        <v>81937</v>
      </c>
      <c r="I41">
        <v>87657</v>
      </c>
      <c r="J41">
        <v>95996</v>
      </c>
      <c r="K41">
        <v>102865</v>
      </c>
      <c r="L41">
        <v>112849</v>
      </c>
      <c r="M41">
        <v>120186</v>
      </c>
      <c r="N41">
        <v>121034</v>
      </c>
      <c r="O41">
        <v>125189</v>
      </c>
      <c r="P41">
        <v>132768</v>
      </c>
      <c r="Q41">
        <v>144758</v>
      </c>
      <c r="R41">
        <v>155564</v>
      </c>
      <c r="S41">
        <v>170174</v>
      </c>
      <c r="T41">
        <v>182380</v>
      </c>
      <c r="U41">
        <v>182027</v>
      </c>
      <c r="V41">
        <v>181157</v>
      </c>
      <c r="W41">
        <v>192709</v>
      </c>
      <c r="X41">
        <v>207036</v>
      </c>
      <c r="Y41">
        <v>215533</v>
      </c>
      <c r="Z41">
        <v>221099</v>
      </c>
      <c r="AA41">
        <v>226986</v>
      </c>
      <c r="AB41">
        <v>237792</v>
      </c>
      <c r="AC41">
        <v>251464</v>
      </c>
      <c r="AD41">
        <v>267450</v>
      </c>
      <c r="AE41">
        <v>284149</v>
      </c>
    </row>
    <row r="42" spans="1:31" x14ac:dyDescent="0.3">
      <c r="A42" t="s">
        <v>291</v>
      </c>
      <c r="B42" t="s">
        <v>202</v>
      </c>
      <c r="C42" t="s">
        <v>0</v>
      </c>
      <c r="D42" t="s">
        <v>203</v>
      </c>
      <c r="E42" t="s">
        <v>123</v>
      </c>
      <c r="F42">
        <v>3009</v>
      </c>
      <c r="G42">
        <v>3137</v>
      </c>
      <c r="H42">
        <v>3326</v>
      </c>
      <c r="I42">
        <v>3517</v>
      </c>
      <c r="J42">
        <v>3774</v>
      </c>
      <c r="K42">
        <v>4005</v>
      </c>
      <c r="L42">
        <v>4267</v>
      </c>
      <c r="M42">
        <v>4630</v>
      </c>
      <c r="N42">
        <v>4803</v>
      </c>
      <c r="O42">
        <v>4947</v>
      </c>
      <c r="P42">
        <v>5143</v>
      </c>
      <c r="Q42">
        <v>5375</v>
      </c>
      <c r="R42">
        <v>5649</v>
      </c>
      <c r="S42">
        <v>5888</v>
      </c>
      <c r="T42">
        <v>6068</v>
      </c>
      <c r="U42">
        <v>6271</v>
      </c>
      <c r="V42">
        <v>6387</v>
      </c>
      <c r="W42">
        <v>6522</v>
      </c>
      <c r="X42">
        <v>6609</v>
      </c>
      <c r="Y42">
        <v>6614</v>
      </c>
      <c r="Z42">
        <v>6578</v>
      </c>
      <c r="AA42">
        <v>6496</v>
      </c>
      <c r="AB42">
        <v>6466</v>
      </c>
      <c r="AC42">
        <v>6546</v>
      </c>
      <c r="AD42">
        <v>6812</v>
      </c>
      <c r="AE42">
        <v>7060</v>
      </c>
    </row>
    <row r="43" spans="1:31" x14ac:dyDescent="0.3">
      <c r="A43" t="s">
        <v>291</v>
      </c>
      <c r="B43" t="s">
        <v>204</v>
      </c>
      <c r="C43" t="s">
        <v>0</v>
      </c>
      <c r="D43" t="s">
        <v>205</v>
      </c>
      <c r="E43" t="s">
        <v>123</v>
      </c>
      <c r="F43">
        <v>4029</v>
      </c>
      <c r="G43">
        <v>4216</v>
      </c>
      <c r="H43">
        <v>4458</v>
      </c>
      <c r="I43">
        <v>4760</v>
      </c>
      <c r="J43">
        <v>5109</v>
      </c>
      <c r="K43">
        <v>5504</v>
      </c>
      <c r="L43">
        <v>5882</v>
      </c>
      <c r="M43">
        <v>6467</v>
      </c>
      <c r="N43">
        <v>6856</v>
      </c>
      <c r="O43">
        <v>7120</v>
      </c>
      <c r="P43">
        <v>7453</v>
      </c>
      <c r="Q43">
        <v>7944</v>
      </c>
      <c r="R43">
        <v>8436</v>
      </c>
      <c r="S43">
        <v>8981</v>
      </c>
      <c r="T43">
        <v>9235</v>
      </c>
      <c r="U43">
        <v>9463</v>
      </c>
      <c r="V43">
        <v>9591</v>
      </c>
      <c r="W43">
        <v>9854</v>
      </c>
      <c r="X43">
        <v>10081</v>
      </c>
      <c r="Y43">
        <v>10195</v>
      </c>
      <c r="Z43">
        <v>9965</v>
      </c>
      <c r="AA43">
        <v>9999</v>
      </c>
      <c r="AB43">
        <v>10141</v>
      </c>
      <c r="AC43">
        <v>10400</v>
      </c>
      <c r="AD43">
        <v>10886</v>
      </c>
      <c r="AE43">
        <v>11240</v>
      </c>
    </row>
    <row r="44" spans="1:31" x14ac:dyDescent="0.3">
      <c r="A44" t="s">
        <v>291</v>
      </c>
      <c r="B44" t="s">
        <v>206</v>
      </c>
      <c r="C44" t="s">
        <v>0</v>
      </c>
      <c r="D44" t="s">
        <v>207</v>
      </c>
      <c r="E44" t="s">
        <v>123</v>
      </c>
      <c r="F44">
        <v>122730</v>
      </c>
      <c r="G44">
        <v>121526</v>
      </c>
      <c r="H44">
        <v>123921</v>
      </c>
      <c r="I44">
        <v>128312</v>
      </c>
      <c r="J44">
        <v>132401</v>
      </c>
      <c r="K44">
        <v>137172</v>
      </c>
      <c r="L44">
        <v>144221</v>
      </c>
      <c r="M44">
        <v>149919</v>
      </c>
      <c r="N44">
        <v>151422</v>
      </c>
      <c r="O44">
        <v>152748</v>
      </c>
      <c r="P44">
        <v>156236</v>
      </c>
      <c r="Q44">
        <v>161539</v>
      </c>
      <c r="R44">
        <v>168714</v>
      </c>
      <c r="S44">
        <v>178263</v>
      </c>
      <c r="T44">
        <v>186018</v>
      </c>
      <c r="U44">
        <v>185678</v>
      </c>
      <c r="V44">
        <v>182989</v>
      </c>
      <c r="W44">
        <v>187029</v>
      </c>
      <c r="X44">
        <v>192224</v>
      </c>
      <c r="Y44">
        <v>193737</v>
      </c>
      <c r="Z44">
        <v>193305</v>
      </c>
      <c r="AA44">
        <v>194979</v>
      </c>
      <c r="AB44">
        <v>198584</v>
      </c>
      <c r="AC44">
        <v>202368</v>
      </c>
      <c r="AD44">
        <v>209045</v>
      </c>
      <c r="AE44">
        <v>215259</v>
      </c>
    </row>
    <row r="45" spans="1:31" x14ac:dyDescent="0.3">
      <c r="A45" t="s">
        <v>291</v>
      </c>
      <c r="B45" t="s">
        <v>208</v>
      </c>
      <c r="C45" t="s">
        <v>0</v>
      </c>
      <c r="D45" t="s">
        <v>209</v>
      </c>
      <c r="E45" t="s">
        <v>123</v>
      </c>
      <c r="F45">
        <v>108687</v>
      </c>
      <c r="G45">
        <v>108844</v>
      </c>
      <c r="H45">
        <v>111393</v>
      </c>
      <c r="I45">
        <v>115327</v>
      </c>
      <c r="J45">
        <v>119228</v>
      </c>
      <c r="K45">
        <v>123776</v>
      </c>
      <c r="L45">
        <v>130181</v>
      </c>
      <c r="M45">
        <v>135392</v>
      </c>
      <c r="N45">
        <v>136497</v>
      </c>
      <c r="O45">
        <v>137561</v>
      </c>
      <c r="P45">
        <v>140676</v>
      </c>
      <c r="Q45">
        <v>145444</v>
      </c>
      <c r="R45">
        <v>151713</v>
      </c>
      <c r="S45">
        <v>159969</v>
      </c>
      <c r="T45">
        <v>167309</v>
      </c>
      <c r="U45">
        <v>166597</v>
      </c>
      <c r="V45">
        <v>164224</v>
      </c>
      <c r="W45">
        <v>167915</v>
      </c>
      <c r="X45">
        <v>172279</v>
      </c>
      <c r="Y45">
        <v>173452</v>
      </c>
      <c r="Z45">
        <v>173466</v>
      </c>
      <c r="AA45">
        <v>175352</v>
      </c>
      <c r="AB45">
        <v>178913</v>
      </c>
      <c r="AC45">
        <v>182549</v>
      </c>
      <c r="AD45">
        <v>188299</v>
      </c>
      <c r="AE45">
        <v>194057</v>
      </c>
    </row>
    <row r="46" spans="1:31" x14ac:dyDescent="0.3">
      <c r="A46" t="s">
        <v>291</v>
      </c>
      <c r="B46" t="s">
        <v>210</v>
      </c>
      <c r="C46" t="s">
        <v>0</v>
      </c>
      <c r="D46" t="s">
        <v>211</v>
      </c>
      <c r="E46" t="s">
        <v>123</v>
      </c>
      <c r="F46">
        <v>1020</v>
      </c>
      <c r="G46">
        <v>1079</v>
      </c>
      <c r="H46">
        <v>1132</v>
      </c>
      <c r="I46">
        <v>1243</v>
      </c>
      <c r="J46">
        <v>1335</v>
      </c>
      <c r="K46">
        <v>1499</v>
      </c>
      <c r="L46">
        <v>1615</v>
      </c>
      <c r="M46">
        <v>1837</v>
      </c>
      <c r="N46">
        <v>2053</v>
      </c>
      <c r="O46">
        <v>2173</v>
      </c>
      <c r="P46">
        <v>2310</v>
      </c>
      <c r="Q46">
        <v>2569</v>
      </c>
      <c r="R46">
        <v>2787</v>
      </c>
      <c r="S46">
        <v>3093</v>
      </c>
      <c r="T46">
        <v>3167</v>
      </c>
      <c r="U46">
        <v>3192</v>
      </c>
      <c r="V46">
        <v>3204</v>
      </c>
      <c r="W46">
        <v>3332</v>
      </c>
      <c r="X46">
        <v>3472</v>
      </c>
      <c r="Y46">
        <v>3581</v>
      </c>
      <c r="Z46">
        <v>3387</v>
      </c>
      <c r="AA46">
        <v>3503</v>
      </c>
      <c r="AB46">
        <v>3675</v>
      </c>
      <c r="AC46">
        <v>3854</v>
      </c>
      <c r="AD46">
        <v>4074</v>
      </c>
      <c r="AE46">
        <v>4180</v>
      </c>
    </row>
    <row r="47" spans="1:31" x14ac:dyDescent="0.3">
      <c r="A47" t="s">
        <v>291</v>
      </c>
      <c r="B47" t="s">
        <v>212</v>
      </c>
      <c r="C47" t="s">
        <v>0</v>
      </c>
      <c r="D47" t="s">
        <v>213</v>
      </c>
      <c r="E47" t="s">
        <v>123</v>
      </c>
      <c r="F47">
        <v>35491</v>
      </c>
      <c r="G47">
        <v>37477</v>
      </c>
      <c r="H47">
        <v>38129</v>
      </c>
      <c r="I47">
        <v>39787</v>
      </c>
      <c r="J47">
        <v>40909</v>
      </c>
      <c r="K47">
        <v>42074</v>
      </c>
      <c r="L47">
        <v>43863</v>
      </c>
      <c r="M47">
        <v>45301</v>
      </c>
      <c r="N47">
        <v>43893</v>
      </c>
      <c r="O47">
        <v>44964</v>
      </c>
      <c r="P47">
        <v>47072</v>
      </c>
      <c r="Q47">
        <v>49204</v>
      </c>
      <c r="R47">
        <v>51653</v>
      </c>
      <c r="S47">
        <v>55254</v>
      </c>
      <c r="T47">
        <v>59272</v>
      </c>
      <c r="U47">
        <v>58796</v>
      </c>
      <c r="V47">
        <v>59386</v>
      </c>
      <c r="W47">
        <v>62703</v>
      </c>
      <c r="X47">
        <v>65662</v>
      </c>
      <c r="Y47">
        <v>67264</v>
      </c>
      <c r="Z47">
        <v>68020</v>
      </c>
      <c r="AA47">
        <v>67675</v>
      </c>
      <c r="AB47">
        <v>67378</v>
      </c>
      <c r="AC47">
        <v>69701</v>
      </c>
      <c r="AD47">
        <v>71692</v>
      </c>
      <c r="AE47">
        <v>74209</v>
      </c>
    </row>
    <row r="48" spans="1:31" x14ac:dyDescent="0.3">
      <c r="A48" t="s">
        <v>291</v>
      </c>
      <c r="B48" t="s">
        <v>214</v>
      </c>
      <c r="C48" t="s">
        <v>0</v>
      </c>
      <c r="D48" t="s">
        <v>215</v>
      </c>
      <c r="E48" t="s">
        <v>123</v>
      </c>
      <c r="F48">
        <v>54869</v>
      </c>
      <c r="G48">
        <v>57942</v>
      </c>
      <c r="H48">
        <v>59083</v>
      </c>
      <c r="I48">
        <v>60979</v>
      </c>
      <c r="J48">
        <v>61340</v>
      </c>
      <c r="K48">
        <v>63734</v>
      </c>
      <c r="L48">
        <v>66730</v>
      </c>
      <c r="M48">
        <v>70160</v>
      </c>
      <c r="N48">
        <v>69379</v>
      </c>
      <c r="O48">
        <v>71066</v>
      </c>
      <c r="P48">
        <v>74233</v>
      </c>
      <c r="Q48">
        <v>78109</v>
      </c>
      <c r="R48">
        <v>82216</v>
      </c>
      <c r="S48">
        <v>88112</v>
      </c>
      <c r="T48">
        <v>94573</v>
      </c>
      <c r="U48">
        <v>94681</v>
      </c>
      <c r="V48">
        <v>94366</v>
      </c>
      <c r="W48">
        <v>99119</v>
      </c>
      <c r="X48">
        <v>104395</v>
      </c>
      <c r="Y48">
        <v>107485</v>
      </c>
      <c r="Z48">
        <v>109028</v>
      </c>
      <c r="AA48">
        <v>109760</v>
      </c>
      <c r="AB48">
        <v>111290</v>
      </c>
      <c r="AC48">
        <v>115449</v>
      </c>
      <c r="AD48">
        <v>120056</v>
      </c>
      <c r="AE48">
        <v>126106</v>
      </c>
    </row>
    <row r="49" spans="1:31" x14ac:dyDescent="0.3">
      <c r="A49" t="s">
        <v>291</v>
      </c>
      <c r="B49" t="s">
        <v>216</v>
      </c>
      <c r="C49" t="s">
        <v>0</v>
      </c>
      <c r="D49" t="s">
        <v>217</v>
      </c>
      <c r="E49" t="s">
        <v>123</v>
      </c>
      <c r="F49">
        <v>10894</v>
      </c>
      <c r="G49">
        <v>11531</v>
      </c>
      <c r="H49">
        <v>11976</v>
      </c>
      <c r="I49">
        <v>12227</v>
      </c>
      <c r="J49">
        <v>11094</v>
      </c>
      <c r="K49">
        <v>11741</v>
      </c>
      <c r="L49">
        <v>12477</v>
      </c>
      <c r="M49">
        <v>13621</v>
      </c>
      <c r="N49">
        <v>14147</v>
      </c>
      <c r="O49">
        <v>14628</v>
      </c>
      <c r="P49">
        <v>15254</v>
      </c>
      <c r="Q49">
        <v>16179</v>
      </c>
      <c r="R49">
        <v>17021</v>
      </c>
      <c r="S49">
        <v>18162</v>
      </c>
      <c r="T49">
        <v>19412</v>
      </c>
      <c r="U49">
        <v>19849</v>
      </c>
      <c r="V49">
        <v>19525</v>
      </c>
      <c r="W49">
        <v>20162</v>
      </c>
      <c r="X49">
        <v>21182</v>
      </c>
      <c r="Y49">
        <v>21851</v>
      </c>
      <c r="Z49">
        <v>22281</v>
      </c>
      <c r="AA49">
        <v>22807</v>
      </c>
      <c r="AB49">
        <v>23642</v>
      </c>
      <c r="AC49">
        <v>24440</v>
      </c>
      <c r="AD49">
        <v>25678</v>
      </c>
      <c r="AE49">
        <v>27513</v>
      </c>
    </row>
    <row r="50" spans="1:31" x14ac:dyDescent="0.3">
      <c r="A50" t="s">
        <v>291</v>
      </c>
      <c r="B50" t="s">
        <v>218</v>
      </c>
      <c r="C50" t="s">
        <v>0</v>
      </c>
      <c r="D50" t="s">
        <v>219</v>
      </c>
      <c r="E50" t="s">
        <v>123</v>
      </c>
      <c r="F50">
        <v>8484</v>
      </c>
      <c r="G50">
        <v>8934</v>
      </c>
      <c r="H50">
        <v>8978</v>
      </c>
      <c r="I50">
        <v>8965</v>
      </c>
      <c r="J50">
        <v>9337</v>
      </c>
      <c r="K50">
        <v>9919</v>
      </c>
      <c r="L50">
        <v>10390</v>
      </c>
      <c r="M50">
        <v>11238</v>
      </c>
      <c r="N50">
        <v>11339</v>
      </c>
      <c r="O50">
        <v>11474</v>
      </c>
      <c r="P50">
        <v>11907</v>
      </c>
      <c r="Q50">
        <v>12726</v>
      </c>
      <c r="R50">
        <v>13542</v>
      </c>
      <c r="S50">
        <v>14696</v>
      </c>
      <c r="T50">
        <v>15889</v>
      </c>
      <c r="U50">
        <v>16036</v>
      </c>
      <c r="V50">
        <v>15455</v>
      </c>
      <c r="W50">
        <v>16254</v>
      </c>
      <c r="X50">
        <v>17551</v>
      </c>
      <c r="Y50">
        <v>18370</v>
      </c>
      <c r="Z50">
        <v>18727</v>
      </c>
      <c r="AA50">
        <v>19278</v>
      </c>
      <c r="AB50">
        <v>20270</v>
      </c>
      <c r="AC50">
        <v>21308</v>
      </c>
      <c r="AD50">
        <v>22686</v>
      </c>
      <c r="AE50">
        <v>24384</v>
      </c>
    </row>
    <row r="51" spans="1:31" x14ac:dyDescent="0.3">
      <c r="A51" t="s">
        <v>291</v>
      </c>
      <c r="B51" t="s">
        <v>220</v>
      </c>
      <c r="C51" t="s">
        <v>0</v>
      </c>
      <c r="D51" t="s">
        <v>221</v>
      </c>
      <c r="E51" t="s">
        <v>123</v>
      </c>
      <c r="F51">
        <v>5061</v>
      </c>
      <c r="G51">
        <v>5255</v>
      </c>
      <c r="H51">
        <v>5275</v>
      </c>
      <c r="I51">
        <v>5259</v>
      </c>
      <c r="J51">
        <v>5447</v>
      </c>
      <c r="K51">
        <v>5743</v>
      </c>
      <c r="L51">
        <v>5986</v>
      </c>
      <c r="M51">
        <v>6474</v>
      </c>
      <c r="N51">
        <v>6543</v>
      </c>
      <c r="O51">
        <v>6613</v>
      </c>
      <c r="P51">
        <v>6867</v>
      </c>
      <c r="Q51">
        <v>7366</v>
      </c>
      <c r="R51">
        <v>7801</v>
      </c>
      <c r="S51">
        <v>8395</v>
      </c>
      <c r="T51">
        <v>9067</v>
      </c>
      <c r="U51">
        <v>9150</v>
      </c>
      <c r="V51">
        <v>8847</v>
      </c>
      <c r="W51">
        <v>9339</v>
      </c>
      <c r="X51">
        <v>10109</v>
      </c>
      <c r="Y51">
        <v>10599</v>
      </c>
      <c r="Z51">
        <v>10799</v>
      </c>
      <c r="AA51">
        <v>11148</v>
      </c>
      <c r="AB51">
        <v>11828</v>
      </c>
      <c r="AC51">
        <v>12557</v>
      </c>
      <c r="AD51">
        <v>13477</v>
      </c>
      <c r="AE51">
        <v>14598</v>
      </c>
    </row>
    <row r="52" spans="1:31" x14ac:dyDescent="0.3">
      <c r="A52" t="s">
        <v>291</v>
      </c>
      <c r="B52" t="s">
        <v>222</v>
      </c>
      <c r="C52" t="s">
        <v>0</v>
      </c>
      <c r="D52" t="s">
        <v>223</v>
      </c>
      <c r="E52" t="s">
        <v>123</v>
      </c>
      <c r="F52">
        <v>3423</v>
      </c>
      <c r="G52">
        <v>3679</v>
      </c>
      <c r="H52">
        <v>3703</v>
      </c>
      <c r="I52">
        <v>3706</v>
      </c>
      <c r="J52">
        <v>3890</v>
      </c>
      <c r="K52">
        <v>4176</v>
      </c>
      <c r="L52">
        <v>4404</v>
      </c>
      <c r="M52">
        <v>4764</v>
      </c>
      <c r="N52">
        <v>4796</v>
      </c>
      <c r="O52">
        <v>4861</v>
      </c>
      <c r="P52">
        <v>5040</v>
      </c>
      <c r="Q52">
        <v>5360</v>
      </c>
      <c r="R52">
        <v>5741</v>
      </c>
      <c r="S52">
        <v>6301</v>
      </c>
      <c r="T52">
        <v>6822</v>
      </c>
      <c r="U52">
        <v>6886</v>
      </c>
      <c r="V52">
        <v>6608</v>
      </c>
      <c r="W52">
        <v>6915</v>
      </c>
      <c r="X52">
        <v>7442</v>
      </c>
      <c r="Y52">
        <v>7771</v>
      </c>
      <c r="Z52">
        <v>7928</v>
      </c>
      <c r="AA52">
        <v>8130</v>
      </c>
      <c r="AB52">
        <v>8442</v>
      </c>
      <c r="AC52">
        <v>8751</v>
      </c>
      <c r="AD52">
        <v>9209</v>
      </c>
      <c r="AE52">
        <v>9786</v>
      </c>
    </row>
    <row r="53" spans="1:31" x14ac:dyDescent="0.3">
      <c r="A53" t="s">
        <v>291</v>
      </c>
      <c r="B53" t="s">
        <v>224</v>
      </c>
      <c r="C53" t="s">
        <v>0</v>
      </c>
      <c r="D53" t="s">
        <v>225</v>
      </c>
      <c r="E53" t="s">
        <v>123</v>
      </c>
      <c r="F53">
        <v>5821</v>
      </c>
      <c r="G53">
        <v>6108</v>
      </c>
      <c r="H53">
        <v>6226</v>
      </c>
      <c r="I53">
        <v>6410</v>
      </c>
      <c r="J53">
        <v>6558</v>
      </c>
      <c r="K53">
        <v>6914</v>
      </c>
      <c r="L53">
        <v>7278</v>
      </c>
      <c r="M53">
        <v>7720</v>
      </c>
      <c r="N53">
        <v>7842</v>
      </c>
      <c r="O53">
        <v>7986</v>
      </c>
      <c r="P53">
        <v>8281</v>
      </c>
      <c r="Q53">
        <v>8757</v>
      </c>
      <c r="R53">
        <v>9303</v>
      </c>
      <c r="S53">
        <v>9924</v>
      </c>
      <c r="T53">
        <v>10611</v>
      </c>
      <c r="U53">
        <v>10515</v>
      </c>
      <c r="V53">
        <v>10339</v>
      </c>
      <c r="W53">
        <v>10825</v>
      </c>
      <c r="X53">
        <v>11396</v>
      </c>
      <c r="Y53">
        <v>11622</v>
      </c>
      <c r="Z53">
        <v>11769</v>
      </c>
      <c r="AA53">
        <v>11681</v>
      </c>
      <c r="AB53">
        <v>12079</v>
      </c>
      <c r="AC53">
        <v>12732</v>
      </c>
      <c r="AD53">
        <v>13431</v>
      </c>
      <c r="AE53">
        <v>14055</v>
      </c>
    </row>
    <row r="54" spans="1:31" x14ac:dyDescent="0.3">
      <c r="A54" t="s">
        <v>291</v>
      </c>
      <c r="B54" t="s">
        <v>226</v>
      </c>
      <c r="C54" t="s">
        <v>0</v>
      </c>
      <c r="D54" t="s">
        <v>227</v>
      </c>
      <c r="E54" t="s">
        <v>123</v>
      </c>
      <c r="F54">
        <v>8110</v>
      </c>
      <c r="G54">
        <v>8462</v>
      </c>
      <c r="H54">
        <v>8601</v>
      </c>
      <c r="I54">
        <v>8825</v>
      </c>
      <c r="J54">
        <v>9115</v>
      </c>
      <c r="K54">
        <v>9618</v>
      </c>
      <c r="L54">
        <v>10091</v>
      </c>
      <c r="M54">
        <v>10693</v>
      </c>
      <c r="N54">
        <v>10827</v>
      </c>
      <c r="O54">
        <v>11006</v>
      </c>
      <c r="P54">
        <v>11409</v>
      </c>
      <c r="Q54">
        <v>12037</v>
      </c>
      <c r="R54">
        <v>12723</v>
      </c>
      <c r="S54">
        <v>13612</v>
      </c>
      <c r="T54">
        <v>14510</v>
      </c>
      <c r="U54">
        <v>14483</v>
      </c>
      <c r="V54">
        <v>14153</v>
      </c>
      <c r="W54">
        <v>14719</v>
      </c>
      <c r="X54">
        <v>15443</v>
      </c>
      <c r="Y54">
        <v>15738</v>
      </c>
      <c r="Z54">
        <v>15893</v>
      </c>
      <c r="AA54">
        <v>15794</v>
      </c>
      <c r="AB54">
        <v>16222</v>
      </c>
      <c r="AC54">
        <v>16919</v>
      </c>
      <c r="AD54">
        <v>17712</v>
      </c>
      <c r="AE54">
        <v>18451</v>
      </c>
    </row>
    <row r="55" spans="1:31" x14ac:dyDescent="0.3">
      <c r="A55" t="s">
        <v>291</v>
      </c>
      <c r="B55" t="s">
        <v>228</v>
      </c>
      <c r="C55" t="s">
        <v>0</v>
      </c>
      <c r="D55" t="s">
        <v>229</v>
      </c>
      <c r="E55" t="s">
        <v>123</v>
      </c>
      <c r="F55">
        <v>2289</v>
      </c>
      <c r="G55">
        <v>2354</v>
      </c>
      <c r="H55">
        <v>2375</v>
      </c>
      <c r="I55">
        <v>2415</v>
      </c>
      <c r="J55">
        <v>2557</v>
      </c>
      <c r="K55">
        <v>2704</v>
      </c>
      <c r="L55">
        <v>2813</v>
      </c>
      <c r="M55">
        <v>2973</v>
      </c>
      <c r="N55">
        <v>2985</v>
      </c>
      <c r="O55">
        <v>3020</v>
      </c>
      <c r="P55">
        <v>3128</v>
      </c>
      <c r="Q55">
        <v>3280</v>
      </c>
      <c r="R55">
        <v>3420</v>
      </c>
      <c r="S55">
        <v>3688</v>
      </c>
      <c r="T55">
        <v>3899</v>
      </c>
      <c r="U55">
        <v>3968</v>
      </c>
      <c r="V55">
        <v>3814</v>
      </c>
      <c r="W55">
        <v>3894</v>
      </c>
      <c r="X55">
        <v>4047</v>
      </c>
      <c r="Y55">
        <v>4116</v>
      </c>
      <c r="Z55">
        <v>4124</v>
      </c>
      <c r="AA55">
        <v>4113</v>
      </c>
      <c r="AB55">
        <v>4143</v>
      </c>
      <c r="AC55">
        <v>4187</v>
      </c>
      <c r="AD55">
        <v>4281</v>
      </c>
      <c r="AE55">
        <v>4396</v>
      </c>
    </row>
    <row r="56" spans="1:31" x14ac:dyDescent="0.3">
      <c r="A56" t="s">
        <v>291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291</v>
      </c>
      <c r="B57" t="s">
        <v>232</v>
      </c>
      <c r="C57" t="s">
        <v>0</v>
      </c>
      <c r="D57" t="s">
        <v>233</v>
      </c>
      <c r="E57" t="s">
        <v>123</v>
      </c>
      <c r="F57">
        <v>312637</v>
      </c>
      <c r="G57">
        <v>324340</v>
      </c>
      <c r="H57">
        <v>328673</v>
      </c>
      <c r="I57">
        <v>343394</v>
      </c>
      <c r="J57">
        <v>362915</v>
      </c>
      <c r="K57">
        <v>382680</v>
      </c>
      <c r="L57">
        <v>410349</v>
      </c>
      <c r="M57">
        <v>433295</v>
      </c>
      <c r="N57">
        <v>436541</v>
      </c>
      <c r="O57">
        <v>445503</v>
      </c>
      <c r="P57">
        <v>464549</v>
      </c>
      <c r="Q57">
        <v>493473</v>
      </c>
      <c r="R57">
        <v>523691</v>
      </c>
      <c r="S57">
        <v>565717</v>
      </c>
      <c r="T57">
        <v>601086</v>
      </c>
      <c r="U57">
        <v>599073</v>
      </c>
      <c r="V57">
        <v>590883</v>
      </c>
      <c r="W57">
        <v>617255</v>
      </c>
      <c r="X57">
        <v>652135</v>
      </c>
      <c r="Y57">
        <v>668121</v>
      </c>
      <c r="Z57">
        <v>677294</v>
      </c>
      <c r="AA57">
        <v>688012</v>
      </c>
      <c r="AB57">
        <v>709280</v>
      </c>
      <c r="AC57">
        <v>738661</v>
      </c>
      <c r="AD57">
        <v>776098</v>
      </c>
      <c r="AE57">
        <v>815997</v>
      </c>
    </row>
    <row r="58" spans="1:31" x14ac:dyDescent="0.3">
      <c r="A58" t="s">
        <v>291</v>
      </c>
      <c r="B58" t="s">
        <v>234</v>
      </c>
      <c r="C58" t="s">
        <v>0</v>
      </c>
      <c r="D58" t="s">
        <v>235</v>
      </c>
      <c r="E58" t="s">
        <v>123</v>
      </c>
      <c r="F58">
        <v>312637</v>
      </c>
      <c r="G58">
        <v>324340</v>
      </c>
      <c r="H58">
        <v>328673</v>
      </c>
      <c r="I58">
        <v>343394</v>
      </c>
      <c r="J58">
        <v>362915</v>
      </c>
      <c r="K58">
        <v>382680</v>
      </c>
      <c r="L58">
        <v>410349</v>
      </c>
      <c r="M58">
        <v>433295</v>
      </c>
      <c r="N58">
        <v>436541</v>
      </c>
      <c r="O58">
        <v>445503</v>
      </c>
      <c r="P58">
        <v>464549</v>
      </c>
      <c r="Q58">
        <v>493473</v>
      </c>
      <c r="R58">
        <v>523691</v>
      </c>
      <c r="S58">
        <v>565717</v>
      </c>
      <c r="T58">
        <v>601086</v>
      </c>
      <c r="U58">
        <v>599073</v>
      </c>
      <c r="V58">
        <v>590883</v>
      </c>
      <c r="W58">
        <v>617255</v>
      </c>
      <c r="X58">
        <v>652135</v>
      </c>
      <c r="Y58">
        <v>668121</v>
      </c>
      <c r="Z58">
        <v>677294</v>
      </c>
      <c r="AA58">
        <v>688012</v>
      </c>
      <c r="AB58">
        <v>709280</v>
      </c>
      <c r="AC58">
        <v>738661</v>
      </c>
      <c r="AD58">
        <v>776098</v>
      </c>
      <c r="AE58">
        <v>815997</v>
      </c>
    </row>
    <row r="59" spans="1:31" x14ac:dyDescent="0.3">
      <c r="A59" t="s">
        <v>291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292</v>
      </c>
      <c r="B2" t="s">
        <v>121</v>
      </c>
      <c r="C2" t="s">
        <v>0</v>
      </c>
      <c r="D2" t="s">
        <v>122</v>
      </c>
      <c r="E2" t="s">
        <v>123</v>
      </c>
      <c r="F2">
        <v>11.6694358359024</v>
      </c>
      <c r="G2">
        <v>6.8494514688992503</v>
      </c>
      <c r="H2">
        <v>8.7174836876899509</v>
      </c>
      <c r="I2">
        <v>13.265736046484699</v>
      </c>
      <c r="J2">
        <v>15.5529319165683</v>
      </c>
      <c r="K2">
        <v>12.2201607915894</v>
      </c>
      <c r="L2">
        <v>5.7884972170686497</v>
      </c>
      <c r="M2">
        <v>7.9591836734693899</v>
      </c>
      <c r="N2">
        <v>11.1428571428571</v>
      </c>
      <c r="O2">
        <v>13.9285714285714</v>
      </c>
      <c r="P2">
        <v>13</v>
      </c>
      <c r="Q2">
        <v>12.0714285714286</v>
      </c>
      <c r="R2">
        <v>12.0714285714286</v>
      </c>
      <c r="S2">
        <v>12.0714285714286</v>
      </c>
      <c r="T2">
        <v>13</v>
      </c>
      <c r="U2">
        <v>16</v>
      </c>
      <c r="V2">
        <v>14</v>
      </c>
      <c r="W2">
        <v>14</v>
      </c>
      <c r="X2">
        <v>14</v>
      </c>
      <c r="Y2">
        <v>14</v>
      </c>
      <c r="Z2">
        <v>14</v>
      </c>
      <c r="AA2">
        <v>14</v>
      </c>
      <c r="AB2">
        <v>14</v>
      </c>
      <c r="AC2">
        <v>11</v>
      </c>
      <c r="AD2">
        <v>10</v>
      </c>
      <c r="AE2">
        <v>8</v>
      </c>
    </row>
    <row r="3" spans="1:31" x14ac:dyDescent="0.3">
      <c r="A3" t="s">
        <v>292</v>
      </c>
      <c r="B3" t="s">
        <v>124</v>
      </c>
      <c r="C3" t="s">
        <v>0</v>
      </c>
      <c r="D3" t="s">
        <v>125</v>
      </c>
      <c r="E3" t="s">
        <v>123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>
        <v>0</v>
      </c>
      <c r="S3">
        <v>2</v>
      </c>
      <c r="T3">
        <v>1</v>
      </c>
      <c r="U3">
        <v>1</v>
      </c>
      <c r="V3">
        <v>1</v>
      </c>
      <c r="W3">
        <v>4</v>
      </c>
      <c r="X3">
        <v>6</v>
      </c>
      <c r="Y3">
        <v>4</v>
      </c>
      <c r="Z3">
        <v>3</v>
      </c>
      <c r="AA3">
        <v>2</v>
      </c>
      <c r="AB3">
        <v>3</v>
      </c>
      <c r="AC3">
        <v>3</v>
      </c>
      <c r="AD3">
        <v>2</v>
      </c>
      <c r="AE3">
        <v>6</v>
      </c>
    </row>
    <row r="4" spans="1:31" x14ac:dyDescent="0.3">
      <c r="A4" t="s">
        <v>292</v>
      </c>
      <c r="B4" t="s">
        <v>126</v>
      </c>
      <c r="C4" t="s">
        <v>0</v>
      </c>
      <c r="D4" t="s">
        <v>127</v>
      </c>
      <c r="E4" t="s">
        <v>123</v>
      </c>
      <c r="F4">
        <v>49.754110249369603</v>
      </c>
      <c r="G4">
        <v>41.547246703081797</v>
      </c>
      <c r="H4">
        <v>37.6965262769425</v>
      </c>
      <c r="I4">
        <v>57.940957055300601</v>
      </c>
      <c r="J4">
        <v>59.044594332544399</v>
      </c>
      <c r="K4">
        <v>49.910623938559603</v>
      </c>
      <c r="L4">
        <v>32.404658825781198</v>
      </c>
      <c r="M4">
        <v>33.257413005407102</v>
      </c>
      <c r="N4">
        <v>42.060845859779498</v>
      </c>
      <c r="O4">
        <v>52.155448866126598</v>
      </c>
      <c r="P4">
        <v>53.953912620131</v>
      </c>
      <c r="Q4">
        <v>94.748334357303193</v>
      </c>
      <c r="R4">
        <v>126.78554093855</v>
      </c>
      <c r="S4">
        <v>96.529900487304801</v>
      </c>
      <c r="T4">
        <v>104.890758009827</v>
      </c>
      <c r="U4">
        <v>90.668282347477799</v>
      </c>
      <c r="V4">
        <v>91.603006907761099</v>
      </c>
      <c r="W4">
        <v>103.173913043478</v>
      </c>
      <c r="X4">
        <v>72.7130434782609</v>
      </c>
      <c r="Y4">
        <v>82.539130434782606</v>
      </c>
      <c r="Z4">
        <v>113</v>
      </c>
      <c r="AA4">
        <v>93</v>
      </c>
      <c r="AB4">
        <v>99</v>
      </c>
      <c r="AC4">
        <v>101</v>
      </c>
      <c r="AD4">
        <v>99</v>
      </c>
      <c r="AE4">
        <v>90</v>
      </c>
    </row>
    <row r="5" spans="1:31" x14ac:dyDescent="0.3">
      <c r="A5" t="s">
        <v>292</v>
      </c>
      <c r="B5" t="s">
        <v>128</v>
      </c>
      <c r="C5" t="s">
        <v>0</v>
      </c>
      <c r="D5" t="s">
        <v>129</v>
      </c>
      <c r="E5" t="s">
        <v>123</v>
      </c>
      <c r="F5">
        <v>8.9397285067873309</v>
      </c>
      <c r="G5">
        <v>6.2081447963800898</v>
      </c>
      <c r="H5">
        <v>5.02564102564103</v>
      </c>
      <c r="I5">
        <v>10.051282051282101</v>
      </c>
      <c r="J5">
        <v>10.8888888888889</v>
      </c>
      <c r="K5">
        <v>8.2962962962962994</v>
      </c>
      <c r="L5">
        <v>5.3333333333333304</v>
      </c>
      <c r="M5">
        <v>8</v>
      </c>
      <c r="N5">
        <v>8.8000000000000007</v>
      </c>
      <c r="O5">
        <v>8.8000000000000007</v>
      </c>
      <c r="P5">
        <v>8.8000000000000007</v>
      </c>
      <c r="Q5">
        <v>10.4</v>
      </c>
      <c r="R5">
        <v>12.8</v>
      </c>
      <c r="S5">
        <v>12</v>
      </c>
      <c r="T5">
        <v>16</v>
      </c>
      <c r="U5">
        <v>11</v>
      </c>
      <c r="V5">
        <v>11</v>
      </c>
      <c r="W5">
        <v>12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292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292</v>
      </c>
      <c r="B7" t="s">
        <v>132</v>
      </c>
      <c r="C7" t="s">
        <v>0</v>
      </c>
      <c r="D7" t="s">
        <v>133</v>
      </c>
      <c r="E7" t="s">
        <v>123</v>
      </c>
      <c r="F7">
        <v>9.6271686787812598</v>
      </c>
      <c r="G7">
        <v>12.9908782171506</v>
      </c>
      <c r="H7">
        <v>8.3311066827379001</v>
      </c>
      <c r="I7">
        <v>14.9959920289282</v>
      </c>
      <c r="J7">
        <v>13.596366106228199</v>
      </c>
      <c r="K7">
        <v>10.9725059804649</v>
      </c>
      <c r="L7">
        <v>9.2844281373164499</v>
      </c>
      <c r="M7">
        <v>7.2949078221772101</v>
      </c>
      <c r="N7">
        <v>11.9022180256576</v>
      </c>
      <c r="O7">
        <v>10.0711075601718</v>
      </c>
      <c r="P7">
        <v>12.0853290722061</v>
      </c>
      <c r="Q7">
        <v>18.415739538599802</v>
      </c>
      <c r="R7">
        <v>18.415739538599802</v>
      </c>
      <c r="S7">
        <v>20.3888544891641</v>
      </c>
      <c r="T7">
        <v>12.3789473684211</v>
      </c>
      <c r="U7">
        <v>13.2631578947368</v>
      </c>
      <c r="V7">
        <v>18</v>
      </c>
      <c r="W7">
        <v>15</v>
      </c>
      <c r="X7">
        <v>13</v>
      </c>
      <c r="Y7">
        <v>12</v>
      </c>
      <c r="Z7">
        <v>17</v>
      </c>
      <c r="AA7">
        <v>22</v>
      </c>
      <c r="AB7">
        <v>38</v>
      </c>
      <c r="AC7">
        <v>18.5128205128205</v>
      </c>
      <c r="AD7">
        <v>19.4871794871795</v>
      </c>
      <c r="AE7">
        <v>16.564102564102601</v>
      </c>
    </row>
    <row r="8" spans="1:31" x14ac:dyDescent="0.3">
      <c r="A8" t="s">
        <v>292</v>
      </c>
      <c r="B8" t="s">
        <v>134</v>
      </c>
      <c r="C8" t="s">
        <v>0</v>
      </c>
      <c r="D8" t="s">
        <v>135</v>
      </c>
      <c r="E8" t="s">
        <v>123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>
        <v>0</v>
      </c>
      <c r="N8">
        <v>0.85635576544667502</v>
      </c>
      <c r="O8">
        <v>0.42817788272333701</v>
      </c>
      <c r="P8">
        <v>2.9972451790633601</v>
      </c>
      <c r="Q8">
        <v>4.9954086317722703</v>
      </c>
      <c r="R8">
        <v>18.316498316498301</v>
      </c>
      <c r="S8">
        <v>5.4949494949494904</v>
      </c>
      <c r="T8">
        <v>3.4343434343434298</v>
      </c>
      <c r="U8">
        <v>9.4444444444444393</v>
      </c>
      <c r="V8">
        <v>2.8333333333333299</v>
      </c>
      <c r="W8">
        <v>6.6111111111111098</v>
      </c>
      <c r="X8">
        <v>5.6666666666666696</v>
      </c>
      <c r="Y8">
        <v>6.6111111111111098</v>
      </c>
      <c r="Z8">
        <v>17</v>
      </c>
      <c r="AA8">
        <v>-5</v>
      </c>
      <c r="AB8">
        <v>-34</v>
      </c>
      <c r="AC8">
        <v>1.94285714285714</v>
      </c>
      <c r="AD8">
        <v>0.97142857142857097</v>
      </c>
      <c r="AE8">
        <v>0.97142857142857097</v>
      </c>
    </row>
    <row r="9" spans="1:31" x14ac:dyDescent="0.3">
      <c r="A9" t="s">
        <v>292</v>
      </c>
      <c r="B9" t="s">
        <v>136</v>
      </c>
      <c r="C9" t="s">
        <v>0</v>
      </c>
      <c r="D9" t="s">
        <v>137</v>
      </c>
      <c r="E9" t="s">
        <v>123</v>
      </c>
      <c r="F9">
        <v>3.1378031022475499</v>
      </c>
      <c r="G9">
        <v>1.0861626123164601</v>
      </c>
      <c r="H9">
        <v>1.7650142450142401</v>
      </c>
      <c r="I9">
        <v>2.0859259259259302</v>
      </c>
      <c r="J9">
        <v>2.8444444444444401</v>
      </c>
      <c r="K9">
        <v>1.6592592592592601</v>
      </c>
      <c r="L9">
        <v>1.38271604938272</v>
      </c>
      <c r="M9">
        <v>2.07407407407407</v>
      </c>
      <c r="N9">
        <v>2.07407407407407</v>
      </c>
      <c r="O9">
        <v>3.6296296296296302</v>
      </c>
      <c r="P9">
        <v>3.6296296296296302</v>
      </c>
      <c r="Q9">
        <v>5.0814814814814797</v>
      </c>
      <c r="R9">
        <v>10.8888888888889</v>
      </c>
      <c r="S9">
        <v>6.2222222222222197</v>
      </c>
      <c r="T9">
        <v>8</v>
      </c>
      <c r="U9">
        <v>4</v>
      </c>
      <c r="V9">
        <v>6</v>
      </c>
      <c r="W9">
        <v>7</v>
      </c>
      <c r="X9">
        <v>9</v>
      </c>
      <c r="Y9">
        <v>6</v>
      </c>
      <c r="Z9">
        <v>12</v>
      </c>
      <c r="AA9">
        <v>16</v>
      </c>
      <c r="AB9">
        <v>20</v>
      </c>
      <c r="AC9">
        <v>15</v>
      </c>
      <c r="AD9">
        <v>12</v>
      </c>
      <c r="AE9">
        <v>12</v>
      </c>
    </row>
    <row r="10" spans="1:31" x14ac:dyDescent="0.3">
      <c r="A10" t="s">
        <v>292</v>
      </c>
      <c r="B10" t="s">
        <v>138</v>
      </c>
      <c r="C10" t="s">
        <v>0</v>
      </c>
      <c r="D10" t="s">
        <v>139</v>
      </c>
      <c r="E10" t="s">
        <v>123</v>
      </c>
      <c r="F10">
        <v>3.8681632653061202</v>
      </c>
      <c r="G10">
        <v>1.3814868804664699</v>
      </c>
      <c r="H10">
        <v>2.14897959183673</v>
      </c>
      <c r="I10">
        <v>2.5071428571428598</v>
      </c>
      <c r="J10">
        <v>3.3428571428571399</v>
      </c>
      <c r="K10">
        <v>2.05714285714286</v>
      </c>
      <c r="L10">
        <v>1.46938775510204</v>
      </c>
      <c r="M10">
        <v>2.5714285714285698</v>
      </c>
      <c r="N10">
        <v>2.1428571428571401</v>
      </c>
      <c r="O10">
        <v>3.75</v>
      </c>
      <c r="P10">
        <v>3.75</v>
      </c>
      <c r="Q10">
        <v>6</v>
      </c>
      <c r="R10">
        <v>12</v>
      </c>
      <c r="S10">
        <v>7.2</v>
      </c>
      <c r="T10">
        <v>9</v>
      </c>
      <c r="U10">
        <v>5</v>
      </c>
      <c r="V10">
        <v>7</v>
      </c>
      <c r="W10">
        <v>8</v>
      </c>
      <c r="X10">
        <v>10</v>
      </c>
      <c r="Y10">
        <v>7</v>
      </c>
      <c r="Z10">
        <v>13</v>
      </c>
      <c r="AA10">
        <v>17</v>
      </c>
      <c r="AB10">
        <v>21</v>
      </c>
      <c r="AC10">
        <v>17</v>
      </c>
      <c r="AD10">
        <v>14</v>
      </c>
      <c r="AE10">
        <v>13</v>
      </c>
    </row>
    <row r="11" spans="1:31" x14ac:dyDescent="0.3">
      <c r="A11" t="s">
        <v>292</v>
      </c>
      <c r="B11" t="s">
        <v>140</v>
      </c>
      <c r="C11" t="s">
        <v>0</v>
      </c>
      <c r="D11" t="s">
        <v>141</v>
      </c>
      <c r="E11" t="s">
        <v>123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>
        <v>0</v>
      </c>
      <c r="M11" t="e">
        <v>#NUM!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2</v>
      </c>
      <c r="AE11">
        <v>1</v>
      </c>
    </row>
    <row r="12" spans="1:31" x14ac:dyDescent="0.3">
      <c r="A12" t="s">
        <v>292</v>
      </c>
      <c r="B12" t="s">
        <v>142</v>
      </c>
      <c r="C12" t="s">
        <v>0</v>
      </c>
      <c r="D12" t="s">
        <v>143</v>
      </c>
      <c r="E12" t="s">
        <v>123</v>
      </c>
      <c r="F12">
        <v>7.3762314503055197</v>
      </c>
      <c r="G12">
        <v>4.4257388701833102</v>
      </c>
      <c r="H12">
        <v>4.8683127572016502</v>
      </c>
      <c r="I12">
        <v>8.7629629629629608</v>
      </c>
      <c r="J12">
        <v>9.8583333333333307</v>
      </c>
      <c r="K12">
        <v>9.2421875</v>
      </c>
      <c r="L12">
        <v>2.84375</v>
      </c>
      <c r="M12">
        <v>3.5546875</v>
      </c>
      <c r="N12">
        <v>5.6875</v>
      </c>
      <c r="O12">
        <v>5.6875</v>
      </c>
      <c r="P12">
        <v>6.5</v>
      </c>
      <c r="Q12">
        <v>9.75</v>
      </c>
      <c r="R12">
        <v>13</v>
      </c>
      <c r="S12">
        <v>7.8</v>
      </c>
      <c r="T12">
        <v>13</v>
      </c>
      <c r="U12">
        <v>8</v>
      </c>
      <c r="V12">
        <v>9</v>
      </c>
      <c r="W12">
        <v>8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292</v>
      </c>
      <c r="B13" t="s">
        <v>144</v>
      </c>
      <c r="C13" t="s">
        <v>0</v>
      </c>
      <c r="D13" t="s">
        <v>145</v>
      </c>
      <c r="E13" t="s">
        <v>123</v>
      </c>
      <c r="F13">
        <v>9.2196369356254806</v>
      </c>
      <c r="G13">
        <v>6.0282241502166602</v>
      </c>
      <c r="H13">
        <v>7.2338689802599898</v>
      </c>
      <c r="I13">
        <v>9.5673751029244993</v>
      </c>
      <c r="J13">
        <v>6.8338393592317903</v>
      </c>
      <c r="K13">
        <v>8.0763556063648405</v>
      </c>
      <c r="L13">
        <v>4.2137507511468701</v>
      </c>
      <c r="M13">
        <v>8.0061264271790602</v>
      </c>
      <c r="N13">
        <v>6.0045948203842903</v>
      </c>
      <c r="O13">
        <v>16.212406015037601</v>
      </c>
      <c r="P13">
        <v>9.0789473684210495</v>
      </c>
      <c r="Q13">
        <v>12.105263157894701</v>
      </c>
      <c r="R13">
        <v>18.157894736842099</v>
      </c>
      <c r="S13">
        <v>12.6315789473684</v>
      </c>
      <c r="T13">
        <v>23.684210526315798</v>
      </c>
      <c r="U13">
        <v>17.307692307692299</v>
      </c>
      <c r="V13">
        <v>11.538461538461499</v>
      </c>
      <c r="W13">
        <v>25</v>
      </c>
      <c r="X13">
        <v>9</v>
      </c>
      <c r="Y13">
        <v>12</v>
      </c>
      <c r="Z13">
        <v>14</v>
      </c>
      <c r="AA13">
        <v>13</v>
      </c>
      <c r="AB13">
        <v>15</v>
      </c>
      <c r="AC13">
        <v>17</v>
      </c>
      <c r="AD13">
        <v>20</v>
      </c>
      <c r="AE13">
        <v>12</v>
      </c>
    </row>
    <row r="14" spans="1:31" x14ac:dyDescent="0.3">
      <c r="A14" t="s">
        <v>292</v>
      </c>
      <c r="B14" t="s">
        <v>146</v>
      </c>
      <c r="C14" t="s">
        <v>0</v>
      </c>
      <c r="D14" t="s">
        <v>147</v>
      </c>
      <c r="E14" t="s">
        <v>123</v>
      </c>
      <c r="F14">
        <v>2.8699452400443999</v>
      </c>
      <c r="G14">
        <v>1.3775737152213099</v>
      </c>
      <c r="H14">
        <v>1.65308845826557</v>
      </c>
      <c r="I14">
        <v>3.0056153786646802</v>
      </c>
      <c r="J14">
        <v>4.7736244249380198</v>
      </c>
      <c r="K14">
        <v>4.3396585681254702</v>
      </c>
      <c r="L14">
        <v>2.5527403341914598</v>
      </c>
      <c r="M14">
        <v>1.70182688946097</v>
      </c>
      <c r="N14">
        <v>2.0421922673531601</v>
      </c>
      <c r="O14">
        <v>3.2675076277650601</v>
      </c>
      <c r="P14">
        <v>4.2010812356979397</v>
      </c>
      <c r="Q14">
        <v>18.904865560640701</v>
      </c>
      <c r="R14">
        <v>17.792814645308901</v>
      </c>
      <c r="S14">
        <v>14.827345537757401</v>
      </c>
      <c r="T14">
        <v>12.893343945876</v>
      </c>
      <c r="U14">
        <v>17.443935926773499</v>
      </c>
      <c r="V14">
        <v>19.9359267734554</v>
      </c>
      <c r="W14">
        <v>17.2173913043478</v>
      </c>
      <c r="X14">
        <v>9.5652173913043494</v>
      </c>
      <c r="Y14">
        <v>16.260869565217401</v>
      </c>
      <c r="Z14">
        <v>22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292</v>
      </c>
      <c r="B15" t="s">
        <v>148</v>
      </c>
      <c r="C15" t="s">
        <v>0</v>
      </c>
      <c r="D15" t="s">
        <v>149</v>
      </c>
      <c r="E15" t="s">
        <v>123</v>
      </c>
      <c r="F15">
        <v>4.2012469548701397</v>
      </c>
      <c r="G15">
        <v>2.4394337157310502</v>
      </c>
      <c r="H15">
        <v>2.7646915444951898</v>
      </c>
      <c r="I15">
        <v>4.7921320104583298</v>
      </c>
      <c r="J15">
        <v>6.7525496511003702</v>
      </c>
      <c r="K15">
        <v>5.9734093067426404</v>
      </c>
      <c r="L15">
        <v>3.58404558404558</v>
      </c>
      <c r="M15">
        <v>1.9549339549339499</v>
      </c>
      <c r="N15">
        <v>3.1278943278943299</v>
      </c>
      <c r="O15">
        <v>4.02157842157842</v>
      </c>
      <c r="P15">
        <v>5.5296703296703296</v>
      </c>
      <c r="Q15">
        <v>21.5657142857143</v>
      </c>
      <c r="R15">
        <v>20.9828571428571</v>
      </c>
      <c r="S15">
        <v>17.28</v>
      </c>
      <c r="T15">
        <v>17.28</v>
      </c>
      <c r="U15">
        <v>20.4218181818182</v>
      </c>
      <c r="V15">
        <v>23.825454545454502</v>
      </c>
      <c r="W15">
        <v>20.16</v>
      </c>
      <c r="X15">
        <v>13.44</v>
      </c>
      <c r="Y15">
        <v>17.28</v>
      </c>
      <c r="Z15">
        <v>24</v>
      </c>
      <c r="AA15">
        <v>20</v>
      </c>
      <c r="AB15">
        <v>24</v>
      </c>
      <c r="AC15">
        <v>20</v>
      </c>
      <c r="AD15">
        <v>20</v>
      </c>
      <c r="AE15">
        <v>26</v>
      </c>
    </row>
    <row r="16" spans="1:31" x14ac:dyDescent="0.3">
      <c r="A16" t="s">
        <v>292</v>
      </c>
      <c r="B16" t="s">
        <v>150</v>
      </c>
      <c r="C16" t="s">
        <v>0</v>
      </c>
      <c r="D16" t="s">
        <v>151</v>
      </c>
      <c r="E16" t="s">
        <v>123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>
        <v>0</v>
      </c>
      <c r="N16">
        <v>1.6666666666666701</v>
      </c>
      <c r="O16">
        <v>0.83333333333333304</v>
      </c>
      <c r="P16">
        <v>1.6666666666666701</v>
      </c>
      <c r="Q16">
        <v>2.5</v>
      </c>
      <c r="R16">
        <v>3.3333333333333299</v>
      </c>
      <c r="S16">
        <v>2.5</v>
      </c>
      <c r="T16">
        <v>5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292</v>
      </c>
      <c r="B17" t="s">
        <v>152</v>
      </c>
      <c r="C17" t="s">
        <v>0</v>
      </c>
      <c r="D17" t="s">
        <v>153</v>
      </c>
      <c r="E17" t="s">
        <v>123</v>
      </c>
      <c r="F17">
        <v>6.2821022727272702</v>
      </c>
      <c r="G17">
        <v>6.2821022727272702</v>
      </c>
      <c r="H17">
        <v>4.8323863636363598</v>
      </c>
      <c r="I17">
        <v>5.90625</v>
      </c>
      <c r="J17">
        <v>5.90625</v>
      </c>
      <c r="K17">
        <v>5.25</v>
      </c>
      <c r="L17">
        <v>2.25</v>
      </c>
      <c r="M17">
        <v>2.25</v>
      </c>
      <c r="N17">
        <v>4.5</v>
      </c>
      <c r="O17">
        <v>3.6</v>
      </c>
      <c r="P17">
        <v>3.6</v>
      </c>
      <c r="Q17">
        <v>6.3</v>
      </c>
      <c r="R17">
        <v>6.3</v>
      </c>
      <c r="S17">
        <v>8.1</v>
      </c>
      <c r="T17">
        <v>9</v>
      </c>
      <c r="U17">
        <v>3</v>
      </c>
      <c r="V17">
        <v>5</v>
      </c>
      <c r="W17">
        <v>5</v>
      </c>
      <c r="X17">
        <v>3</v>
      </c>
      <c r="Y17">
        <v>5</v>
      </c>
      <c r="Z17">
        <v>4</v>
      </c>
      <c r="AA17">
        <v>4</v>
      </c>
      <c r="AB17">
        <v>3</v>
      </c>
      <c r="AC17">
        <v>6</v>
      </c>
      <c r="AD17">
        <v>7</v>
      </c>
      <c r="AE17">
        <v>4</v>
      </c>
    </row>
    <row r="18" spans="1:31" x14ac:dyDescent="0.3">
      <c r="A18" t="s">
        <v>292</v>
      </c>
      <c r="B18" t="s">
        <v>154</v>
      </c>
      <c r="C18" t="s">
        <v>0</v>
      </c>
      <c r="D18" t="s">
        <v>155</v>
      </c>
      <c r="E18" t="s">
        <v>123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292</v>
      </c>
      <c r="B19" t="s">
        <v>156</v>
      </c>
      <c r="C19" t="s">
        <v>0</v>
      </c>
      <c r="D19" t="s">
        <v>157</v>
      </c>
      <c r="E19" t="s">
        <v>123</v>
      </c>
      <c r="F19">
        <v>4</v>
      </c>
      <c r="G19">
        <v>3.1111111111111098</v>
      </c>
      <c r="H19">
        <v>3.6296296296296302</v>
      </c>
      <c r="I19">
        <v>5.4444444444444402</v>
      </c>
      <c r="J19">
        <v>7</v>
      </c>
      <c r="K19">
        <v>5</v>
      </c>
      <c r="L19">
        <v>2</v>
      </c>
      <c r="M19">
        <v>2</v>
      </c>
      <c r="N19">
        <v>1</v>
      </c>
      <c r="O19">
        <v>2</v>
      </c>
      <c r="P19">
        <v>2</v>
      </c>
      <c r="Q19">
        <v>3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292</v>
      </c>
      <c r="B20" t="s">
        <v>158</v>
      </c>
      <c r="C20" t="s">
        <v>0</v>
      </c>
      <c r="D20" t="s">
        <v>159</v>
      </c>
      <c r="E20" t="s">
        <v>123</v>
      </c>
      <c r="F20">
        <v>5.8004896449187102</v>
      </c>
      <c r="G20">
        <v>3.7829280292948102</v>
      </c>
      <c r="H20">
        <v>5.14478211984094</v>
      </c>
      <c r="I20">
        <v>4.6125632798574001</v>
      </c>
      <c r="J20">
        <v>5.2415491816561302</v>
      </c>
      <c r="K20">
        <v>6.2399395019715902</v>
      </c>
      <c r="L20">
        <v>2.8363361372598099</v>
      </c>
      <c r="M20">
        <v>5.0423753551285602</v>
      </c>
      <c r="N20">
        <v>5.0423753551285602</v>
      </c>
      <c r="O20">
        <v>9.2443548177356796</v>
      </c>
      <c r="P20">
        <v>9.7065725586224705</v>
      </c>
      <c r="Q20">
        <v>7.6630835989124799</v>
      </c>
      <c r="R20">
        <v>9.3051729415365791</v>
      </c>
      <c r="S20">
        <v>6.3973063973063997</v>
      </c>
      <c r="T20">
        <v>14.074074074074099</v>
      </c>
      <c r="U20">
        <v>8.8888888888888893</v>
      </c>
      <c r="V20">
        <v>8.8888888888888893</v>
      </c>
      <c r="W20">
        <v>8</v>
      </c>
      <c r="X20">
        <v>9</v>
      </c>
      <c r="Y20">
        <v>8</v>
      </c>
      <c r="Z20">
        <v>10</v>
      </c>
      <c r="AA20">
        <v>12</v>
      </c>
      <c r="AB20">
        <v>11</v>
      </c>
      <c r="AC20">
        <v>10</v>
      </c>
      <c r="AD20">
        <v>8</v>
      </c>
      <c r="AE20">
        <v>9</v>
      </c>
    </row>
    <row r="21" spans="1:31" x14ac:dyDescent="0.3">
      <c r="A21" t="s">
        <v>292</v>
      </c>
      <c r="B21" t="s">
        <v>160</v>
      </c>
      <c r="C21" t="s">
        <v>0</v>
      </c>
      <c r="D21" t="s">
        <v>161</v>
      </c>
      <c r="E21" t="s">
        <v>123</v>
      </c>
      <c r="F21">
        <v>7.2929559004934301</v>
      </c>
      <c r="G21">
        <v>4.7627467105263204</v>
      </c>
      <c r="H21">
        <v>6.1739309210526399</v>
      </c>
      <c r="I21">
        <v>5.5565378289473699</v>
      </c>
      <c r="J21">
        <v>6.2813036327231204</v>
      </c>
      <c r="K21">
        <v>7.7088726401601901</v>
      </c>
      <c r="L21">
        <v>3.21203026673341</v>
      </c>
      <c r="M21">
        <v>5.7102760297482904</v>
      </c>
      <c r="N21">
        <v>6.1181528890160202</v>
      </c>
      <c r="O21">
        <v>10.3537971967963</v>
      </c>
      <c r="P21">
        <v>11.9068667763158</v>
      </c>
      <c r="Q21">
        <v>9.0718984962406104</v>
      </c>
      <c r="R21">
        <v>11.4910714285714</v>
      </c>
      <c r="S21">
        <v>7.66071428571429</v>
      </c>
      <c r="T21">
        <v>16.714285714285701</v>
      </c>
      <c r="U21">
        <v>11.1428571428571</v>
      </c>
      <c r="V21">
        <v>12</v>
      </c>
      <c r="W21">
        <v>12</v>
      </c>
      <c r="X21">
        <v>13</v>
      </c>
      <c r="Y21">
        <v>11</v>
      </c>
      <c r="Z21">
        <v>14</v>
      </c>
      <c r="AA21">
        <v>17</v>
      </c>
      <c r="AB21">
        <v>16</v>
      </c>
      <c r="AC21">
        <v>15</v>
      </c>
      <c r="AD21">
        <v>13</v>
      </c>
      <c r="AE21">
        <v>13</v>
      </c>
    </row>
    <row r="22" spans="1:31" x14ac:dyDescent="0.3">
      <c r="A22" t="s">
        <v>292</v>
      </c>
      <c r="B22" t="s">
        <v>162</v>
      </c>
      <c r="C22" t="s">
        <v>0</v>
      </c>
      <c r="D22" t="s">
        <v>163</v>
      </c>
      <c r="E22" t="s">
        <v>123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>
        <v>0</v>
      </c>
      <c r="M22">
        <v>0</v>
      </c>
      <c r="N22" t="e">
        <v>#NUM!</v>
      </c>
      <c r="O22">
        <v>0</v>
      </c>
      <c r="P22">
        <v>2</v>
      </c>
      <c r="Q22">
        <v>1</v>
      </c>
      <c r="R22">
        <v>2</v>
      </c>
      <c r="S22">
        <v>1</v>
      </c>
      <c r="T22">
        <v>2</v>
      </c>
      <c r="U22">
        <v>2</v>
      </c>
      <c r="V22">
        <v>3</v>
      </c>
      <c r="W22">
        <v>4</v>
      </c>
      <c r="X22">
        <v>4</v>
      </c>
      <c r="Y22">
        <v>3</v>
      </c>
      <c r="Z22">
        <v>4</v>
      </c>
      <c r="AA22">
        <v>5</v>
      </c>
      <c r="AB22">
        <v>5</v>
      </c>
      <c r="AC22">
        <v>5</v>
      </c>
      <c r="AD22">
        <v>5</v>
      </c>
      <c r="AE22">
        <v>4</v>
      </c>
    </row>
    <row r="23" spans="1:31" x14ac:dyDescent="0.3">
      <c r="A23" t="s">
        <v>292</v>
      </c>
      <c r="B23" t="s">
        <v>164</v>
      </c>
      <c r="C23" t="s">
        <v>0</v>
      </c>
      <c r="D23" t="s">
        <v>165</v>
      </c>
      <c r="E23" t="s">
        <v>123</v>
      </c>
      <c r="F23">
        <v>3.2130864197530902</v>
      </c>
      <c r="G23">
        <v>2.2491604938271599</v>
      </c>
      <c r="H23">
        <v>2.5951851851851799</v>
      </c>
      <c r="I23">
        <v>3.1940740740740701</v>
      </c>
      <c r="J23">
        <v>5.8967521367521396</v>
      </c>
      <c r="K23">
        <v>5.8967521367521396</v>
      </c>
      <c r="L23">
        <v>2.7749421820010101</v>
      </c>
      <c r="M23">
        <v>3.5677828054298599</v>
      </c>
      <c r="N23">
        <v>5.7976470588235296</v>
      </c>
      <c r="O23">
        <v>7.9058823529411804</v>
      </c>
      <c r="P23">
        <v>9.6</v>
      </c>
      <c r="Q23">
        <v>7.68</v>
      </c>
      <c r="R23">
        <v>8.32</v>
      </c>
      <c r="S23">
        <v>10.4</v>
      </c>
      <c r="T23">
        <v>8</v>
      </c>
      <c r="U23">
        <v>7</v>
      </c>
      <c r="V23">
        <v>8</v>
      </c>
      <c r="W23">
        <v>7</v>
      </c>
      <c r="X23">
        <v>7</v>
      </c>
      <c r="Y23">
        <v>7</v>
      </c>
      <c r="Z23">
        <v>4</v>
      </c>
      <c r="AA23">
        <v>4</v>
      </c>
      <c r="AB23">
        <v>3</v>
      </c>
      <c r="AC23">
        <v>4</v>
      </c>
      <c r="AD23">
        <v>2</v>
      </c>
      <c r="AE23">
        <v>2</v>
      </c>
    </row>
    <row r="24" spans="1:31" x14ac:dyDescent="0.3">
      <c r="A24" t="s">
        <v>292</v>
      </c>
      <c r="B24" t="s">
        <v>166</v>
      </c>
      <c r="C24" t="s">
        <v>0</v>
      </c>
      <c r="D24" t="s">
        <v>167</v>
      </c>
      <c r="E24" t="s">
        <v>123</v>
      </c>
      <c r="F24">
        <v>6.6441846192414999</v>
      </c>
      <c r="G24">
        <v>5.0869538491067701</v>
      </c>
      <c r="H24">
        <v>7.2670769272953901</v>
      </c>
      <c r="I24">
        <v>10.829369538714699</v>
      </c>
      <c r="J24">
        <v>13.0640013482907</v>
      </c>
      <c r="K24">
        <v>10.368255038326</v>
      </c>
      <c r="L24">
        <v>5.3046886242598097</v>
      </c>
      <c r="M24">
        <v>6.7006593148544997</v>
      </c>
      <c r="N24">
        <v>9.5723704497921407</v>
      </c>
      <c r="O24">
        <v>10.676874732460499</v>
      </c>
      <c r="P24">
        <v>11.908821816975101</v>
      </c>
      <c r="Q24">
        <v>11.4507902086299</v>
      </c>
      <c r="R24">
        <v>16.9272550910182</v>
      </c>
      <c r="S24">
        <v>28.394105313965898</v>
      </c>
      <c r="T24">
        <v>21.7486764106973</v>
      </c>
      <c r="U24">
        <v>25.373455812480199</v>
      </c>
      <c r="V24">
        <v>26.166376306620201</v>
      </c>
      <c r="W24">
        <v>34.607142857142897</v>
      </c>
      <c r="X24">
        <v>28.395604395604401</v>
      </c>
      <c r="Y24">
        <v>36.914285714285697</v>
      </c>
      <c r="Z24">
        <v>34</v>
      </c>
      <c r="AA24">
        <v>43</v>
      </c>
      <c r="AB24">
        <v>30</v>
      </c>
      <c r="AC24">
        <v>32</v>
      </c>
      <c r="AD24">
        <v>21</v>
      </c>
      <c r="AE24">
        <v>14</v>
      </c>
    </row>
    <row r="25" spans="1:31" x14ac:dyDescent="0.3">
      <c r="A25" t="s">
        <v>292</v>
      </c>
      <c r="B25" t="s">
        <v>168</v>
      </c>
      <c r="C25" t="s">
        <v>0</v>
      </c>
      <c r="D25" t="s">
        <v>169</v>
      </c>
      <c r="E25" t="s">
        <v>123</v>
      </c>
      <c r="F25">
        <v>1.5928888888888899</v>
      </c>
      <c r="G25">
        <v>1.13777777777778</v>
      </c>
      <c r="H25">
        <v>1.9911111111111099</v>
      </c>
      <c r="I25">
        <v>3.3185185185185202</v>
      </c>
      <c r="J25">
        <v>3.7333333333333298</v>
      </c>
      <c r="K25">
        <v>2.6666666666666701</v>
      </c>
      <c r="L25">
        <v>1.3333333333333299</v>
      </c>
      <c r="M25">
        <v>1.3333333333333299</v>
      </c>
      <c r="N25">
        <v>1.3333333333333299</v>
      </c>
      <c r="O25">
        <v>2</v>
      </c>
      <c r="P25">
        <v>1.3333333333333299</v>
      </c>
      <c r="Q25">
        <v>2</v>
      </c>
      <c r="R25">
        <v>1.3333333333333299</v>
      </c>
      <c r="S25">
        <v>6</v>
      </c>
      <c r="T25">
        <v>3</v>
      </c>
      <c r="U25">
        <v>5</v>
      </c>
      <c r="V25">
        <v>5</v>
      </c>
      <c r="W25">
        <v>3</v>
      </c>
      <c r="X25">
        <v>3</v>
      </c>
      <c r="Y25">
        <v>5</v>
      </c>
      <c r="Z25">
        <v>4</v>
      </c>
      <c r="AA25">
        <v>7</v>
      </c>
      <c r="AB25">
        <v>4</v>
      </c>
      <c r="AC25">
        <v>4</v>
      </c>
      <c r="AD25">
        <v>3</v>
      </c>
      <c r="AE25">
        <v>2</v>
      </c>
    </row>
    <row r="26" spans="1:31" x14ac:dyDescent="0.3">
      <c r="A26" t="s">
        <v>292</v>
      </c>
      <c r="B26" t="s">
        <v>170</v>
      </c>
      <c r="C26" t="s">
        <v>0</v>
      </c>
      <c r="D26" t="s">
        <v>171</v>
      </c>
      <c r="E26" t="s">
        <v>123</v>
      </c>
      <c r="F26">
        <v>3.0730634732999</v>
      </c>
      <c r="G26">
        <v>2.5462525921627801</v>
      </c>
      <c r="H26">
        <v>3.8703039400874202</v>
      </c>
      <c r="I26">
        <v>5.2007209194924702</v>
      </c>
      <c r="J26">
        <v>5.9230432694219797</v>
      </c>
      <c r="K26">
        <v>5.0520074945069897</v>
      </c>
      <c r="L26">
        <v>2.6270438971436301</v>
      </c>
      <c r="M26">
        <v>3.34351041454644</v>
      </c>
      <c r="N26">
        <v>4.4580138860619201</v>
      </c>
      <c r="O26">
        <v>5.0948730126421999</v>
      </c>
      <c r="P26">
        <v>6.1866315153512401</v>
      </c>
      <c r="Q26">
        <v>4.94930521228099</v>
      </c>
      <c r="R26">
        <v>8.9987367496018003</v>
      </c>
      <c r="S26">
        <v>13.998034943824999</v>
      </c>
      <c r="T26">
        <v>10.638506557307</v>
      </c>
      <c r="U26">
        <v>11.9683198769704</v>
      </c>
      <c r="V26">
        <v>12.716339869281001</v>
      </c>
      <c r="W26">
        <v>16.690196078431399</v>
      </c>
      <c r="X26">
        <v>12.517647058823499</v>
      </c>
      <c r="Y26">
        <v>17.882352941176499</v>
      </c>
      <c r="Z26">
        <v>16</v>
      </c>
      <c r="AA26">
        <v>21</v>
      </c>
      <c r="AB26">
        <v>15</v>
      </c>
      <c r="AC26">
        <v>17</v>
      </c>
      <c r="AD26">
        <v>10</v>
      </c>
      <c r="AE26">
        <v>6</v>
      </c>
    </row>
    <row r="27" spans="1:31" x14ac:dyDescent="0.3">
      <c r="A27" t="s">
        <v>292</v>
      </c>
      <c r="B27" t="s">
        <v>172</v>
      </c>
      <c r="C27" t="s">
        <v>0</v>
      </c>
      <c r="D27" t="s">
        <v>173</v>
      </c>
      <c r="E27" t="s">
        <v>123</v>
      </c>
      <c r="F27">
        <v>2.4278410166240398</v>
      </c>
      <c r="G27">
        <v>1.6553461476982101</v>
      </c>
      <c r="H27">
        <v>1.91001478580563</v>
      </c>
      <c r="I27">
        <v>3.3792569287330299</v>
      </c>
      <c r="J27">
        <v>4.6242463235294098</v>
      </c>
      <c r="K27">
        <v>3.36308823529412</v>
      </c>
      <c r="L27">
        <v>1.68154411764706</v>
      </c>
      <c r="M27">
        <v>2.2420588235294101</v>
      </c>
      <c r="N27">
        <v>3.8435294117647101</v>
      </c>
      <c r="O27">
        <v>3.8435294117647101</v>
      </c>
      <c r="P27">
        <v>4.2705882352941202</v>
      </c>
      <c r="Q27">
        <v>4.7450980392156898</v>
      </c>
      <c r="R27">
        <v>6.3267973856209201</v>
      </c>
      <c r="S27">
        <v>8.62745098039216</v>
      </c>
      <c r="T27">
        <v>8.0112044817927206</v>
      </c>
      <c r="U27">
        <v>8.7394957983193304</v>
      </c>
      <c r="V27">
        <v>8.7394957983193304</v>
      </c>
      <c r="W27">
        <v>14.8571428571429</v>
      </c>
      <c r="X27">
        <v>13</v>
      </c>
      <c r="Y27">
        <v>14</v>
      </c>
      <c r="Z27">
        <v>14</v>
      </c>
      <c r="AA27">
        <v>15</v>
      </c>
      <c r="AB27">
        <v>11</v>
      </c>
      <c r="AC27">
        <v>11</v>
      </c>
      <c r="AD27">
        <v>8</v>
      </c>
      <c r="AE27">
        <v>6</v>
      </c>
    </row>
    <row r="28" spans="1:31" x14ac:dyDescent="0.3">
      <c r="A28" t="s">
        <v>292</v>
      </c>
      <c r="B28" t="s">
        <v>174</v>
      </c>
      <c r="C28" t="s">
        <v>0</v>
      </c>
      <c r="D28" t="s">
        <v>175</v>
      </c>
      <c r="E28" t="s">
        <v>123</v>
      </c>
      <c r="F28">
        <v>7.5943275600760902</v>
      </c>
      <c r="G28">
        <v>3.0700473115201201</v>
      </c>
      <c r="H28">
        <v>2.4944134406101002</v>
      </c>
      <c r="I28">
        <v>5.4877095693422202</v>
      </c>
      <c r="J28">
        <v>6.0653632082203499</v>
      </c>
      <c r="K28">
        <v>4.2814328528614203</v>
      </c>
      <c r="L28">
        <v>0.85628657057228497</v>
      </c>
      <c r="M28">
        <v>0.85628657057228497</v>
      </c>
      <c r="N28">
        <v>2.5688597117168501</v>
      </c>
      <c r="O28">
        <v>3.0826316540602199</v>
      </c>
      <c r="P28">
        <v>4.3156843156843099</v>
      </c>
      <c r="Q28">
        <v>6.4735264735264701</v>
      </c>
      <c r="R28">
        <v>7.9120879120879097</v>
      </c>
      <c r="S28">
        <v>10.285714285714301</v>
      </c>
      <c r="T28">
        <v>12</v>
      </c>
      <c r="U28">
        <v>10</v>
      </c>
      <c r="V28">
        <v>11</v>
      </c>
      <c r="W28">
        <v>10</v>
      </c>
      <c r="X28">
        <v>11</v>
      </c>
      <c r="Y28">
        <v>12</v>
      </c>
      <c r="Z28">
        <v>11</v>
      </c>
      <c r="AA28">
        <v>16</v>
      </c>
      <c r="AB28">
        <v>11</v>
      </c>
      <c r="AC28">
        <v>10</v>
      </c>
      <c r="AD28">
        <v>12</v>
      </c>
      <c r="AE28">
        <v>7</v>
      </c>
    </row>
    <row r="29" spans="1:31" x14ac:dyDescent="0.3">
      <c r="A29" t="s">
        <v>292</v>
      </c>
      <c r="B29" t="s">
        <v>176</v>
      </c>
      <c r="C29" t="s">
        <v>0</v>
      </c>
      <c r="D29" t="s">
        <v>177</v>
      </c>
      <c r="E29" t="s">
        <v>123</v>
      </c>
      <c r="F29" t="e">
        <v>#NUM!</v>
      </c>
      <c r="G29" t="e">
        <v>#NUM!</v>
      </c>
      <c r="H29">
        <v>0</v>
      </c>
      <c r="I29" t="e">
        <v>#NUM!</v>
      </c>
      <c r="J29" t="e">
        <v>#NUM!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5</v>
      </c>
      <c r="AB29">
        <v>4</v>
      </c>
      <c r="AC29">
        <v>5</v>
      </c>
      <c r="AD29">
        <v>4</v>
      </c>
      <c r="AE29">
        <v>2</v>
      </c>
    </row>
    <row r="30" spans="1:31" x14ac:dyDescent="0.3">
      <c r="A30" t="s">
        <v>292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292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>
        <v>0</v>
      </c>
      <c r="H31">
        <v>0</v>
      </c>
      <c r="I31" t="e">
        <v>#NUM!</v>
      </c>
      <c r="J31" t="e">
        <v>#NUM!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e">
        <v>#NUM!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292</v>
      </c>
      <c r="B32" t="s">
        <v>182</v>
      </c>
      <c r="C32" t="s">
        <v>0</v>
      </c>
      <c r="D32" t="s">
        <v>183</v>
      </c>
      <c r="E32" t="s">
        <v>123</v>
      </c>
      <c r="F32">
        <v>3.31692307692308</v>
      </c>
      <c r="G32">
        <v>1.5970370370370399</v>
      </c>
      <c r="H32">
        <v>1.30666666666667</v>
      </c>
      <c r="I32">
        <v>2.2400000000000002</v>
      </c>
      <c r="J32">
        <v>2.2400000000000002</v>
      </c>
      <c r="K32">
        <v>1.96</v>
      </c>
      <c r="L32">
        <v>0.32666666666666699</v>
      </c>
      <c r="M32">
        <v>0.32666666666666699</v>
      </c>
      <c r="N32">
        <v>1.63333333333333</v>
      </c>
      <c r="O32">
        <v>2.4500000000000002</v>
      </c>
      <c r="P32">
        <v>2.4500000000000002</v>
      </c>
      <c r="Q32">
        <v>3.6749999999999998</v>
      </c>
      <c r="R32">
        <v>4.9000000000000004</v>
      </c>
      <c r="S32">
        <v>5.6</v>
      </c>
      <c r="T32">
        <v>8</v>
      </c>
      <c r="U32">
        <v>5</v>
      </c>
      <c r="V32">
        <v>4</v>
      </c>
      <c r="W32">
        <v>5</v>
      </c>
      <c r="X32">
        <v>6</v>
      </c>
      <c r="Y32">
        <v>7</v>
      </c>
      <c r="Z32">
        <v>7</v>
      </c>
      <c r="AA32">
        <v>7</v>
      </c>
      <c r="AB32">
        <v>3</v>
      </c>
      <c r="AC32">
        <v>2</v>
      </c>
      <c r="AD32">
        <v>6</v>
      </c>
      <c r="AE32">
        <v>2</v>
      </c>
    </row>
    <row r="33" spans="1:31" x14ac:dyDescent="0.3">
      <c r="A33" t="s">
        <v>292</v>
      </c>
      <c r="B33" t="s">
        <v>184</v>
      </c>
      <c r="C33" t="s">
        <v>0</v>
      </c>
      <c r="D33" t="s">
        <v>185</v>
      </c>
      <c r="E33" t="s">
        <v>123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>
        <v>0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292</v>
      </c>
      <c r="B34" t="s">
        <v>186</v>
      </c>
      <c r="C34" t="s">
        <v>0</v>
      </c>
      <c r="D34" t="s">
        <v>187</v>
      </c>
      <c r="E34" t="s">
        <v>123</v>
      </c>
      <c r="F34">
        <v>1.71428571428571</v>
      </c>
      <c r="G34">
        <v>1.71428571428571</v>
      </c>
      <c r="H34">
        <v>2</v>
      </c>
      <c r="I34">
        <v>4</v>
      </c>
      <c r="J34">
        <v>4</v>
      </c>
      <c r="K34">
        <v>4</v>
      </c>
      <c r="L34">
        <v>1.3333333333333299</v>
      </c>
      <c r="M34">
        <v>2</v>
      </c>
      <c r="N34">
        <v>2.6666666666666701</v>
      </c>
      <c r="O34">
        <v>2.6666666666666701</v>
      </c>
      <c r="P34">
        <v>2.6666666666666701</v>
      </c>
      <c r="Q34">
        <v>2</v>
      </c>
      <c r="R34">
        <v>3.3333333333333299</v>
      </c>
      <c r="S34">
        <v>6</v>
      </c>
      <c r="T34">
        <v>6</v>
      </c>
      <c r="U34">
        <v>4</v>
      </c>
      <c r="V34">
        <v>5</v>
      </c>
      <c r="W34">
        <v>5</v>
      </c>
      <c r="X34">
        <v>3</v>
      </c>
      <c r="Y34">
        <v>3</v>
      </c>
      <c r="Z34">
        <v>3</v>
      </c>
      <c r="AA34">
        <v>4</v>
      </c>
      <c r="AB34">
        <v>2</v>
      </c>
      <c r="AC34">
        <v>4</v>
      </c>
      <c r="AD34">
        <v>3</v>
      </c>
      <c r="AE34">
        <v>2</v>
      </c>
    </row>
    <row r="35" spans="1:31" x14ac:dyDescent="0.3">
      <c r="A35" t="s">
        <v>292</v>
      </c>
      <c r="B35" t="s">
        <v>188</v>
      </c>
      <c r="C35" t="s">
        <v>0</v>
      </c>
      <c r="D35" t="s">
        <v>189</v>
      </c>
      <c r="E35" t="s">
        <v>123</v>
      </c>
      <c r="F35">
        <v>11.5163677580884</v>
      </c>
      <c r="G35">
        <v>10.963582105700199</v>
      </c>
      <c r="H35">
        <v>12.956960670372901</v>
      </c>
      <c r="I35">
        <v>20.757579849475</v>
      </c>
      <c r="J35">
        <v>26.1091434044178</v>
      </c>
      <c r="K35">
        <v>27.504288471829401</v>
      </c>
      <c r="L35">
        <v>15.306734453887699</v>
      </c>
      <c r="M35">
        <v>20.692437317292601</v>
      </c>
      <c r="N35">
        <v>20.692437317292601</v>
      </c>
      <c r="O35">
        <v>32.731673574626498</v>
      </c>
      <c r="P35">
        <v>55.811699813145097</v>
      </c>
      <c r="Q35">
        <v>53.4467972786898</v>
      </c>
      <c r="R35">
        <v>53.4467972786898</v>
      </c>
      <c r="S35">
        <v>71.819133843239399</v>
      </c>
      <c r="T35">
        <v>53.403971319331902</v>
      </c>
      <c r="U35">
        <v>105.344820136764</v>
      </c>
      <c r="V35">
        <v>120.50808970190501</v>
      </c>
      <c r="W35">
        <v>136.86275901859199</v>
      </c>
      <c r="X35">
        <v>137.775177412049</v>
      </c>
      <c r="Y35">
        <v>210.938547486034</v>
      </c>
      <c r="Z35">
        <v>348</v>
      </c>
      <c r="AA35">
        <v>341</v>
      </c>
      <c r="AB35">
        <v>374</v>
      </c>
      <c r="AC35">
        <v>683.55091383811998</v>
      </c>
      <c r="AD35">
        <v>248.03957211003501</v>
      </c>
      <c r="AE35">
        <v>203.713108653109</v>
      </c>
    </row>
    <row r="36" spans="1:31" x14ac:dyDescent="0.3">
      <c r="A36" t="s">
        <v>292</v>
      </c>
      <c r="B36" t="s">
        <v>190</v>
      </c>
      <c r="C36" t="s">
        <v>0</v>
      </c>
      <c r="D36" t="s">
        <v>191</v>
      </c>
      <c r="E36" t="s">
        <v>123</v>
      </c>
      <c r="F36">
        <v>3.7686104218362302</v>
      </c>
      <c r="G36">
        <v>3.4545595533498701</v>
      </c>
      <c r="H36">
        <v>5.3737593052109203</v>
      </c>
      <c r="I36">
        <v>5.8215725806451601</v>
      </c>
      <c r="J36">
        <v>4.2338709677419297</v>
      </c>
      <c r="K36">
        <v>6.0483870967741904</v>
      </c>
      <c r="L36">
        <v>2.2681451612903198</v>
      </c>
      <c r="M36">
        <v>2.2681451612903198</v>
      </c>
      <c r="N36">
        <v>3.0241935483871001</v>
      </c>
      <c r="O36">
        <v>2.2681451612903198</v>
      </c>
      <c r="P36">
        <v>3.7802419354838701</v>
      </c>
      <c r="Q36">
        <v>3.0241935483871001</v>
      </c>
      <c r="R36">
        <v>3.0241935483871001</v>
      </c>
      <c r="S36">
        <v>12.0967741935484</v>
      </c>
      <c r="T36">
        <v>4.8387096774193497</v>
      </c>
      <c r="U36">
        <v>6.7741935483870996</v>
      </c>
      <c r="V36">
        <v>3.87096774193548</v>
      </c>
      <c r="W36">
        <v>5.8064516129032304</v>
      </c>
      <c r="X36">
        <v>3.87096774193548</v>
      </c>
      <c r="Y36">
        <v>2.9032258064516099</v>
      </c>
      <c r="Z36">
        <v>30</v>
      </c>
      <c r="AA36">
        <v>34</v>
      </c>
      <c r="AB36">
        <v>37</v>
      </c>
      <c r="AC36">
        <v>21.421052631578899</v>
      </c>
      <c r="AD36">
        <v>9.7368421052631593</v>
      </c>
      <c r="AE36">
        <v>4.8684210526315796</v>
      </c>
    </row>
    <row r="37" spans="1:31" x14ac:dyDescent="0.3">
      <c r="A37" t="s">
        <v>292</v>
      </c>
      <c r="B37" t="s">
        <v>192</v>
      </c>
      <c r="C37" t="s">
        <v>0</v>
      </c>
      <c r="D37" t="s">
        <v>193</v>
      </c>
      <c r="E37" t="s">
        <v>123</v>
      </c>
      <c r="F37">
        <v>7.7865897189042004</v>
      </c>
      <c r="G37">
        <v>7.1741613140465699</v>
      </c>
      <c r="H37">
        <v>8.0181802921696992</v>
      </c>
      <c r="I37">
        <v>13.4909065233331</v>
      </c>
      <c r="J37">
        <v>16.314584632868002</v>
      </c>
      <c r="K37">
        <v>15.926142141609199</v>
      </c>
      <c r="L37">
        <v>8.6656949888167798</v>
      </c>
      <c r="M37">
        <v>12.020157565132999</v>
      </c>
      <c r="N37">
        <v>9.7460737014591494</v>
      </c>
      <c r="O37">
        <v>17.992751448847699</v>
      </c>
      <c r="P37">
        <v>39.3329915393414</v>
      </c>
      <c r="Q37">
        <v>19.429550037506001</v>
      </c>
      <c r="R37">
        <v>17.3843342440843</v>
      </c>
      <c r="S37">
        <v>24.674538927087401</v>
      </c>
      <c r="T37">
        <v>16.655313775783998</v>
      </c>
      <c r="U37">
        <v>30.414051242736001</v>
      </c>
      <c r="V37">
        <v>44.020337325012598</v>
      </c>
      <c r="W37">
        <v>47.472912801484199</v>
      </c>
      <c r="X37">
        <v>51.124675324675302</v>
      </c>
      <c r="Y37">
        <v>52.071428571428598</v>
      </c>
      <c r="Z37">
        <v>54</v>
      </c>
      <c r="AA37">
        <v>62</v>
      </c>
      <c r="AB37">
        <v>47</v>
      </c>
      <c r="AC37">
        <v>55.8125</v>
      </c>
      <c r="AD37">
        <v>43.3028017241379</v>
      </c>
      <c r="AE37">
        <v>52.716454272863601</v>
      </c>
    </row>
    <row r="38" spans="1:31" x14ac:dyDescent="0.3">
      <c r="A38" t="s">
        <v>292</v>
      </c>
      <c r="B38" t="s">
        <v>194</v>
      </c>
      <c r="C38" t="s">
        <v>0</v>
      </c>
      <c r="D38" t="s">
        <v>195</v>
      </c>
      <c r="E38" t="s">
        <v>123</v>
      </c>
      <c r="F38">
        <v>2.1370428588555401</v>
      </c>
      <c r="G38">
        <v>2.3151297637601602</v>
      </c>
      <c r="H38">
        <v>2.8412956191602001</v>
      </c>
      <c r="I38">
        <v>4.6943145012212</v>
      </c>
      <c r="J38">
        <v>7.4200455019302902</v>
      </c>
      <c r="K38">
        <v>8.5330523272198295</v>
      </c>
      <c r="L38">
        <v>5.2511091244429702</v>
      </c>
      <c r="M38">
        <v>7.0889973179980101</v>
      </c>
      <c r="N38">
        <v>8.9383009661714095</v>
      </c>
      <c r="O38">
        <v>12.8711533912868</v>
      </c>
      <c r="P38">
        <v>13.6756004782423</v>
      </c>
      <c r="Q38">
        <v>30.9980277506824</v>
      </c>
      <c r="R38">
        <v>32.966156496757499</v>
      </c>
      <c r="S38">
        <v>37.289586856988002</v>
      </c>
      <c r="T38">
        <v>32.4780272625379</v>
      </c>
      <c r="U38">
        <v>68.564724220913405</v>
      </c>
      <c r="V38">
        <v>72.50522561292</v>
      </c>
      <c r="W38">
        <v>83.594260118425396</v>
      </c>
      <c r="X38">
        <v>82.685626856268598</v>
      </c>
      <c r="Y38">
        <v>155.86715867158699</v>
      </c>
      <c r="Z38">
        <v>264</v>
      </c>
      <c r="AA38">
        <v>245</v>
      </c>
      <c r="AB38">
        <v>290</v>
      </c>
      <c r="AC38">
        <v>606.36363636363603</v>
      </c>
      <c r="AD38">
        <v>195.07419680161399</v>
      </c>
      <c r="AE38">
        <v>146.07005074516999</v>
      </c>
    </row>
    <row r="39" spans="1:31" x14ac:dyDescent="0.3">
      <c r="A39" t="s">
        <v>292</v>
      </c>
      <c r="B39" t="s">
        <v>196</v>
      </c>
      <c r="C39" t="s">
        <v>0</v>
      </c>
      <c r="D39" t="s">
        <v>197</v>
      </c>
      <c r="E39" t="s">
        <v>123</v>
      </c>
      <c r="F39">
        <v>2.1923287652847399</v>
      </c>
      <c r="G39">
        <v>6.3577534193257499</v>
      </c>
      <c r="H39">
        <v>7.94719177415719</v>
      </c>
      <c r="I39">
        <v>8.8641754404061004</v>
      </c>
      <c r="J39">
        <v>9.2335160837563492</v>
      </c>
      <c r="K39">
        <v>24.183018314600002</v>
      </c>
      <c r="L39">
        <v>19.5522275735064</v>
      </c>
      <c r="M39">
        <v>28.1063271369154</v>
      </c>
      <c r="N39">
        <v>38.646199813258697</v>
      </c>
      <c r="O39">
        <v>18.911970121381898</v>
      </c>
      <c r="P39">
        <v>37.001680672268897</v>
      </c>
      <c r="Q39">
        <v>2.46677871148459</v>
      </c>
      <c r="R39">
        <v>33.712642390289503</v>
      </c>
      <c r="S39">
        <v>42.140802987861797</v>
      </c>
      <c r="T39">
        <v>28.971802054154999</v>
      </c>
      <c r="U39">
        <v>30.782539682539699</v>
      </c>
      <c r="V39">
        <v>31.687908496732</v>
      </c>
      <c r="W39">
        <v>30.782539682539699</v>
      </c>
      <c r="X39">
        <v>41.976190476190503</v>
      </c>
      <c r="Y39">
        <v>41.976190476190503</v>
      </c>
      <c r="Z39">
        <v>41</v>
      </c>
      <c r="AA39">
        <v>41</v>
      </c>
      <c r="AB39">
        <v>109</v>
      </c>
      <c r="AC39">
        <v>60.882882882882903</v>
      </c>
      <c r="AD39">
        <v>96.639496639496599</v>
      </c>
      <c r="AE39">
        <v>73.900791547850403</v>
      </c>
    </row>
    <row r="40" spans="1:31" x14ac:dyDescent="0.3">
      <c r="A40" t="s">
        <v>292</v>
      </c>
      <c r="B40" t="s">
        <v>198</v>
      </c>
      <c r="C40" t="s">
        <v>0</v>
      </c>
      <c r="D40" t="s">
        <v>199</v>
      </c>
      <c r="E40" t="s">
        <v>123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>
        <v>0</v>
      </c>
      <c r="M40">
        <v>0</v>
      </c>
      <c r="N40">
        <v>0.91666666666666696</v>
      </c>
      <c r="O40">
        <v>0.91666666666666696</v>
      </c>
      <c r="P40">
        <v>1.8333333333333299</v>
      </c>
      <c r="Q40">
        <v>1.8333333333333299</v>
      </c>
      <c r="R40">
        <v>1.8333333333333299</v>
      </c>
      <c r="S40">
        <v>11</v>
      </c>
      <c r="T40">
        <v>5</v>
      </c>
      <c r="U40">
        <v>3</v>
      </c>
      <c r="V40">
        <v>3</v>
      </c>
      <c r="W40">
        <v>4</v>
      </c>
      <c r="X40">
        <v>6</v>
      </c>
      <c r="Y40">
        <v>5</v>
      </c>
      <c r="Z40">
        <v>5</v>
      </c>
      <c r="AA40">
        <v>6</v>
      </c>
      <c r="AB40">
        <v>6</v>
      </c>
      <c r="AC40">
        <v>6</v>
      </c>
      <c r="AD40">
        <v>5</v>
      </c>
      <c r="AE40">
        <v>5</v>
      </c>
    </row>
    <row r="41" spans="1:31" x14ac:dyDescent="0.3">
      <c r="A41" t="s">
        <v>292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292</v>
      </c>
      <c r="B42" t="s">
        <v>202</v>
      </c>
      <c r="C42" t="s">
        <v>0</v>
      </c>
      <c r="D42" t="s">
        <v>203</v>
      </c>
      <c r="E42" t="s">
        <v>123</v>
      </c>
      <c r="F42">
        <v>10.74141927682</v>
      </c>
      <c r="G42">
        <v>8.3544372153044506</v>
      </c>
      <c r="H42">
        <v>4.6784848405705004</v>
      </c>
      <c r="I42">
        <v>7.91743588404238</v>
      </c>
      <c r="J42">
        <v>7.91743588404238</v>
      </c>
      <c r="K42">
        <v>5.2782905893615801</v>
      </c>
      <c r="L42">
        <v>0.47984459903287102</v>
      </c>
      <c r="M42">
        <v>1.9193783961314801</v>
      </c>
      <c r="N42">
        <v>4.3186013912958403</v>
      </c>
      <c r="O42">
        <v>4.8584265652078198</v>
      </c>
      <c r="P42">
        <v>5.3982517391198002</v>
      </c>
      <c r="Q42">
        <v>9.5968919806574196</v>
      </c>
      <c r="R42">
        <v>12.7958559742099</v>
      </c>
      <c r="S42">
        <v>35.020237403100801</v>
      </c>
      <c r="T42">
        <v>8.9413372093023291</v>
      </c>
      <c r="U42">
        <v>14.6312790697674</v>
      </c>
      <c r="V42">
        <v>86.066347469220304</v>
      </c>
      <c r="W42">
        <v>39.794117647058798</v>
      </c>
      <c r="X42">
        <v>33</v>
      </c>
      <c r="Y42">
        <v>33</v>
      </c>
      <c r="Z42">
        <v>30</v>
      </c>
      <c r="AA42">
        <v>41</v>
      </c>
      <c r="AB42">
        <v>41</v>
      </c>
      <c r="AC42">
        <v>29.285714285714299</v>
      </c>
      <c r="AD42">
        <v>29.285714285714299</v>
      </c>
      <c r="AE42">
        <v>19.523809523809501</v>
      </c>
    </row>
    <row r="43" spans="1:31" x14ac:dyDescent="0.3">
      <c r="A43" t="s">
        <v>292</v>
      </c>
      <c r="B43" t="s">
        <v>204</v>
      </c>
      <c r="C43" t="s">
        <v>0</v>
      </c>
      <c r="D43" t="s">
        <v>205</v>
      </c>
      <c r="E43" t="s">
        <v>123</v>
      </c>
      <c r="F43">
        <v>11.731699049005</v>
      </c>
      <c r="G43">
        <v>8.3797850350035592</v>
      </c>
      <c r="H43">
        <v>4.65543613055753</v>
      </c>
      <c r="I43">
        <v>8.3132788045670303</v>
      </c>
      <c r="J43">
        <v>7.9518319000206299</v>
      </c>
      <c r="K43">
        <v>5.5662823300144399</v>
      </c>
      <c r="L43">
        <v>0.42817556384726502</v>
      </c>
      <c r="M43">
        <v>1.7127022553890601</v>
      </c>
      <c r="N43">
        <v>3.8535800746253801</v>
      </c>
      <c r="O43">
        <v>4.3352775839535598</v>
      </c>
      <c r="P43">
        <v>5.2986726026098996</v>
      </c>
      <c r="Q43">
        <v>10.597345205219799</v>
      </c>
      <c r="R43">
        <v>56.891011101706297</v>
      </c>
      <c r="S43">
        <v>105.914116412751</v>
      </c>
      <c r="T43">
        <v>53.294364309600901</v>
      </c>
      <c r="U43">
        <v>54.885240856156202</v>
      </c>
      <c r="V43">
        <v>141.012849584278</v>
      </c>
      <c r="W43">
        <v>101.239994573328</v>
      </c>
      <c r="X43">
        <v>86.913580246913597</v>
      </c>
      <c r="Y43">
        <v>80</v>
      </c>
      <c r="Z43">
        <v>55</v>
      </c>
      <c r="AA43">
        <v>74</v>
      </c>
      <c r="AB43">
        <v>66</v>
      </c>
      <c r="AC43">
        <v>57.134328358208997</v>
      </c>
      <c r="AD43">
        <v>55.164179104477597</v>
      </c>
      <c r="AE43">
        <v>39.402985074626898</v>
      </c>
    </row>
    <row r="44" spans="1:31" x14ac:dyDescent="0.3">
      <c r="A44" t="s">
        <v>292</v>
      </c>
      <c r="B44" t="s">
        <v>206</v>
      </c>
      <c r="C44" t="s">
        <v>0</v>
      </c>
      <c r="D44" t="s">
        <v>207</v>
      </c>
      <c r="E44" t="s">
        <v>123</v>
      </c>
      <c r="F44">
        <v>102.037117013734</v>
      </c>
      <c r="G44">
        <v>82.763439355584097</v>
      </c>
      <c r="H44">
        <v>87.277808774979505</v>
      </c>
      <c r="I44">
        <v>130.137447012693</v>
      </c>
      <c r="J44">
        <v>144.51983866115401</v>
      </c>
      <c r="K44">
        <v>142.296456527906</v>
      </c>
      <c r="L44">
        <v>81.173660428418998</v>
      </c>
      <c r="M44">
        <v>101.65325365577201</v>
      </c>
      <c r="N44">
        <v>130.455008858241</v>
      </c>
      <c r="O44">
        <v>152.84654022943201</v>
      </c>
      <c r="P44">
        <v>199.43332817607401</v>
      </c>
      <c r="Q44">
        <v>212.00505659978</v>
      </c>
      <c r="R44">
        <v>323.397543965767</v>
      </c>
      <c r="S44">
        <v>392.42310670944801</v>
      </c>
      <c r="T44">
        <v>314.633039538726</v>
      </c>
      <c r="U44">
        <v>359.00436562751997</v>
      </c>
      <c r="V44">
        <v>466.705675315777</v>
      </c>
      <c r="W44">
        <v>466.705675315777</v>
      </c>
      <c r="X44">
        <v>431.96098721379701</v>
      </c>
      <c r="Y44">
        <v>511.98947368421102</v>
      </c>
      <c r="Z44">
        <v>651</v>
      </c>
      <c r="AA44">
        <v>662</v>
      </c>
      <c r="AB44">
        <v>738</v>
      </c>
      <c r="AC44">
        <v>991.87199999999996</v>
      </c>
      <c r="AD44">
        <v>566.92291764705897</v>
      </c>
      <c r="AE44">
        <v>461.22542452642102</v>
      </c>
    </row>
    <row r="45" spans="1:31" x14ac:dyDescent="0.3">
      <c r="A45" t="s">
        <v>292</v>
      </c>
      <c r="B45" t="s">
        <v>208</v>
      </c>
      <c r="C45" t="s">
        <v>0</v>
      </c>
      <c r="D45" t="s">
        <v>209</v>
      </c>
      <c r="E45" t="s">
        <v>123</v>
      </c>
      <c r="F45">
        <v>93.849339069023799</v>
      </c>
      <c r="G45">
        <v>77.557984957635398</v>
      </c>
      <c r="H45">
        <v>81.001362725310599</v>
      </c>
      <c r="I45">
        <v>120.64438260028599</v>
      </c>
      <c r="J45">
        <v>133.57056645031699</v>
      </c>
      <c r="K45">
        <v>133.02759666799801</v>
      </c>
      <c r="L45">
        <v>76.467169581129696</v>
      </c>
      <c r="M45">
        <v>95.401897286933306</v>
      </c>
      <c r="N45">
        <v>121.948512184167</v>
      </c>
      <c r="O45">
        <v>142.432051340101</v>
      </c>
      <c r="P45">
        <v>188.70961314735399</v>
      </c>
      <c r="Q45">
        <v>201.66579554254599</v>
      </c>
      <c r="R45">
        <v>311.66532038393399</v>
      </c>
      <c r="S45">
        <v>379.94088752686503</v>
      </c>
      <c r="T45">
        <v>302.16313337734402</v>
      </c>
      <c r="U45">
        <v>343.84080694663299</v>
      </c>
      <c r="V45">
        <v>452.780468553486</v>
      </c>
      <c r="W45">
        <v>452.780468553486</v>
      </c>
      <c r="X45">
        <v>418.09542230818801</v>
      </c>
      <c r="Y45">
        <v>498.05376344086</v>
      </c>
      <c r="Z45">
        <v>637</v>
      </c>
      <c r="AA45">
        <v>648</v>
      </c>
      <c r="AB45">
        <v>724</v>
      </c>
      <c r="AC45">
        <v>980.74456521739103</v>
      </c>
      <c r="AD45">
        <v>556.95404942474295</v>
      </c>
      <c r="AE45">
        <v>453.245364359446</v>
      </c>
    </row>
    <row r="46" spans="1:31" x14ac:dyDescent="0.3">
      <c r="A46" t="s">
        <v>292</v>
      </c>
      <c r="B46" t="s">
        <v>210</v>
      </c>
      <c r="C46" t="s">
        <v>0</v>
      </c>
      <c r="D46" t="s">
        <v>211</v>
      </c>
      <c r="E46" t="s">
        <v>123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>
        <v>0</v>
      </c>
      <c r="M46">
        <v>0</v>
      </c>
      <c r="N46">
        <v>0</v>
      </c>
      <c r="O46">
        <v>0</v>
      </c>
      <c r="P46">
        <v>0.53850995647483302</v>
      </c>
      <c r="Q46">
        <v>2.1540398258993299</v>
      </c>
      <c r="R46">
        <v>44.1578164309363</v>
      </c>
      <c r="S46">
        <v>72.418818946735499</v>
      </c>
      <c r="T46">
        <v>44.109644267557101</v>
      </c>
      <c r="U46">
        <v>40.171283172239498</v>
      </c>
      <c r="V46">
        <v>56.072416094584298</v>
      </c>
      <c r="W46">
        <v>61.412646198830402</v>
      </c>
      <c r="X46">
        <v>53.8541666666667</v>
      </c>
      <c r="Y46">
        <v>47</v>
      </c>
      <c r="Z46">
        <v>25</v>
      </c>
      <c r="AA46">
        <v>33</v>
      </c>
      <c r="AB46">
        <v>25</v>
      </c>
      <c r="AC46">
        <v>28</v>
      </c>
      <c r="AD46">
        <v>26</v>
      </c>
      <c r="AE46">
        <v>20</v>
      </c>
    </row>
    <row r="47" spans="1:31" x14ac:dyDescent="0.3">
      <c r="A47" t="s">
        <v>292</v>
      </c>
      <c r="B47" t="s">
        <v>212</v>
      </c>
      <c r="C47" t="s">
        <v>0</v>
      </c>
      <c r="D47" t="s">
        <v>213</v>
      </c>
      <c r="E47" t="s">
        <v>123</v>
      </c>
      <c r="F47">
        <v>16.326568974687799</v>
      </c>
      <c r="G47">
        <v>14.693912077219</v>
      </c>
      <c r="H47">
        <v>13.469419404117399</v>
      </c>
      <c r="I47">
        <v>22.5466368286313</v>
      </c>
      <c r="J47">
        <v>33.641013680815</v>
      </c>
      <c r="K47">
        <v>28.465473114535801</v>
      </c>
      <c r="L47">
        <v>16.480010750520702</v>
      </c>
      <c r="M47">
        <v>20.600013438150899</v>
      </c>
      <c r="N47">
        <v>28.153351698806201</v>
      </c>
      <c r="O47">
        <v>36.197166469893702</v>
      </c>
      <c r="P47">
        <v>31.988193624557301</v>
      </c>
      <c r="Q47">
        <v>13.4687131050767</v>
      </c>
      <c r="R47">
        <v>15.994096812278601</v>
      </c>
      <c r="S47">
        <v>20.203069657615099</v>
      </c>
      <c r="T47">
        <v>24.595041322314</v>
      </c>
      <c r="U47">
        <v>33.704315886134097</v>
      </c>
      <c r="V47">
        <v>25.505968778696101</v>
      </c>
      <c r="W47">
        <v>30.060606060606101</v>
      </c>
      <c r="X47">
        <v>23.272727272727298</v>
      </c>
      <c r="Y47">
        <v>26.181818181818201</v>
      </c>
      <c r="Z47">
        <v>32</v>
      </c>
      <c r="AA47">
        <v>36</v>
      </c>
      <c r="AB47">
        <v>35</v>
      </c>
      <c r="AC47">
        <v>41.8055555555556</v>
      </c>
      <c r="AD47">
        <v>52.5</v>
      </c>
      <c r="AE47">
        <v>82.090909090909093</v>
      </c>
    </row>
    <row r="48" spans="1:31" x14ac:dyDescent="0.3">
      <c r="A48" t="s">
        <v>292</v>
      </c>
      <c r="B48" t="s">
        <v>214</v>
      </c>
      <c r="C48" t="s">
        <v>0</v>
      </c>
      <c r="D48" t="s">
        <v>215</v>
      </c>
      <c r="E48" t="s">
        <v>123</v>
      </c>
      <c r="F48">
        <v>23.636782003938102</v>
      </c>
      <c r="G48">
        <v>20.172770848188499</v>
      </c>
      <c r="H48">
        <v>19.212162712560499</v>
      </c>
      <c r="I48">
        <v>30.795966701016098</v>
      </c>
      <c r="J48">
        <v>43.7987081970007</v>
      </c>
      <c r="K48">
        <v>38.068036096458499</v>
      </c>
      <c r="L48">
        <v>22.364971206669399</v>
      </c>
      <c r="M48">
        <v>29.633586848836899</v>
      </c>
      <c r="N48">
        <v>39.511449131782598</v>
      </c>
      <c r="O48">
        <v>49.5829949889036</v>
      </c>
      <c r="P48">
        <v>45.584366360766197</v>
      </c>
      <c r="Q48">
        <v>38.3868348301189</v>
      </c>
      <c r="R48">
        <v>48.783269263276097</v>
      </c>
      <c r="S48">
        <v>55.9808007939234</v>
      </c>
      <c r="T48">
        <v>69.551904016692802</v>
      </c>
      <c r="U48">
        <v>62.325732170802603</v>
      </c>
      <c r="V48">
        <v>57.742957746478901</v>
      </c>
      <c r="W48">
        <v>67.056338028168994</v>
      </c>
      <c r="X48">
        <v>67.056338028168994</v>
      </c>
      <c r="Y48">
        <v>61.225352112676099</v>
      </c>
      <c r="Z48">
        <v>69</v>
      </c>
      <c r="AA48">
        <v>73</v>
      </c>
      <c r="AB48">
        <v>73</v>
      </c>
      <c r="AC48">
        <v>84.837837837837796</v>
      </c>
      <c r="AD48">
        <v>89.770270270270302</v>
      </c>
      <c r="AE48">
        <v>119.043184488837</v>
      </c>
    </row>
    <row r="49" spans="1:31" x14ac:dyDescent="0.3">
      <c r="A49" t="s">
        <v>292</v>
      </c>
      <c r="B49" t="s">
        <v>216</v>
      </c>
      <c r="C49" t="s">
        <v>0</v>
      </c>
      <c r="D49" t="s">
        <v>217</v>
      </c>
      <c r="E49" t="s">
        <v>123</v>
      </c>
      <c r="F49">
        <v>2.6894484873347699</v>
      </c>
      <c r="G49">
        <v>1.8401489650185301</v>
      </c>
      <c r="H49">
        <v>1.8401489650185301</v>
      </c>
      <c r="I49">
        <v>2.6579929494712098</v>
      </c>
      <c r="J49">
        <v>3.6245358401880101</v>
      </c>
      <c r="K49">
        <v>3.3224911868390099</v>
      </c>
      <c r="L49">
        <v>2.2149941245593401</v>
      </c>
      <c r="M49">
        <v>3.5439905992949501</v>
      </c>
      <c r="N49">
        <v>4.7253207990599302</v>
      </c>
      <c r="O49">
        <v>5.5128742655699199</v>
      </c>
      <c r="P49">
        <v>4.7253207990599302</v>
      </c>
      <c r="Q49">
        <v>18.113729729729702</v>
      </c>
      <c r="R49">
        <v>21.2639435957697</v>
      </c>
      <c r="S49">
        <v>23.6266039952996</v>
      </c>
      <c r="T49">
        <v>31.220869565217399</v>
      </c>
      <c r="U49">
        <v>15.610434782608699</v>
      </c>
      <c r="V49">
        <v>18.365217391304299</v>
      </c>
      <c r="W49">
        <v>22.956521739130402</v>
      </c>
      <c r="X49">
        <v>26.7826086956522</v>
      </c>
      <c r="Y49">
        <v>22.956521739130402</v>
      </c>
      <c r="Z49">
        <v>22</v>
      </c>
      <c r="AA49">
        <v>22</v>
      </c>
      <c r="AB49">
        <v>22</v>
      </c>
      <c r="AC49">
        <v>22</v>
      </c>
      <c r="AD49">
        <v>19</v>
      </c>
      <c r="AE49">
        <v>19</v>
      </c>
    </row>
    <row r="50" spans="1:31" x14ac:dyDescent="0.3">
      <c r="A50" t="s">
        <v>292</v>
      </c>
      <c r="B50" t="s">
        <v>218</v>
      </c>
      <c r="C50" t="s">
        <v>0</v>
      </c>
      <c r="D50" t="s">
        <v>219</v>
      </c>
      <c r="E50" t="s">
        <v>123</v>
      </c>
      <c r="F50">
        <v>5.3176907579954698</v>
      </c>
      <c r="G50">
        <v>4.3792747418786204</v>
      </c>
      <c r="H50">
        <v>4.7161420297154404</v>
      </c>
      <c r="I50">
        <v>6.8928229665071798</v>
      </c>
      <c r="J50">
        <v>8.1852272727272695</v>
      </c>
      <c r="K50">
        <v>7.7037433155080199</v>
      </c>
      <c r="L50">
        <v>4.4021390374331597</v>
      </c>
      <c r="M50">
        <v>6.2887700534759396</v>
      </c>
      <c r="N50">
        <v>7.68627450980392</v>
      </c>
      <c r="O50">
        <v>9.2235294117647104</v>
      </c>
      <c r="P50">
        <v>9.9921568627450998</v>
      </c>
      <c r="Q50">
        <v>6.9176470588235297</v>
      </c>
      <c r="R50">
        <v>11.5294117647059</v>
      </c>
      <c r="S50">
        <v>12.2980392156863</v>
      </c>
      <c r="T50">
        <v>13.9377777777778</v>
      </c>
      <c r="U50">
        <v>13.0666666666667</v>
      </c>
      <c r="V50">
        <v>14</v>
      </c>
      <c r="W50">
        <v>14</v>
      </c>
      <c r="X50">
        <v>17</v>
      </c>
      <c r="Y50">
        <v>12</v>
      </c>
      <c r="Z50">
        <v>15</v>
      </c>
      <c r="AA50">
        <v>15</v>
      </c>
      <c r="AB50">
        <v>16</v>
      </c>
      <c r="AC50">
        <v>21</v>
      </c>
      <c r="AD50">
        <v>18</v>
      </c>
      <c r="AE50">
        <v>17</v>
      </c>
    </row>
    <row r="51" spans="1:31" x14ac:dyDescent="0.3">
      <c r="A51" t="s">
        <v>292</v>
      </c>
      <c r="B51" t="s">
        <v>220</v>
      </c>
      <c r="C51" t="s">
        <v>0</v>
      </c>
      <c r="D51" t="s">
        <v>221</v>
      </c>
      <c r="E51" t="s">
        <v>123</v>
      </c>
      <c r="F51">
        <v>4.4755244755244803</v>
      </c>
      <c r="G51">
        <v>3.6363636363636398</v>
      </c>
      <c r="H51">
        <v>3.9393939393939399</v>
      </c>
      <c r="I51">
        <v>5.9090909090909101</v>
      </c>
      <c r="J51">
        <v>7.0909090909090899</v>
      </c>
      <c r="K51">
        <v>6.6477272727272698</v>
      </c>
      <c r="L51">
        <v>4.0909090909090899</v>
      </c>
      <c r="M51">
        <v>5.8441558441558401</v>
      </c>
      <c r="N51">
        <v>7.1428571428571397</v>
      </c>
      <c r="O51">
        <v>7.8571428571428603</v>
      </c>
      <c r="P51">
        <v>8.5714285714285694</v>
      </c>
      <c r="Q51">
        <v>5.7142857142857197</v>
      </c>
      <c r="R51">
        <v>8.5714285714285694</v>
      </c>
      <c r="S51">
        <v>9.28571428571429</v>
      </c>
      <c r="T51">
        <v>10.8333333333333</v>
      </c>
      <c r="U51">
        <v>9.1666666666666696</v>
      </c>
      <c r="V51">
        <v>11</v>
      </c>
      <c r="W51">
        <v>11</v>
      </c>
      <c r="X51">
        <v>14</v>
      </c>
      <c r="Y51">
        <v>11</v>
      </c>
      <c r="Z51">
        <v>13</v>
      </c>
      <c r="AA51">
        <v>12</v>
      </c>
      <c r="AB51">
        <v>13</v>
      </c>
      <c r="AC51">
        <v>14</v>
      </c>
      <c r="AD51">
        <v>13</v>
      </c>
      <c r="AE51">
        <v>10</v>
      </c>
    </row>
    <row r="52" spans="1:31" x14ac:dyDescent="0.3">
      <c r="A52" t="s">
        <v>292</v>
      </c>
      <c r="B52" t="s">
        <v>222</v>
      </c>
      <c r="C52" t="s">
        <v>0</v>
      </c>
      <c r="D52" t="s">
        <v>223</v>
      </c>
      <c r="E52" t="s">
        <v>123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>
        <v>0</v>
      </c>
      <c r="M52">
        <v>0</v>
      </c>
      <c r="N52">
        <v>0</v>
      </c>
      <c r="O52">
        <v>1</v>
      </c>
      <c r="P52">
        <v>1</v>
      </c>
      <c r="Q52">
        <v>1</v>
      </c>
      <c r="R52">
        <v>3</v>
      </c>
      <c r="S52">
        <v>3</v>
      </c>
      <c r="T52">
        <v>3</v>
      </c>
      <c r="U52">
        <v>4</v>
      </c>
      <c r="V52">
        <v>3</v>
      </c>
      <c r="W52">
        <v>3</v>
      </c>
      <c r="X52">
        <v>3</v>
      </c>
      <c r="Y52">
        <v>1</v>
      </c>
      <c r="Z52">
        <v>2</v>
      </c>
      <c r="AA52">
        <v>3</v>
      </c>
      <c r="AB52">
        <v>3</v>
      </c>
      <c r="AC52">
        <v>7</v>
      </c>
      <c r="AD52">
        <v>5</v>
      </c>
      <c r="AE52">
        <v>7</v>
      </c>
    </row>
    <row r="53" spans="1:31" x14ac:dyDescent="0.3">
      <c r="A53" t="s">
        <v>292</v>
      </c>
      <c r="B53" t="s">
        <v>224</v>
      </c>
      <c r="C53" t="s">
        <v>0</v>
      </c>
      <c r="D53" t="s">
        <v>225</v>
      </c>
      <c r="E53" t="s">
        <v>123</v>
      </c>
      <c r="F53">
        <v>5.9554687499999996</v>
      </c>
      <c r="G53">
        <v>6.6171875</v>
      </c>
      <c r="H53">
        <v>8.8229166666666696</v>
      </c>
      <c r="I53">
        <v>9.625</v>
      </c>
      <c r="J53">
        <v>1.75</v>
      </c>
      <c r="K53">
        <v>7</v>
      </c>
      <c r="L53">
        <v>4</v>
      </c>
      <c r="M53">
        <v>4</v>
      </c>
      <c r="N53">
        <v>6</v>
      </c>
      <c r="O53">
        <v>7</v>
      </c>
      <c r="P53">
        <v>4</v>
      </c>
      <c r="Q53">
        <v>6</v>
      </c>
      <c r="R53">
        <v>6</v>
      </c>
      <c r="S53">
        <v>5</v>
      </c>
      <c r="T53">
        <v>5</v>
      </c>
      <c r="U53">
        <v>3</v>
      </c>
      <c r="V53">
        <v>6</v>
      </c>
      <c r="W53">
        <v>6</v>
      </c>
      <c r="X53">
        <v>8</v>
      </c>
      <c r="Y53">
        <v>6</v>
      </c>
      <c r="Z53">
        <v>6</v>
      </c>
      <c r="AA53">
        <v>8</v>
      </c>
      <c r="AB53">
        <v>7</v>
      </c>
      <c r="AC53">
        <v>6</v>
      </c>
      <c r="AD53">
        <v>5</v>
      </c>
      <c r="AE53">
        <v>4</v>
      </c>
    </row>
    <row r="54" spans="1:31" x14ac:dyDescent="0.3">
      <c r="A54" t="s">
        <v>292</v>
      </c>
      <c r="B54" t="s">
        <v>226</v>
      </c>
      <c r="C54" t="s">
        <v>0</v>
      </c>
      <c r="D54" t="s">
        <v>227</v>
      </c>
      <c r="E54" t="s">
        <v>123</v>
      </c>
      <c r="F54">
        <v>9.4928774928775006</v>
      </c>
      <c r="G54">
        <v>7.7129629629629601</v>
      </c>
      <c r="H54">
        <v>9.6412037037037095</v>
      </c>
      <c r="I54">
        <v>12.3958333333333</v>
      </c>
      <c r="J54">
        <v>5.8333333333333304</v>
      </c>
      <c r="K54">
        <v>10</v>
      </c>
      <c r="L54">
        <v>6.3636363636363598</v>
      </c>
      <c r="M54">
        <v>5.4545454545454604</v>
      </c>
      <c r="N54">
        <v>10</v>
      </c>
      <c r="O54">
        <v>10</v>
      </c>
      <c r="P54">
        <v>7</v>
      </c>
      <c r="Q54">
        <v>12</v>
      </c>
      <c r="R54">
        <v>11</v>
      </c>
      <c r="S54">
        <v>10</v>
      </c>
      <c r="T54">
        <v>9</v>
      </c>
      <c r="U54">
        <v>9</v>
      </c>
      <c r="V54">
        <v>9</v>
      </c>
      <c r="W54">
        <v>12</v>
      </c>
      <c r="X54">
        <v>13</v>
      </c>
      <c r="Y54">
        <v>10</v>
      </c>
      <c r="Z54">
        <v>11</v>
      </c>
      <c r="AA54">
        <v>13</v>
      </c>
      <c r="AB54">
        <v>11</v>
      </c>
      <c r="AC54">
        <v>8</v>
      </c>
      <c r="AD54">
        <v>7</v>
      </c>
      <c r="AE54">
        <v>4</v>
      </c>
    </row>
    <row r="55" spans="1:31" x14ac:dyDescent="0.3">
      <c r="A55" t="s">
        <v>292</v>
      </c>
      <c r="B55" t="s">
        <v>228</v>
      </c>
      <c r="C55" t="s">
        <v>0</v>
      </c>
      <c r="D55" t="s">
        <v>229</v>
      </c>
      <c r="E55" t="s">
        <v>123</v>
      </c>
      <c r="F55">
        <v>4.6666666666666696</v>
      </c>
      <c r="G55">
        <v>2</v>
      </c>
      <c r="H55">
        <v>2</v>
      </c>
      <c r="I55">
        <v>4</v>
      </c>
      <c r="J55">
        <v>4</v>
      </c>
      <c r="K55">
        <v>3.2</v>
      </c>
      <c r="L55">
        <v>2.4</v>
      </c>
      <c r="M55">
        <v>1.6</v>
      </c>
      <c r="N55">
        <v>4</v>
      </c>
      <c r="O55">
        <v>3</v>
      </c>
      <c r="P55">
        <v>3</v>
      </c>
      <c r="Q55">
        <v>6</v>
      </c>
      <c r="R55">
        <v>5</v>
      </c>
      <c r="S55">
        <v>5</v>
      </c>
      <c r="T55">
        <v>4</v>
      </c>
      <c r="U55">
        <v>6</v>
      </c>
      <c r="V55">
        <v>3</v>
      </c>
      <c r="W55">
        <v>6</v>
      </c>
      <c r="X55">
        <v>5</v>
      </c>
      <c r="Y55">
        <v>4</v>
      </c>
      <c r="Z55">
        <v>5</v>
      </c>
      <c r="AA55">
        <v>5</v>
      </c>
      <c r="AB55">
        <v>4</v>
      </c>
      <c r="AC55">
        <v>2</v>
      </c>
      <c r="AD55">
        <v>2</v>
      </c>
      <c r="AE55">
        <v>0</v>
      </c>
    </row>
    <row r="56" spans="1:31" x14ac:dyDescent="0.3">
      <c r="A56" t="s">
        <v>292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292</v>
      </c>
      <c r="B57" t="s">
        <v>232</v>
      </c>
      <c r="C57" t="s">
        <v>0</v>
      </c>
      <c r="D57" t="s">
        <v>233</v>
      </c>
      <c r="E57" t="s">
        <v>123</v>
      </c>
      <c r="F57">
        <v>125.03387283844</v>
      </c>
      <c r="G57">
        <v>102.056287615146</v>
      </c>
      <c r="H57">
        <v>106.27930641301499</v>
      </c>
      <c r="I57">
        <v>159.624132025725</v>
      </c>
      <c r="J57">
        <v>184.10636086402599</v>
      </c>
      <c r="K57">
        <v>177.65677497388501</v>
      </c>
      <c r="L57">
        <v>101.615583382376</v>
      </c>
      <c r="M57">
        <v>128.39798520408701</v>
      </c>
      <c r="N57">
        <v>166.24160189581801</v>
      </c>
      <c r="O57">
        <v>196.89239724535901</v>
      </c>
      <c r="P57">
        <v>244.03564729002301</v>
      </c>
      <c r="Q57">
        <v>251.81129291446001</v>
      </c>
      <c r="R57">
        <v>375.84705353321601</v>
      </c>
      <c r="S57">
        <v>459.73558745012002</v>
      </c>
      <c r="T57">
        <v>386.69348477112902</v>
      </c>
      <c r="U57">
        <v>423.56044836159703</v>
      </c>
      <c r="V57">
        <v>527.94092545274395</v>
      </c>
      <c r="W57">
        <v>537.90207498958796</v>
      </c>
      <c r="X57">
        <v>504.87300020952603</v>
      </c>
      <c r="Y57">
        <v>578.23886639676095</v>
      </c>
      <c r="Z57">
        <v>725</v>
      </c>
      <c r="AA57">
        <v>741</v>
      </c>
      <c r="AB57">
        <v>817</v>
      </c>
      <c r="AC57">
        <v>1082.77108433735</v>
      </c>
      <c r="AD57">
        <v>661.15248764843602</v>
      </c>
      <c r="AE57">
        <v>584.16238719446903</v>
      </c>
    </row>
    <row r="58" spans="1:31" x14ac:dyDescent="0.3">
      <c r="A58" t="s">
        <v>292</v>
      </c>
      <c r="B58" t="s">
        <v>234</v>
      </c>
      <c r="C58" t="s">
        <v>0</v>
      </c>
      <c r="D58" t="s">
        <v>235</v>
      </c>
      <c r="E58" t="s">
        <v>123</v>
      </c>
      <c r="F58">
        <v>125.03387283844</v>
      </c>
      <c r="G58">
        <v>102.056287615146</v>
      </c>
      <c r="H58">
        <v>106.27930641301499</v>
      </c>
      <c r="I58">
        <v>159.624132025725</v>
      </c>
      <c r="J58">
        <v>184.10636086402599</v>
      </c>
      <c r="K58">
        <v>177.65677497388501</v>
      </c>
      <c r="L58">
        <v>101.615583382376</v>
      </c>
      <c r="M58">
        <v>128.39798520408701</v>
      </c>
      <c r="N58">
        <v>166.24160189581801</v>
      </c>
      <c r="O58">
        <v>196.89239724535901</v>
      </c>
      <c r="P58">
        <v>244.03564729002301</v>
      </c>
      <c r="Q58">
        <v>251.81129291446001</v>
      </c>
      <c r="R58">
        <v>375.84705353321601</v>
      </c>
      <c r="S58">
        <v>459.73558745012002</v>
      </c>
      <c r="T58">
        <v>386.69348477112902</v>
      </c>
      <c r="U58">
        <v>423.56044836159703</v>
      </c>
      <c r="V58">
        <v>527.94092545274395</v>
      </c>
      <c r="W58">
        <v>537.90207498958796</v>
      </c>
      <c r="X58">
        <v>504.87300020952603</v>
      </c>
      <c r="Y58">
        <v>578.23886639676095</v>
      </c>
      <c r="Z58">
        <v>725</v>
      </c>
      <c r="AA58">
        <v>741</v>
      </c>
      <c r="AB58">
        <v>817</v>
      </c>
      <c r="AC58">
        <v>1082.77108433735</v>
      </c>
      <c r="AD58">
        <v>661.15248764843602</v>
      </c>
      <c r="AE58">
        <v>584.16238719446903</v>
      </c>
    </row>
    <row r="59" spans="1:31" x14ac:dyDescent="0.3">
      <c r="A59" t="s">
        <v>292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293</v>
      </c>
      <c r="B2" t="s">
        <v>121</v>
      </c>
      <c r="C2" t="s">
        <v>0</v>
      </c>
      <c r="D2" t="s">
        <v>122</v>
      </c>
      <c r="E2" t="s">
        <v>123</v>
      </c>
      <c r="F2">
        <v>6.890625</v>
      </c>
      <c r="G2">
        <v>5.0113636363636402</v>
      </c>
      <c r="H2">
        <v>7.5170454545454604</v>
      </c>
      <c r="I2">
        <v>8.7698863636363704</v>
      </c>
      <c r="J2">
        <v>10.0227272727273</v>
      </c>
      <c r="K2">
        <v>6.890625</v>
      </c>
      <c r="L2">
        <v>6.890625</v>
      </c>
      <c r="M2">
        <v>4.3849431818181799</v>
      </c>
      <c r="N2">
        <v>8.7698863636363598</v>
      </c>
      <c r="O2">
        <v>12.528409090909101</v>
      </c>
      <c r="P2">
        <v>10.440340909090899</v>
      </c>
      <c r="Q2">
        <v>6.9602272727272698</v>
      </c>
      <c r="R2">
        <v>7.65625</v>
      </c>
      <c r="S2">
        <v>6.125</v>
      </c>
      <c r="T2">
        <v>8.75</v>
      </c>
      <c r="U2">
        <v>7</v>
      </c>
      <c r="V2">
        <v>7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</row>
    <row r="3" spans="1:31" x14ac:dyDescent="0.3">
      <c r="A3" t="s">
        <v>293</v>
      </c>
      <c r="B3" t="s">
        <v>124</v>
      </c>
      <c r="C3" t="s">
        <v>0</v>
      </c>
      <c r="D3" t="s">
        <v>125</v>
      </c>
      <c r="E3" t="s">
        <v>123</v>
      </c>
      <c r="F3" t="e">
        <v>#NUM!</v>
      </c>
      <c r="G3" t="e">
        <v>#NUM!</v>
      </c>
      <c r="H3">
        <v>0</v>
      </c>
      <c r="I3">
        <v>0.77564102564102599</v>
      </c>
      <c r="J3">
        <v>0.77564102564102599</v>
      </c>
      <c r="K3">
        <v>0.77564102564102599</v>
      </c>
      <c r="L3">
        <v>0.77564102564102599</v>
      </c>
      <c r="M3">
        <v>0.77564102564102599</v>
      </c>
      <c r="N3">
        <v>1.55128205128205</v>
      </c>
      <c r="O3">
        <v>1.55128205128205</v>
      </c>
      <c r="P3">
        <v>1.55128205128205</v>
      </c>
      <c r="Q3">
        <v>6.9807692307692299</v>
      </c>
      <c r="R3">
        <v>10.0833333333333</v>
      </c>
      <c r="S3">
        <v>11</v>
      </c>
      <c r="T3">
        <v>8</v>
      </c>
      <c r="U3">
        <v>6</v>
      </c>
      <c r="V3">
        <v>9</v>
      </c>
      <c r="W3">
        <v>12</v>
      </c>
      <c r="X3">
        <v>11</v>
      </c>
      <c r="Y3">
        <v>11</v>
      </c>
      <c r="Z3">
        <v>7</v>
      </c>
      <c r="AA3">
        <v>5</v>
      </c>
      <c r="AB3">
        <v>5</v>
      </c>
      <c r="AC3">
        <v>4</v>
      </c>
      <c r="AD3">
        <v>3</v>
      </c>
      <c r="AE3">
        <v>7</v>
      </c>
    </row>
    <row r="4" spans="1:31" x14ac:dyDescent="0.3">
      <c r="A4" t="s">
        <v>293</v>
      </c>
      <c r="B4" t="s">
        <v>126</v>
      </c>
      <c r="C4" t="s">
        <v>0</v>
      </c>
      <c r="D4" t="s">
        <v>127</v>
      </c>
      <c r="E4" t="s">
        <v>123</v>
      </c>
      <c r="F4">
        <v>58.071725053981702</v>
      </c>
      <c r="G4">
        <v>58.071725053981702</v>
      </c>
      <c r="H4">
        <v>69.216803599695396</v>
      </c>
      <c r="I4">
        <v>85.467705314406501</v>
      </c>
      <c r="J4">
        <v>88.498475006406693</v>
      </c>
      <c r="K4">
        <v>70.061292713405294</v>
      </c>
      <c r="L4">
        <v>93.415056951207106</v>
      </c>
      <c r="M4">
        <v>44.216460290237997</v>
      </c>
      <c r="N4">
        <v>79.7141819316967</v>
      </c>
      <c r="O4">
        <v>94.265183395419101</v>
      </c>
      <c r="P4">
        <v>83.791274129261396</v>
      </c>
      <c r="Q4">
        <v>162.92747747356401</v>
      </c>
      <c r="R4">
        <v>241.98511422234</v>
      </c>
      <c r="S4">
        <v>220.33788355708199</v>
      </c>
      <c r="T4">
        <v>175.26877101131601</v>
      </c>
      <c r="U4">
        <v>158.78309453005301</v>
      </c>
      <c r="V4">
        <v>156.84671532846701</v>
      </c>
      <c r="W4">
        <v>178.68613138686101</v>
      </c>
      <c r="X4">
        <v>134.01459854014601</v>
      </c>
      <c r="Y4">
        <v>136</v>
      </c>
      <c r="Z4">
        <v>191</v>
      </c>
      <c r="AA4">
        <v>184</v>
      </c>
      <c r="AB4">
        <v>232</v>
      </c>
      <c r="AC4">
        <v>178.770562770563</v>
      </c>
      <c r="AD4">
        <v>169.68053415511</v>
      </c>
      <c r="AE4">
        <v>152.51048010369999</v>
      </c>
    </row>
    <row r="5" spans="1:31" x14ac:dyDescent="0.3">
      <c r="A5" t="s">
        <v>293</v>
      </c>
      <c r="B5" t="s">
        <v>128</v>
      </c>
      <c r="C5" t="s">
        <v>0</v>
      </c>
      <c r="D5" t="s">
        <v>129</v>
      </c>
      <c r="E5" t="s">
        <v>123</v>
      </c>
      <c r="F5">
        <v>6.2351046698872796</v>
      </c>
      <c r="G5">
        <v>5.4557165861513699</v>
      </c>
      <c r="H5">
        <v>6.2351046698872796</v>
      </c>
      <c r="I5">
        <v>7.7938808373591</v>
      </c>
      <c r="J5">
        <v>7.7938808373591</v>
      </c>
      <c r="K5">
        <v>5.4557165861513699</v>
      </c>
      <c r="L5">
        <v>7.0144927536231902</v>
      </c>
      <c r="M5">
        <v>4.6763285024154602</v>
      </c>
      <c r="N5">
        <v>9.3526570048309203</v>
      </c>
      <c r="O5">
        <v>9.3526570048309203</v>
      </c>
      <c r="P5">
        <v>7.0144927536231902</v>
      </c>
      <c r="Q5">
        <v>14.808373590982301</v>
      </c>
      <c r="R5">
        <v>18.705314009661802</v>
      </c>
      <c r="S5">
        <v>19.5555555555556</v>
      </c>
      <c r="T5">
        <v>19.5555555555556</v>
      </c>
      <c r="U5">
        <v>16</v>
      </c>
      <c r="V5">
        <v>15</v>
      </c>
      <c r="W5">
        <v>15</v>
      </c>
      <c r="X5">
        <v>12</v>
      </c>
      <c r="Y5">
        <v>14</v>
      </c>
      <c r="Z5">
        <v>14</v>
      </c>
      <c r="AA5">
        <v>13</v>
      </c>
      <c r="AB5">
        <v>27</v>
      </c>
      <c r="AC5">
        <v>14</v>
      </c>
      <c r="AD5">
        <v>11</v>
      </c>
      <c r="AE5">
        <v>11</v>
      </c>
    </row>
    <row r="6" spans="1:31" x14ac:dyDescent="0.3">
      <c r="A6" t="s">
        <v>293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>
        <v>0</v>
      </c>
      <c r="H6" t="e">
        <v>#NUM!</v>
      </c>
      <c r="I6" t="e">
        <v>#NUM!</v>
      </c>
      <c r="J6">
        <v>0</v>
      </c>
      <c r="K6" t="e">
        <v>#NUM!</v>
      </c>
      <c r="L6" t="e">
        <v>#NUM!</v>
      </c>
      <c r="M6">
        <v>0</v>
      </c>
      <c r="N6">
        <v>0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293</v>
      </c>
      <c r="B7" t="s">
        <v>132</v>
      </c>
      <c r="C7" t="s">
        <v>0</v>
      </c>
      <c r="D7" t="s">
        <v>133</v>
      </c>
      <c r="E7" t="s">
        <v>123</v>
      </c>
      <c r="F7">
        <v>12.5319836249957</v>
      </c>
      <c r="G7">
        <v>21.2079722884543</v>
      </c>
      <c r="H7">
        <v>17.755511683357099</v>
      </c>
      <c r="I7">
        <v>25.3650166905101</v>
      </c>
      <c r="J7">
        <v>21.223789475733</v>
      </c>
      <c r="K7">
        <v>15.9178421067997</v>
      </c>
      <c r="L7">
        <v>28.1215210553462</v>
      </c>
      <c r="M7">
        <v>10.275171154838</v>
      </c>
      <c r="N7">
        <v>24.335931682511099</v>
      </c>
      <c r="O7">
        <v>22.676663613249001</v>
      </c>
      <c r="P7">
        <v>19.1879461342876</v>
      </c>
      <c r="Q7">
        <v>41.973632168754101</v>
      </c>
      <c r="R7">
        <v>57.236771139210198</v>
      </c>
      <c r="S7">
        <v>55.787738958470698</v>
      </c>
      <c r="T7">
        <v>25.502966381015199</v>
      </c>
      <c r="U7">
        <v>30.439024390243901</v>
      </c>
      <c r="V7">
        <v>39</v>
      </c>
      <c r="W7">
        <v>30</v>
      </c>
      <c r="X7">
        <v>29</v>
      </c>
      <c r="Y7">
        <v>25</v>
      </c>
      <c r="Z7">
        <v>33</v>
      </c>
      <c r="AA7">
        <v>41</v>
      </c>
      <c r="AB7">
        <v>84</v>
      </c>
      <c r="AC7">
        <v>28</v>
      </c>
      <c r="AD7">
        <v>30</v>
      </c>
      <c r="AE7">
        <v>23</v>
      </c>
    </row>
    <row r="8" spans="1:31" x14ac:dyDescent="0.3">
      <c r="A8" t="s">
        <v>293</v>
      </c>
      <c r="B8" t="s">
        <v>134</v>
      </c>
      <c r="C8" t="s">
        <v>0</v>
      </c>
      <c r="D8" t="s">
        <v>135</v>
      </c>
      <c r="E8" t="s">
        <v>123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>
        <v>0</v>
      </c>
      <c r="N8">
        <v>1.67604134995439</v>
      </c>
      <c r="O8">
        <v>1.1173608999696001</v>
      </c>
      <c r="P8">
        <v>5.0281240498631803</v>
      </c>
      <c r="Q8">
        <v>7.2628458498023702</v>
      </c>
      <c r="R8">
        <v>27.840909090909101</v>
      </c>
      <c r="S8">
        <v>11.136363636363599</v>
      </c>
      <c r="T8">
        <v>6.3636363636363598</v>
      </c>
      <c r="U8">
        <v>10</v>
      </c>
      <c r="V8">
        <v>3</v>
      </c>
      <c r="W8">
        <v>7</v>
      </c>
      <c r="X8">
        <v>6</v>
      </c>
      <c r="Y8">
        <v>7</v>
      </c>
      <c r="Z8">
        <v>17</v>
      </c>
      <c r="AA8">
        <v>-5</v>
      </c>
      <c r="AB8">
        <v>-35</v>
      </c>
      <c r="AC8">
        <v>2</v>
      </c>
      <c r="AD8">
        <v>1</v>
      </c>
      <c r="AE8">
        <v>1</v>
      </c>
    </row>
    <row r="9" spans="1:31" x14ac:dyDescent="0.3">
      <c r="A9" t="s">
        <v>293</v>
      </c>
      <c r="B9" t="s">
        <v>136</v>
      </c>
      <c r="C9" t="s">
        <v>0</v>
      </c>
      <c r="D9" t="s">
        <v>137</v>
      </c>
      <c r="E9" t="s">
        <v>123</v>
      </c>
      <c r="F9">
        <v>8.5977093621544896</v>
      </c>
      <c r="G9">
        <v>4.8362115162119004</v>
      </c>
      <c r="H9">
        <v>9.1350661972891398</v>
      </c>
      <c r="I9">
        <v>7.9931829226279998</v>
      </c>
      <c r="J9">
        <v>9.1350661972891398</v>
      </c>
      <c r="K9">
        <v>5.1384747359751399</v>
      </c>
      <c r="L9">
        <v>6.2803580106362897</v>
      </c>
      <c r="M9">
        <v>6.2803580106362897</v>
      </c>
      <c r="N9">
        <v>7.4222412852974298</v>
      </c>
      <c r="O9">
        <v>10.8478911092809</v>
      </c>
      <c r="P9">
        <v>7.2319274061872401</v>
      </c>
      <c r="Q9">
        <v>16.271836663921299</v>
      </c>
      <c r="R9">
        <v>36.9245524296675</v>
      </c>
      <c r="S9">
        <v>25.5631516820775</v>
      </c>
      <c r="T9">
        <v>20.140664961636801</v>
      </c>
      <c r="U9">
        <v>13.695652173913</v>
      </c>
      <c r="V9">
        <v>20.086956521739101</v>
      </c>
      <c r="W9">
        <v>25.826086956521699</v>
      </c>
      <c r="X9">
        <v>30.6086956521739</v>
      </c>
      <c r="Y9">
        <v>22</v>
      </c>
      <c r="Z9">
        <v>46</v>
      </c>
      <c r="AA9">
        <v>66</v>
      </c>
      <c r="AB9">
        <v>86</v>
      </c>
      <c r="AC9">
        <v>63.741176470588201</v>
      </c>
      <c r="AD9">
        <v>50.376091081593898</v>
      </c>
      <c r="AE9">
        <v>50.376091081593898</v>
      </c>
    </row>
    <row r="10" spans="1:31" x14ac:dyDescent="0.3">
      <c r="A10" t="s">
        <v>293</v>
      </c>
      <c r="B10" t="s">
        <v>138</v>
      </c>
      <c r="C10" t="s">
        <v>0</v>
      </c>
      <c r="D10" t="s">
        <v>139</v>
      </c>
      <c r="E10" t="s">
        <v>123</v>
      </c>
      <c r="F10">
        <v>9.8963390513180105</v>
      </c>
      <c r="G10">
        <v>5.4979661396211199</v>
      </c>
      <c r="H10">
        <v>9.8963390513180105</v>
      </c>
      <c r="I10">
        <v>9.3142014600640106</v>
      </c>
      <c r="J10">
        <v>9.8963390513180105</v>
      </c>
      <c r="K10">
        <v>5.8213759125400104</v>
      </c>
      <c r="L10">
        <v>6.9856510950480102</v>
      </c>
      <c r="M10">
        <v>7.5677886863020101</v>
      </c>
      <c r="N10">
        <v>8.1499262775560108</v>
      </c>
      <c r="O10">
        <v>12.224889416333999</v>
      </c>
      <c r="P10">
        <v>7.9461781206171098</v>
      </c>
      <c r="Q10">
        <v>18.337334124501002</v>
      </c>
      <c r="R10">
        <v>40.468599447174697</v>
      </c>
      <c r="S10">
        <v>28.906142462267599</v>
      </c>
      <c r="T10">
        <v>24.2186599008188</v>
      </c>
      <c r="U10">
        <v>18.567639257294399</v>
      </c>
      <c r="V10">
        <v>24.137931034482801</v>
      </c>
      <c r="W10">
        <v>31.862068965517199</v>
      </c>
      <c r="X10">
        <v>38.620689655172399</v>
      </c>
      <c r="Y10">
        <v>28</v>
      </c>
      <c r="Z10">
        <v>52</v>
      </c>
      <c r="AA10">
        <v>71</v>
      </c>
      <c r="AB10">
        <v>90</v>
      </c>
      <c r="AC10">
        <v>69.775280898876403</v>
      </c>
      <c r="AD10">
        <v>56.435888962326501</v>
      </c>
      <c r="AE10">
        <v>54.3836748182419</v>
      </c>
    </row>
    <row r="11" spans="1:31" x14ac:dyDescent="0.3">
      <c r="A11" t="s">
        <v>293</v>
      </c>
      <c r="B11" t="s">
        <v>140</v>
      </c>
      <c r="C11" t="s">
        <v>0</v>
      </c>
      <c r="D11" t="s">
        <v>141</v>
      </c>
      <c r="E11" t="s">
        <v>123</v>
      </c>
      <c r="F11">
        <v>1.3333333333333299</v>
      </c>
      <c r="G11">
        <v>0.66666666666666696</v>
      </c>
      <c r="H11">
        <v>0.66666666666666696</v>
      </c>
      <c r="I11">
        <v>1.3333333333333299</v>
      </c>
      <c r="J11">
        <v>0.66666666666666696</v>
      </c>
      <c r="K11">
        <v>0.66666666666666696</v>
      </c>
      <c r="L11">
        <v>0.66666666666666696</v>
      </c>
      <c r="M11">
        <v>1.3333333333333299</v>
      </c>
      <c r="N11">
        <v>0.66666666666666696</v>
      </c>
      <c r="O11">
        <v>1.3333333333333299</v>
      </c>
      <c r="P11">
        <v>0.66666666666666696</v>
      </c>
      <c r="Q11">
        <v>2</v>
      </c>
      <c r="R11">
        <v>3.3333333333333299</v>
      </c>
      <c r="S11">
        <v>3.3333333333333299</v>
      </c>
      <c r="T11">
        <v>4.1666666666666696</v>
      </c>
      <c r="U11">
        <v>5</v>
      </c>
      <c r="V11">
        <v>4</v>
      </c>
      <c r="W11">
        <v>6</v>
      </c>
      <c r="X11">
        <v>8</v>
      </c>
      <c r="Y11">
        <v>6</v>
      </c>
      <c r="Z11">
        <v>6</v>
      </c>
      <c r="AA11">
        <v>5</v>
      </c>
      <c r="AB11">
        <v>4</v>
      </c>
      <c r="AC11">
        <v>6</v>
      </c>
      <c r="AD11">
        <v>6</v>
      </c>
      <c r="AE11">
        <v>4</v>
      </c>
    </row>
    <row r="12" spans="1:31" x14ac:dyDescent="0.3">
      <c r="A12" t="s">
        <v>293</v>
      </c>
      <c r="B12" t="s">
        <v>142</v>
      </c>
      <c r="C12" t="s">
        <v>0</v>
      </c>
      <c r="D12" t="s">
        <v>143</v>
      </c>
      <c r="E12" t="s">
        <v>123</v>
      </c>
      <c r="F12">
        <v>5.9814814814814801</v>
      </c>
      <c r="G12">
        <v>5.1269841269841301</v>
      </c>
      <c r="H12">
        <v>5.9814814814814801</v>
      </c>
      <c r="I12">
        <v>7.6904761904761898</v>
      </c>
      <c r="J12">
        <v>9.3994708994709004</v>
      </c>
      <c r="K12">
        <v>7.6904761904761898</v>
      </c>
      <c r="L12">
        <v>6.8359788359788398</v>
      </c>
      <c r="M12">
        <v>5.1269841269841301</v>
      </c>
      <c r="N12">
        <v>8.5449735449735407</v>
      </c>
      <c r="O12">
        <v>11.1084656084656</v>
      </c>
      <c r="P12">
        <v>9.3994708994709004</v>
      </c>
      <c r="Q12">
        <v>16.235449735449698</v>
      </c>
      <c r="R12">
        <v>17.9444444444444</v>
      </c>
      <c r="S12">
        <v>17</v>
      </c>
      <c r="T12">
        <v>17</v>
      </c>
      <c r="U12">
        <v>10</v>
      </c>
      <c r="V12">
        <v>10</v>
      </c>
      <c r="W12">
        <v>11</v>
      </c>
      <c r="X12">
        <v>8</v>
      </c>
      <c r="Y12">
        <v>9</v>
      </c>
      <c r="Z12">
        <v>11</v>
      </c>
      <c r="AA12">
        <v>9</v>
      </c>
      <c r="AB12">
        <v>6</v>
      </c>
      <c r="AC12">
        <v>5</v>
      </c>
      <c r="AD12">
        <v>6</v>
      </c>
      <c r="AE12">
        <v>5</v>
      </c>
    </row>
    <row r="13" spans="1:31" x14ac:dyDescent="0.3">
      <c r="A13" t="s">
        <v>293</v>
      </c>
      <c r="B13" t="s">
        <v>144</v>
      </c>
      <c r="C13" t="s">
        <v>0</v>
      </c>
      <c r="D13" t="s">
        <v>145</v>
      </c>
      <c r="E13" t="s">
        <v>123</v>
      </c>
      <c r="F13">
        <v>3.5629629629629598</v>
      </c>
      <c r="G13">
        <v>2.8503703703703702</v>
      </c>
      <c r="H13">
        <v>4.2755555555555604</v>
      </c>
      <c r="I13">
        <v>5.7007407407407404</v>
      </c>
      <c r="J13">
        <v>4.2755555555555604</v>
      </c>
      <c r="K13">
        <v>4.9881481481481504</v>
      </c>
      <c r="L13">
        <v>4.9881481481481504</v>
      </c>
      <c r="M13">
        <v>4.2755555555555604</v>
      </c>
      <c r="N13">
        <v>4.9881481481481504</v>
      </c>
      <c r="O13">
        <v>7.8385185185185202</v>
      </c>
      <c r="P13">
        <v>4.9881481481481504</v>
      </c>
      <c r="Q13">
        <v>17.102222222222199</v>
      </c>
      <c r="R13">
        <v>28.5037037037037</v>
      </c>
      <c r="S13">
        <v>21.377777777777801</v>
      </c>
      <c r="T13">
        <v>37</v>
      </c>
      <c r="U13">
        <v>37</v>
      </c>
      <c r="V13">
        <v>23</v>
      </c>
      <c r="W13">
        <v>45</v>
      </c>
      <c r="X13">
        <v>15</v>
      </c>
      <c r="Y13">
        <v>20</v>
      </c>
      <c r="Z13">
        <v>22</v>
      </c>
      <c r="AA13">
        <v>19</v>
      </c>
      <c r="AB13">
        <v>21</v>
      </c>
      <c r="AC13">
        <v>26</v>
      </c>
      <c r="AD13">
        <v>30</v>
      </c>
      <c r="AE13">
        <v>21</v>
      </c>
    </row>
    <row r="14" spans="1:31" x14ac:dyDescent="0.3">
      <c r="A14" t="s">
        <v>293</v>
      </c>
      <c r="B14" t="s">
        <v>146</v>
      </c>
      <c r="C14" t="s">
        <v>0</v>
      </c>
      <c r="D14" t="s">
        <v>147</v>
      </c>
      <c r="E14" t="s">
        <v>123</v>
      </c>
      <c r="F14">
        <v>12.1395981275408</v>
      </c>
      <c r="G14">
        <v>7.0814322410654702</v>
      </c>
      <c r="H14">
        <v>11.127964950245699</v>
      </c>
      <c r="I14">
        <v>15.897092786065301</v>
      </c>
      <c r="J14">
        <v>23.315736086229201</v>
      </c>
      <c r="K14">
        <v>20.604603983179199</v>
      </c>
      <c r="L14">
        <v>23.857962506839101</v>
      </c>
      <c r="M14">
        <v>7.7677087231569297</v>
      </c>
      <c r="N14">
        <v>12.7612357594721</v>
      </c>
      <c r="O14">
        <v>20.882022151863399</v>
      </c>
      <c r="P14">
        <v>20.2678450297498</v>
      </c>
      <c r="Q14">
        <v>28.501657073085699</v>
      </c>
      <c r="R14">
        <v>23.861852433281001</v>
      </c>
      <c r="S14">
        <v>36.538461538461497</v>
      </c>
      <c r="T14">
        <v>16.239316239316199</v>
      </c>
      <c r="U14">
        <v>23.076923076923102</v>
      </c>
      <c r="V14">
        <v>25</v>
      </c>
      <c r="W14">
        <v>20</v>
      </c>
      <c r="X14">
        <v>10</v>
      </c>
      <c r="Y14">
        <v>17</v>
      </c>
      <c r="Z14">
        <v>22</v>
      </c>
      <c r="AA14">
        <v>18</v>
      </c>
      <c r="AB14">
        <v>22</v>
      </c>
      <c r="AC14">
        <v>18</v>
      </c>
      <c r="AD14">
        <v>18</v>
      </c>
      <c r="AE14">
        <v>24</v>
      </c>
    </row>
    <row r="15" spans="1:31" x14ac:dyDescent="0.3">
      <c r="A15" t="s">
        <v>293</v>
      </c>
      <c r="B15" t="s">
        <v>148</v>
      </c>
      <c r="C15" t="s">
        <v>0</v>
      </c>
      <c r="D15" t="s">
        <v>149</v>
      </c>
      <c r="E15" t="s">
        <v>123</v>
      </c>
      <c r="F15">
        <v>14.676352147029</v>
      </c>
      <c r="G15">
        <v>9.7842347646860297</v>
      </c>
      <c r="H15">
        <v>14.132783548990901</v>
      </c>
      <c r="I15">
        <v>20.351208310546902</v>
      </c>
      <c r="J15">
        <v>27.134944414062598</v>
      </c>
      <c r="K15">
        <v>24.248248199800599</v>
      </c>
      <c r="L15">
        <v>27.712283656915002</v>
      </c>
      <c r="M15">
        <v>9.4339689044816897</v>
      </c>
      <c r="N15">
        <v>15.919822526312901</v>
      </c>
      <c r="O15">
        <v>24.492034655865901</v>
      </c>
      <c r="P15">
        <v>23.84750742808</v>
      </c>
      <c r="Q15">
        <v>32.459107332664402</v>
      </c>
      <c r="R15">
        <v>29.6966301128632</v>
      </c>
      <c r="S15">
        <v>44.544945169294799</v>
      </c>
      <c r="T15">
        <v>21.852237252861599</v>
      </c>
      <c r="U15">
        <v>27.096774193548399</v>
      </c>
      <c r="V15">
        <v>30</v>
      </c>
      <c r="W15">
        <v>24</v>
      </c>
      <c r="X15">
        <v>15</v>
      </c>
      <c r="Y15">
        <v>19</v>
      </c>
      <c r="Z15">
        <v>26</v>
      </c>
      <c r="AA15">
        <v>23</v>
      </c>
      <c r="AB15">
        <v>27</v>
      </c>
      <c r="AC15">
        <v>21</v>
      </c>
      <c r="AD15">
        <v>22</v>
      </c>
      <c r="AE15">
        <v>27</v>
      </c>
    </row>
    <row r="16" spans="1:31" x14ac:dyDescent="0.3">
      <c r="A16" t="s">
        <v>293</v>
      </c>
      <c r="B16" t="s">
        <v>150</v>
      </c>
      <c r="C16" t="s">
        <v>0</v>
      </c>
      <c r="D16" t="s">
        <v>151</v>
      </c>
      <c r="E16" t="s">
        <v>123</v>
      </c>
      <c r="F16">
        <v>2.5714285714285698</v>
      </c>
      <c r="G16">
        <v>3.4285714285714302</v>
      </c>
      <c r="H16">
        <v>3.4285714285714302</v>
      </c>
      <c r="I16">
        <v>5.1428571428571397</v>
      </c>
      <c r="J16">
        <v>3.4285714285714302</v>
      </c>
      <c r="K16">
        <v>3.4285714285714302</v>
      </c>
      <c r="L16">
        <v>3.4285714285714302</v>
      </c>
      <c r="M16">
        <v>1.71428571428571</v>
      </c>
      <c r="N16">
        <v>3.4285714285714302</v>
      </c>
      <c r="O16">
        <v>3.4285714285714302</v>
      </c>
      <c r="P16">
        <v>3.4285714285714302</v>
      </c>
      <c r="Q16">
        <v>3.4285714285714302</v>
      </c>
      <c r="R16">
        <v>6</v>
      </c>
      <c r="S16">
        <v>8</v>
      </c>
      <c r="T16">
        <v>6</v>
      </c>
      <c r="U16">
        <v>4</v>
      </c>
      <c r="V16">
        <v>5</v>
      </c>
      <c r="W16">
        <v>4</v>
      </c>
      <c r="X16">
        <v>5</v>
      </c>
      <c r="Y16">
        <v>2</v>
      </c>
      <c r="Z16">
        <v>4</v>
      </c>
      <c r="AA16">
        <v>5</v>
      </c>
      <c r="AB16">
        <v>5</v>
      </c>
      <c r="AC16">
        <v>3</v>
      </c>
      <c r="AD16">
        <v>4</v>
      </c>
      <c r="AE16">
        <v>3</v>
      </c>
    </row>
    <row r="17" spans="1:31" x14ac:dyDescent="0.3">
      <c r="A17" t="s">
        <v>293</v>
      </c>
      <c r="B17" t="s">
        <v>152</v>
      </c>
      <c r="C17" t="s">
        <v>0</v>
      </c>
      <c r="D17" t="s">
        <v>153</v>
      </c>
      <c r="E17" t="s">
        <v>123</v>
      </c>
      <c r="F17">
        <v>5.5308641975308701</v>
      </c>
      <c r="G17">
        <v>6.32098765432099</v>
      </c>
      <c r="H17">
        <v>5.5308641975308701</v>
      </c>
      <c r="I17">
        <v>6.32098765432099</v>
      </c>
      <c r="J17">
        <v>5.5308641975308701</v>
      </c>
      <c r="K17">
        <v>5.5308641975308701</v>
      </c>
      <c r="L17">
        <v>5.5308641975308701</v>
      </c>
      <c r="M17">
        <v>3.1604938271604901</v>
      </c>
      <c r="N17">
        <v>6.32098765432099</v>
      </c>
      <c r="O17">
        <v>5.5308641975308701</v>
      </c>
      <c r="P17">
        <v>4.7407407407407396</v>
      </c>
      <c r="Q17">
        <v>10.271604938271601</v>
      </c>
      <c r="R17">
        <v>11.851851851851899</v>
      </c>
      <c r="S17">
        <v>15.2380952380952</v>
      </c>
      <c r="T17">
        <v>20</v>
      </c>
      <c r="U17">
        <v>6</v>
      </c>
      <c r="V17">
        <v>8</v>
      </c>
      <c r="W17">
        <v>10</v>
      </c>
      <c r="X17">
        <v>7</v>
      </c>
      <c r="Y17">
        <v>10</v>
      </c>
      <c r="Z17">
        <v>12</v>
      </c>
      <c r="AA17">
        <v>9</v>
      </c>
      <c r="AB17">
        <v>9</v>
      </c>
      <c r="AC17">
        <v>10</v>
      </c>
      <c r="AD17">
        <v>11</v>
      </c>
      <c r="AE17">
        <v>8</v>
      </c>
    </row>
    <row r="18" spans="1:31" x14ac:dyDescent="0.3">
      <c r="A18" t="s">
        <v>293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 t="e">
        <v>#NUM!</v>
      </c>
      <c r="H18" t="e">
        <v>#NUM!</v>
      </c>
      <c r="I18" t="e">
        <v>#NUM!</v>
      </c>
      <c r="J18" t="e">
        <v>#NUM!</v>
      </c>
      <c r="K18">
        <v>0</v>
      </c>
      <c r="L18" t="e">
        <v>#NUM!</v>
      </c>
      <c r="M18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293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 t="e">
        <v>#NUM!</v>
      </c>
      <c r="H19" t="e">
        <v>#NUM!</v>
      </c>
      <c r="I19" t="e">
        <v>#NUM!</v>
      </c>
      <c r="J19" t="e">
        <v>#NUM!</v>
      </c>
      <c r="K19">
        <v>0</v>
      </c>
      <c r="L19" t="e">
        <v>#NUM!</v>
      </c>
      <c r="M19" t="e">
        <v>#NUM!</v>
      </c>
      <c r="N19" t="e">
        <v>#NUM!</v>
      </c>
      <c r="O19">
        <v>0</v>
      </c>
      <c r="P19">
        <v>1</v>
      </c>
      <c r="Q19">
        <v>4</v>
      </c>
      <c r="R19">
        <v>4</v>
      </c>
      <c r="S19">
        <v>4</v>
      </c>
      <c r="T19">
        <v>2</v>
      </c>
      <c r="U19">
        <v>2</v>
      </c>
      <c r="V19">
        <v>2</v>
      </c>
      <c r="W19">
        <v>2</v>
      </c>
      <c r="X19">
        <v>2</v>
      </c>
      <c r="Y19">
        <v>4</v>
      </c>
      <c r="Z19">
        <v>4</v>
      </c>
      <c r="AA19">
        <v>4</v>
      </c>
      <c r="AB19">
        <v>3</v>
      </c>
      <c r="AC19">
        <v>3</v>
      </c>
      <c r="AD19">
        <v>2</v>
      </c>
      <c r="AE19">
        <v>2</v>
      </c>
    </row>
    <row r="20" spans="1:31" x14ac:dyDescent="0.3">
      <c r="A20" t="s">
        <v>293</v>
      </c>
      <c r="B20" t="s">
        <v>158</v>
      </c>
      <c r="C20" t="s">
        <v>0</v>
      </c>
      <c r="D20" t="s">
        <v>159</v>
      </c>
      <c r="E20" t="s">
        <v>123</v>
      </c>
      <c r="F20">
        <v>7.3147914703891903</v>
      </c>
      <c r="G20">
        <v>5.4860936027918896</v>
      </c>
      <c r="H20">
        <v>9.6006638048858193</v>
      </c>
      <c r="I20">
        <v>7.20049785366436</v>
      </c>
      <c r="J20">
        <v>8.1605642341529396</v>
      </c>
      <c r="K20">
        <v>8.6405974243972299</v>
      </c>
      <c r="L20">
        <v>7.6805310439086503</v>
      </c>
      <c r="M20">
        <v>6.7204646634200698</v>
      </c>
      <c r="N20">
        <v>10.080696995130101</v>
      </c>
      <c r="O20">
        <v>16.633150041964701</v>
      </c>
      <c r="P20">
        <v>16.633150041964701</v>
      </c>
      <c r="Q20">
        <v>26.613040067143501</v>
      </c>
      <c r="R20">
        <v>28.3872427382864</v>
      </c>
      <c r="S20">
        <v>36.4978835206539</v>
      </c>
      <c r="T20">
        <v>38.7324478178368</v>
      </c>
      <c r="U20">
        <v>24.504201680672299</v>
      </c>
      <c r="V20">
        <v>15.4285714285714</v>
      </c>
      <c r="W20">
        <v>11.5714285714286</v>
      </c>
      <c r="X20">
        <v>20.25</v>
      </c>
      <c r="Y20">
        <v>27</v>
      </c>
      <c r="Z20">
        <v>34</v>
      </c>
      <c r="AA20">
        <v>45</v>
      </c>
      <c r="AB20">
        <v>35</v>
      </c>
      <c r="AC20">
        <v>32</v>
      </c>
      <c r="AD20">
        <v>25</v>
      </c>
      <c r="AE20">
        <v>41</v>
      </c>
    </row>
    <row r="21" spans="1:31" x14ac:dyDescent="0.3">
      <c r="A21" t="s">
        <v>293</v>
      </c>
      <c r="B21" t="s">
        <v>160</v>
      </c>
      <c r="C21" t="s">
        <v>0</v>
      </c>
      <c r="D21" t="s">
        <v>161</v>
      </c>
      <c r="E21" t="s">
        <v>123</v>
      </c>
      <c r="F21">
        <v>8.4217604366004792</v>
      </c>
      <c r="G21">
        <v>6.4401697456356599</v>
      </c>
      <c r="H21">
        <v>10.8987488003065</v>
      </c>
      <c r="I21">
        <v>8.8227966478671593</v>
      </c>
      <c r="J21">
        <v>9.8607727240868304</v>
      </c>
      <c r="K21">
        <v>9.8607727240868304</v>
      </c>
      <c r="L21">
        <v>9.3417846859769895</v>
      </c>
      <c r="M21">
        <v>7.7848205716474999</v>
      </c>
      <c r="N21">
        <v>11.936724876526201</v>
      </c>
      <c r="O21">
        <v>18.990244121746201</v>
      </c>
      <c r="P21">
        <v>18.990244121746201</v>
      </c>
      <c r="Q21">
        <v>30.859146697837499</v>
      </c>
      <c r="R21">
        <v>34.008039218024997</v>
      </c>
      <c r="S21">
        <v>41.801548205489098</v>
      </c>
      <c r="T21">
        <v>44.8979591836735</v>
      </c>
      <c r="U21">
        <v>28.571428571428601</v>
      </c>
      <c r="V21">
        <v>19.354838709677399</v>
      </c>
      <c r="W21">
        <v>18.387096774193498</v>
      </c>
      <c r="X21">
        <v>25.161290322580601</v>
      </c>
      <c r="Y21">
        <v>30</v>
      </c>
      <c r="Z21">
        <v>38</v>
      </c>
      <c r="AA21">
        <v>50</v>
      </c>
      <c r="AB21">
        <v>39</v>
      </c>
      <c r="AC21">
        <v>35</v>
      </c>
      <c r="AD21">
        <v>28</v>
      </c>
      <c r="AE21">
        <v>43</v>
      </c>
    </row>
    <row r="22" spans="1:31" x14ac:dyDescent="0.3">
      <c r="A22" t="s">
        <v>293</v>
      </c>
      <c r="B22" t="s">
        <v>162</v>
      </c>
      <c r="C22" t="s">
        <v>0</v>
      </c>
      <c r="D22" t="s">
        <v>163</v>
      </c>
      <c r="E22" t="s">
        <v>123</v>
      </c>
      <c r="F22">
        <v>1</v>
      </c>
      <c r="G22">
        <v>1</v>
      </c>
      <c r="H22">
        <v>1</v>
      </c>
      <c r="I22">
        <v>2</v>
      </c>
      <c r="J22">
        <v>2</v>
      </c>
      <c r="K22">
        <v>1</v>
      </c>
      <c r="L22">
        <v>2</v>
      </c>
      <c r="M22">
        <v>1</v>
      </c>
      <c r="N22">
        <v>2</v>
      </c>
      <c r="O22">
        <v>2</v>
      </c>
      <c r="P22">
        <v>2</v>
      </c>
      <c r="Q22">
        <v>4</v>
      </c>
      <c r="R22">
        <v>6</v>
      </c>
      <c r="S22">
        <v>5</v>
      </c>
      <c r="T22">
        <v>6</v>
      </c>
      <c r="U22">
        <v>4</v>
      </c>
      <c r="V22">
        <v>4</v>
      </c>
      <c r="W22">
        <v>7</v>
      </c>
      <c r="X22">
        <v>5</v>
      </c>
      <c r="Y22">
        <v>3</v>
      </c>
      <c r="Z22">
        <v>4</v>
      </c>
      <c r="AA22">
        <v>5</v>
      </c>
      <c r="AB22">
        <v>4</v>
      </c>
      <c r="AC22">
        <v>3</v>
      </c>
      <c r="AD22">
        <v>3</v>
      </c>
      <c r="AE22">
        <v>2</v>
      </c>
    </row>
    <row r="23" spans="1:31" x14ac:dyDescent="0.3">
      <c r="A23" t="s">
        <v>293</v>
      </c>
      <c r="B23" t="s">
        <v>164</v>
      </c>
      <c r="C23" t="s">
        <v>0</v>
      </c>
      <c r="D23" t="s">
        <v>165</v>
      </c>
      <c r="E23" t="s">
        <v>123</v>
      </c>
      <c r="F23">
        <v>1.27420814479638</v>
      </c>
      <c r="G23">
        <v>1.27420814479638</v>
      </c>
      <c r="H23">
        <v>1.27420814479638</v>
      </c>
      <c r="I23">
        <v>1.27420814479638</v>
      </c>
      <c r="J23">
        <v>2.54841628959276</v>
      </c>
      <c r="K23">
        <v>1.91131221719457</v>
      </c>
      <c r="L23">
        <v>1.91131221719457</v>
      </c>
      <c r="M23">
        <v>1.27420814479638</v>
      </c>
      <c r="N23">
        <v>3.18552036199095</v>
      </c>
      <c r="O23">
        <v>3.82262443438914</v>
      </c>
      <c r="P23">
        <v>3.82262443438914</v>
      </c>
      <c r="Q23">
        <v>10.830769230769199</v>
      </c>
      <c r="R23">
        <v>6.7692307692307701</v>
      </c>
      <c r="S23">
        <v>9.7777777777777803</v>
      </c>
      <c r="T23">
        <v>7.1111111111111098</v>
      </c>
      <c r="U23">
        <v>8</v>
      </c>
      <c r="V23">
        <v>9</v>
      </c>
      <c r="W23">
        <v>9</v>
      </c>
      <c r="X23">
        <v>6</v>
      </c>
      <c r="Y23">
        <v>6</v>
      </c>
      <c r="Z23">
        <v>6</v>
      </c>
      <c r="AA23">
        <v>8</v>
      </c>
      <c r="AB23">
        <v>6</v>
      </c>
      <c r="AC23">
        <v>6</v>
      </c>
      <c r="AD23">
        <v>4</v>
      </c>
      <c r="AE23">
        <v>3</v>
      </c>
    </row>
    <row r="24" spans="1:31" x14ac:dyDescent="0.3">
      <c r="A24" t="s">
        <v>293</v>
      </c>
      <c r="B24" t="s">
        <v>166</v>
      </c>
      <c r="C24" t="s">
        <v>0</v>
      </c>
      <c r="D24" t="s">
        <v>167</v>
      </c>
      <c r="E24" t="s">
        <v>123</v>
      </c>
      <c r="F24">
        <v>10.7065528102274</v>
      </c>
      <c r="G24">
        <v>10.278290697818299</v>
      </c>
      <c r="H24">
        <v>18.843532946000199</v>
      </c>
      <c r="I24">
        <v>22.4327773166669</v>
      </c>
      <c r="J24">
        <v>27.468706918367602</v>
      </c>
      <c r="K24">
        <v>19.8911325960593</v>
      </c>
      <c r="L24">
        <v>20.364730991203601</v>
      </c>
      <c r="M24">
        <v>12.1218636852402</v>
      </c>
      <c r="N24">
        <v>25.213476465299699</v>
      </c>
      <c r="O24">
        <v>27.230554582523599</v>
      </c>
      <c r="P24">
        <v>26.141332399222701</v>
      </c>
      <c r="Q24">
        <v>23.868173060159801</v>
      </c>
      <c r="R24">
        <v>38.785781222759702</v>
      </c>
      <c r="S24">
        <v>53.075279567987003</v>
      </c>
      <c r="T24">
        <v>38.124496591089297</v>
      </c>
      <c r="U24">
        <v>42.095798319327699</v>
      </c>
      <c r="V24">
        <v>31.1142857142857</v>
      </c>
      <c r="W24">
        <v>40.542857142857102</v>
      </c>
      <c r="X24">
        <v>28.285714285714299</v>
      </c>
      <c r="Y24">
        <v>33</v>
      </c>
      <c r="Z24">
        <v>31</v>
      </c>
      <c r="AA24">
        <v>35</v>
      </c>
      <c r="AB24">
        <v>23</v>
      </c>
      <c r="AC24">
        <v>26</v>
      </c>
      <c r="AD24">
        <v>19</v>
      </c>
      <c r="AE24">
        <v>15</v>
      </c>
    </row>
    <row r="25" spans="1:31" x14ac:dyDescent="0.3">
      <c r="A25" t="s">
        <v>293</v>
      </c>
      <c r="B25" t="s">
        <v>168</v>
      </c>
      <c r="C25" t="s">
        <v>0</v>
      </c>
      <c r="D25" t="s">
        <v>169</v>
      </c>
      <c r="E25" t="s">
        <v>123</v>
      </c>
      <c r="F25">
        <v>1.5824175824175799</v>
      </c>
      <c r="G25">
        <v>0.79120879120879195</v>
      </c>
      <c r="H25">
        <v>1.5824175824175799</v>
      </c>
      <c r="I25">
        <v>1.5824175824175799</v>
      </c>
      <c r="J25">
        <v>2.3736263736263701</v>
      </c>
      <c r="K25">
        <v>1.5824175824175799</v>
      </c>
      <c r="L25">
        <v>1.5824175824175799</v>
      </c>
      <c r="M25">
        <v>0.79120879120879095</v>
      </c>
      <c r="N25">
        <v>1.5824175824175799</v>
      </c>
      <c r="O25">
        <v>1.5824175824175799</v>
      </c>
      <c r="P25">
        <v>1.5824175824175799</v>
      </c>
      <c r="Q25">
        <v>3.9560439560439602</v>
      </c>
      <c r="R25">
        <v>2.3736263736263701</v>
      </c>
      <c r="S25">
        <v>10.285714285714301</v>
      </c>
      <c r="T25">
        <v>3.4285714285714302</v>
      </c>
      <c r="U25">
        <v>6</v>
      </c>
      <c r="V25">
        <v>7</v>
      </c>
      <c r="W25">
        <v>4</v>
      </c>
      <c r="X25">
        <v>2</v>
      </c>
      <c r="Y25">
        <v>4</v>
      </c>
      <c r="Z25">
        <v>3</v>
      </c>
      <c r="AA25">
        <v>4</v>
      </c>
      <c r="AB25">
        <v>2</v>
      </c>
      <c r="AC25">
        <v>2</v>
      </c>
      <c r="AD25">
        <v>2</v>
      </c>
      <c r="AE25">
        <v>2</v>
      </c>
    </row>
    <row r="26" spans="1:31" x14ac:dyDescent="0.3">
      <c r="A26" t="s">
        <v>293</v>
      </c>
      <c r="B26" t="s">
        <v>170</v>
      </c>
      <c r="C26" t="s">
        <v>0</v>
      </c>
      <c r="D26" t="s">
        <v>171</v>
      </c>
      <c r="E26" t="s">
        <v>123</v>
      </c>
      <c r="F26">
        <v>5.4106213793261402</v>
      </c>
      <c r="G26">
        <v>6.2430246684532396</v>
      </c>
      <c r="H26">
        <v>11.2374444032158</v>
      </c>
      <c r="I26">
        <v>12.966282003710599</v>
      </c>
      <c r="J26">
        <v>14.3076215213358</v>
      </c>
      <c r="K26">
        <v>10.615332096475001</v>
      </c>
      <c r="L26">
        <v>11.076868274582599</v>
      </c>
      <c r="M26">
        <v>6.74244155844156</v>
      </c>
      <c r="N26">
        <v>13.003280148423</v>
      </c>
      <c r="O26">
        <v>14.0035324675325</v>
      </c>
      <c r="P26">
        <v>13.4649350649351</v>
      </c>
      <c r="Q26">
        <v>10.6597402597403</v>
      </c>
      <c r="R26">
        <v>17.7662337662338</v>
      </c>
      <c r="S26">
        <v>20.499500499500499</v>
      </c>
      <c r="T26">
        <v>15.944055944055901</v>
      </c>
      <c r="U26">
        <v>17.538461538461501</v>
      </c>
      <c r="V26">
        <v>6.4615384615384599</v>
      </c>
      <c r="W26">
        <v>13.846153846153801</v>
      </c>
      <c r="X26">
        <v>10.153846153846199</v>
      </c>
      <c r="Y26">
        <v>12</v>
      </c>
      <c r="Z26">
        <v>11</v>
      </c>
      <c r="AA26">
        <v>13</v>
      </c>
      <c r="AB26">
        <v>9</v>
      </c>
      <c r="AC26">
        <v>11</v>
      </c>
      <c r="AD26">
        <v>7</v>
      </c>
      <c r="AE26">
        <v>5</v>
      </c>
    </row>
    <row r="27" spans="1:31" x14ac:dyDescent="0.3">
      <c r="A27" t="s">
        <v>293</v>
      </c>
      <c r="B27" t="s">
        <v>172</v>
      </c>
      <c r="C27" t="s">
        <v>0</v>
      </c>
      <c r="D27" t="s">
        <v>173</v>
      </c>
      <c r="E27" t="s">
        <v>123</v>
      </c>
      <c r="F27">
        <v>4.0967302255804698</v>
      </c>
      <c r="G27">
        <v>3.2773841804643702</v>
      </c>
      <c r="H27">
        <v>6.1450953383706999</v>
      </c>
      <c r="I27">
        <v>7.9008368636194701</v>
      </c>
      <c r="J27">
        <v>10.973384532804801</v>
      </c>
      <c r="K27">
        <v>7.7728140440700804</v>
      </c>
      <c r="L27">
        <v>7.7728140440700804</v>
      </c>
      <c r="M27">
        <v>4.5722435553353398</v>
      </c>
      <c r="N27">
        <v>10.516160177271299</v>
      </c>
      <c r="O27">
        <v>11.472174738841399</v>
      </c>
      <c r="P27">
        <v>10.9507122507123</v>
      </c>
      <c r="Q27">
        <v>9.8556410256410292</v>
      </c>
      <c r="R27">
        <v>18.5517948717949</v>
      </c>
      <c r="S27">
        <v>23.1897435897436</v>
      </c>
      <c r="T27">
        <v>18.841666666666701</v>
      </c>
      <c r="U27">
        <v>18.841666666666701</v>
      </c>
      <c r="V27">
        <v>17.9444444444444</v>
      </c>
      <c r="W27">
        <v>22.6666666666667</v>
      </c>
      <c r="X27">
        <v>16.0555555555556</v>
      </c>
      <c r="Y27">
        <v>17</v>
      </c>
      <c r="Z27">
        <v>17</v>
      </c>
      <c r="AA27">
        <v>18</v>
      </c>
      <c r="AB27">
        <v>12</v>
      </c>
      <c r="AC27">
        <v>13</v>
      </c>
      <c r="AD27">
        <v>10</v>
      </c>
      <c r="AE27">
        <v>8</v>
      </c>
    </row>
    <row r="28" spans="1:31" x14ac:dyDescent="0.3">
      <c r="A28" t="s">
        <v>293</v>
      </c>
      <c r="B28" t="s">
        <v>174</v>
      </c>
      <c r="C28" t="s">
        <v>0</v>
      </c>
      <c r="D28" t="s">
        <v>175</v>
      </c>
      <c r="E28" t="s">
        <v>123</v>
      </c>
      <c r="F28">
        <v>15.8990941224713</v>
      </c>
      <c r="G28">
        <v>13.008349736567499</v>
      </c>
      <c r="H28">
        <v>16.380884853455299</v>
      </c>
      <c r="I28">
        <v>23.826741605025902</v>
      </c>
      <c r="J28">
        <v>25.31591295534</v>
      </c>
      <c r="K28">
        <v>19.359227554083599</v>
      </c>
      <c r="L28">
        <v>18.862837103978901</v>
      </c>
      <c r="M28">
        <v>12.906151702722401</v>
      </c>
      <c r="N28">
        <v>30.2798174563871</v>
      </c>
      <c r="O28">
        <v>31.306251946434099</v>
      </c>
      <c r="P28">
        <v>20.510992654560301</v>
      </c>
      <c r="Q28">
        <v>16.0761834319527</v>
      </c>
      <c r="R28">
        <v>19.648668639053302</v>
      </c>
      <c r="S28">
        <v>24.391450724342</v>
      </c>
      <c r="T28">
        <v>22.174046113038202</v>
      </c>
      <c r="U28">
        <v>20.590185676392601</v>
      </c>
      <c r="V28">
        <v>25.961538461538499</v>
      </c>
      <c r="W28">
        <v>21.153846153846199</v>
      </c>
      <c r="X28">
        <v>21.153846153846199</v>
      </c>
      <c r="Y28">
        <v>25</v>
      </c>
      <c r="Z28">
        <v>20</v>
      </c>
      <c r="AA28">
        <v>27</v>
      </c>
      <c r="AB28">
        <v>21</v>
      </c>
      <c r="AC28">
        <v>18</v>
      </c>
      <c r="AD28">
        <v>18</v>
      </c>
      <c r="AE28">
        <v>15</v>
      </c>
    </row>
    <row r="29" spans="1:31" x14ac:dyDescent="0.3">
      <c r="A29" t="s">
        <v>293</v>
      </c>
      <c r="B29" t="s">
        <v>176</v>
      </c>
      <c r="C29" t="s">
        <v>0</v>
      </c>
      <c r="D29" t="s">
        <v>177</v>
      </c>
      <c r="E29" t="s">
        <v>123</v>
      </c>
      <c r="F29">
        <v>7.0503495515853398</v>
      </c>
      <c r="G29">
        <v>6.1103029447072901</v>
      </c>
      <c r="H29">
        <v>7.9903961584633798</v>
      </c>
      <c r="I29">
        <v>11.9855942376951</v>
      </c>
      <c r="J29">
        <v>9.4885954381752704</v>
      </c>
      <c r="K29">
        <v>7.4909963985594201</v>
      </c>
      <c r="L29">
        <v>8.4897959183673404</v>
      </c>
      <c r="M29">
        <v>5.9927971188475402</v>
      </c>
      <c r="N29">
        <v>13.9831932773109</v>
      </c>
      <c r="O29">
        <v>17.6084656084656</v>
      </c>
      <c r="P29">
        <v>7.1534391534391499</v>
      </c>
      <c r="Q29">
        <v>7.1534391534391499</v>
      </c>
      <c r="R29">
        <v>8.9417989417989396</v>
      </c>
      <c r="S29">
        <v>9.6296296296296298</v>
      </c>
      <c r="T29">
        <v>8.1481481481481506</v>
      </c>
      <c r="U29">
        <v>7.3333333333333304</v>
      </c>
      <c r="V29">
        <v>11</v>
      </c>
      <c r="W29">
        <v>9</v>
      </c>
      <c r="X29">
        <v>7</v>
      </c>
      <c r="Y29">
        <v>8</v>
      </c>
      <c r="Z29">
        <v>8</v>
      </c>
      <c r="AA29">
        <v>13</v>
      </c>
      <c r="AB29">
        <v>12</v>
      </c>
      <c r="AC29">
        <v>12</v>
      </c>
      <c r="AD29">
        <v>10</v>
      </c>
      <c r="AE29">
        <v>8</v>
      </c>
    </row>
    <row r="30" spans="1:31" x14ac:dyDescent="0.3">
      <c r="A30" t="s">
        <v>293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>
        <v>2</v>
      </c>
      <c r="P30">
        <v>3</v>
      </c>
      <c r="Q30">
        <v>3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</row>
    <row r="31" spans="1:31" x14ac:dyDescent="0.3">
      <c r="A31" t="s">
        <v>293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293</v>
      </c>
      <c r="B32" t="s">
        <v>182</v>
      </c>
      <c r="C32" t="s">
        <v>0</v>
      </c>
      <c r="D32" t="s">
        <v>183</v>
      </c>
      <c r="E32" t="s">
        <v>123</v>
      </c>
      <c r="F32">
        <v>5.1375999999999999</v>
      </c>
      <c r="G32">
        <v>4.2813333333333397</v>
      </c>
      <c r="H32">
        <v>4.2813333333333397</v>
      </c>
      <c r="I32">
        <v>5.5657333333333403</v>
      </c>
      <c r="J32">
        <v>7.7064000000000004</v>
      </c>
      <c r="K32">
        <v>6.8501333333333401</v>
      </c>
      <c r="L32">
        <v>4.7094666666666702</v>
      </c>
      <c r="M32">
        <v>3.42506666666667</v>
      </c>
      <c r="N32">
        <v>10.703333333333299</v>
      </c>
      <c r="O32">
        <v>9.8113888888888905</v>
      </c>
      <c r="P32">
        <v>9.3441798941799004</v>
      </c>
      <c r="Q32">
        <v>5.9015873015873002</v>
      </c>
      <c r="R32">
        <v>8.0476190476190492</v>
      </c>
      <c r="S32">
        <v>8.6666666666666696</v>
      </c>
      <c r="T32">
        <v>10</v>
      </c>
      <c r="U32">
        <v>9.28571428571429</v>
      </c>
      <c r="V32">
        <v>9.28571428571429</v>
      </c>
      <c r="W32">
        <v>8.3571428571428594</v>
      </c>
      <c r="X32">
        <v>10.214285714285699</v>
      </c>
      <c r="Y32">
        <v>13</v>
      </c>
      <c r="Z32">
        <v>9</v>
      </c>
      <c r="AA32">
        <v>10</v>
      </c>
      <c r="AB32">
        <v>5</v>
      </c>
      <c r="AC32">
        <v>3</v>
      </c>
      <c r="AD32">
        <v>6</v>
      </c>
      <c r="AE32">
        <v>4</v>
      </c>
    </row>
    <row r="33" spans="1:31" x14ac:dyDescent="0.3">
      <c r="A33" t="s">
        <v>293</v>
      </c>
      <c r="B33" t="s">
        <v>184</v>
      </c>
      <c r="C33" t="s">
        <v>0</v>
      </c>
      <c r="D33" t="s">
        <v>185</v>
      </c>
      <c r="E33" t="s">
        <v>123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>
        <v>0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1</v>
      </c>
      <c r="Y33">
        <v>2</v>
      </c>
      <c r="Z33">
        <v>1</v>
      </c>
      <c r="AA33">
        <v>2</v>
      </c>
      <c r="AB33">
        <v>3</v>
      </c>
      <c r="AC33">
        <v>2</v>
      </c>
      <c r="AD33">
        <v>1</v>
      </c>
      <c r="AE33">
        <v>1</v>
      </c>
    </row>
    <row r="34" spans="1:31" x14ac:dyDescent="0.3">
      <c r="A34" t="s">
        <v>293</v>
      </c>
      <c r="B34" t="s">
        <v>186</v>
      </c>
      <c r="C34" t="s">
        <v>0</v>
      </c>
      <c r="D34" t="s">
        <v>187</v>
      </c>
      <c r="E34" t="s">
        <v>123</v>
      </c>
      <c r="F34">
        <v>3.14253647586981</v>
      </c>
      <c r="G34">
        <v>3.7710437710437699</v>
      </c>
      <c r="H34">
        <v>5.6565656565656601</v>
      </c>
      <c r="I34">
        <v>8.7991021324354595</v>
      </c>
      <c r="J34">
        <v>8.1705948372615005</v>
      </c>
      <c r="K34">
        <v>6.28507295173962</v>
      </c>
      <c r="L34">
        <v>6.28507295173962</v>
      </c>
      <c r="M34">
        <v>3.7710437710437699</v>
      </c>
      <c r="N34">
        <v>8.1705948372615005</v>
      </c>
      <c r="O34">
        <v>9.4276094276094309</v>
      </c>
      <c r="P34">
        <v>8.7542087542087508</v>
      </c>
      <c r="Q34">
        <v>7.4074074074074101</v>
      </c>
      <c r="R34">
        <v>8.8888888888888893</v>
      </c>
      <c r="S34">
        <v>8.8888888888888893</v>
      </c>
      <c r="T34">
        <v>7.1111111111111098</v>
      </c>
      <c r="U34">
        <v>8</v>
      </c>
      <c r="V34">
        <v>10</v>
      </c>
      <c r="W34">
        <v>10</v>
      </c>
      <c r="X34">
        <v>5</v>
      </c>
      <c r="Y34">
        <v>5</v>
      </c>
      <c r="Z34">
        <v>5</v>
      </c>
      <c r="AA34">
        <v>6</v>
      </c>
      <c r="AB34">
        <v>3</v>
      </c>
      <c r="AC34">
        <v>6</v>
      </c>
      <c r="AD34">
        <v>4</v>
      </c>
      <c r="AE34">
        <v>3</v>
      </c>
    </row>
    <row r="35" spans="1:31" x14ac:dyDescent="0.3">
      <c r="A35" t="s">
        <v>293</v>
      </c>
      <c r="B35" t="s">
        <v>188</v>
      </c>
      <c r="C35" t="s">
        <v>0</v>
      </c>
      <c r="D35" t="s">
        <v>189</v>
      </c>
      <c r="E35" t="s">
        <v>123</v>
      </c>
      <c r="F35">
        <v>13.4927628918542</v>
      </c>
      <c r="G35">
        <v>12.6494652111133</v>
      </c>
      <c r="H35">
        <v>17.447538222225202</v>
      </c>
      <c r="I35">
        <v>21.026520421655999</v>
      </c>
      <c r="J35">
        <v>24.683306581943999</v>
      </c>
      <c r="K35">
        <v>21.4232472220646</v>
      </c>
      <c r="L35">
        <v>22.820415519155802</v>
      </c>
      <c r="M35">
        <v>14.7381850227881</v>
      </c>
      <c r="N35">
        <v>14.2469121886952</v>
      </c>
      <c r="O35">
        <v>45.284828028352599</v>
      </c>
      <c r="P35">
        <v>33.827220936841698</v>
      </c>
      <c r="Q35">
        <v>38.263577781017602</v>
      </c>
      <c r="R35">
        <v>40.582582495018698</v>
      </c>
      <c r="S35">
        <v>49.746391445506802</v>
      </c>
      <c r="T35">
        <v>29.262583203239299</v>
      </c>
      <c r="U35">
        <v>50.616360135332798</v>
      </c>
      <c r="V35">
        <v>103.040447418356</v>
      </c>
      <c r="W35">
        <v>108.764916719376</v>
      </c>
      <c r="X35">
        <v>90.313725490196106</v>
      </c>
      <c r="Y35">
        <v>98</v>
      </c>
      <c r="Z35">
        <v>109</v>
      </c>
      <c r="AA35">
        <v>118</v>
      </c>
      <c r="AB35">
        <v>107.91452991452999</v>
      </c>
      <c r="AC35">
        <v>150.27350427350399</v>
      </c>
      <c r="AD35">
        <v>100.52079002079</v>
      </c>
      <c r="AE35">
        <v>116.766574266574</v>
      </c>
    </row>
    <row r="36" spans="1:31" x14ac:dyDescent="0.3">
      <c r="A36" t="s">
        <v>293</v>
      </c>
      <c r="B36" t="s">
        <v>190</v>
      </c>
      <c r="C36" t="s">
        <v>0</v>
      </c>
      <c r="D36" t="s">
        <v>191</v>
      </c>
      <c r="E36" t="s">
        <v>123</v>
      </c>
      <c r="F36">
        <v>3.1111111111111098</v>
      </c>
      <c r="G36">
        <v>2.4888888888888898</v>
      </c>
      <c r="H36">
        <v>5.6</v>
      </c>
      <c r="I36">
        <v>4.9777777777777796</v>
      </c>
      <c r="J36">
        <v>1.86666666666667</v>
      </c>
      <c r="K36">
        <v>2.4888888888888898</v>
      </c>
      <c r="L36">
        <v>3.1111111111111098</v>
      </c>
      <c r="M36">
        <v>2.4888888888888898</v>
      </c>
      <c r="N36">
        <v>3.1111111111111098</v>
      </c>
      <c r="O36">
        <v>2.4888888888888898</v>
      </c>
      <c r="P36">
        <v>3.1111111111111098</v>
      </c>
      <c r="Q36">
        <v>4.3555555555555596</v>
      </c>
      <c r="R36">
        <v>5.6</v>
      </c>
      <c r="S36">
        <v>5.6</v>
      </c>
      <c r="T36">
        <v>7.2</v>
      </c>
      <c r="U36">
        <v>9</v>
      </c>
      <c r="V36">
        <v>9</v>
      </c>
      <c r="W36">
        <v>9</v>
      </c>
      <c r="X36">
        <v>4</v>
      </c>
      <c r="Y36">
        <v>3</v>
      </c>
      <c r="Z36">
        <v>3</v>
      </c>
      <c r="AA36">
        <v>4</v>
      </c>
      <c r="AB36">
        <v>5</v>
      </c>
      <c r="AC36">
        <v>4</v>
      </c>
      <c r="AD36">
        <v>3</v>
      </c>
      <c r="AE36">
        <v>2</v>
      </c>
    </row>
    <row r="37" spans="1:31" x14ac:dyDescent="0.3">
      <c r="A37" t="s">
        <v>293</v>
      </c>
      <c r="B37" t="s">
        <v>192</v>
      </c>
      <c r="C37" t="s">
        <v>0</v>
      </c>
      <c r="D37" t="s">
        <v>193</v>
      </c>
      <c r="E37" t="s">
        <v>123</v>
      </c>
      <c r="F37">
        <v>8.6024733850172694</v>
      </c>
      <c r="G37">
        <v>8.6024733850172694</v>
      </c>
      <c r="H37">
        <v>11.4699645133564</v>
      </c>
      <c r="I37">
        <v>14.868472517313799</v>
      </c>
      <c r="J37">
        <v>19.241552669464902</v>
      </c>
      <c r="K37">
        <v>16.1092068860636</v>
      </c>
      <c r="L37">
        <v>16.556684855120999</v>
      </c>
      <c r="M37">
        <v>10.577881990771701</v>
      </c>
      <c r="N37">
        <v>8.6546307197223307</v>
      </c>
      <c r="O37">
        <v>35.127618803578798</v>
      </c>
      <c r="P37">
        <v>26.894583146490099</v>
      </c>
      <c r="Q37">
        <v>22.412152622074998</v>
      </c>
      <c r="R37">
        <v>20.052978661856599</v>
      </c>
      <c r="S37">
        <v>31.416333236908699</v>
      </c>
      <c r="T37">
        <v>15.708166618454401</v>
      </c>
      <c r="U37">
        <v>30.630924905985999</v>
      </c>
      <c r="V37">
        <v>81.982769601315397</v>
      </c>
      <c r="W37">
        <v>86.7492096944152</v>
      </c>
      <c r="X37">
        <v>71.153846153846203</v>
      </c>
      <c r="Y37">
        <v>75</v>
      </c>
      <c r="Z37">
        <v>75</v>
      </c>
      <c r="AA37">
        <v>88</v>
      </c>
      <c r="AB37">
        <v>68.781609195402297</v>
      </c>
      <c r="AC37">
        <v>109.241379310345</v>
      </c>
      <c r="AD37">
        <v>85.759587495971601</v>
      </c>
      <c r="AE37">
        <v>106.178536899774</v>
      </c>
    </row>
    <row r="38" spans="1:31" x14ac:dyDescent="0.3">
      <c r="A38" t="s">
        <v>293</v>
      </c>
      <c r="B38" t="s">
        <v>194</v>
      </c>
      <c r="C38" t="s">
        <v>0</v>
      </c>
      <c r="D38" t="s">
        <v>195</v>
      </c>
      <c r="E38" t="s">
        <v>123</v>
      </c>
      <c r="F38">
        <v>2.4822201607915901</v>
      </c>
      <c r="G38">
        <v>1.98577612863327</v>
      </c>
      <c r="H38">
        <v>1.4893320964749499</v>
      </c>
      <c r="I38">
        <v>1.98577612863327</v>
      </c>
      <c r="J38">
        <v>3.4751082251082299</v>
      </c>
      <c r="K38">
        <v>2.97866419294991</v>
      </c>
      <c r="L38">
        <v>3.4751082251082299</v>
      </c>
      <c r="M38">
        <v>1.98577612863327</v>
      </c>
      <c r="N38">
        <v>2.97866419294991</v>
      </c>
      <c r="O38">
        <v>7.9431045145330899</v>
      </c>
      <c r="P38">
        <v>4.23632240775098</v>
      </c>
      <c r="Q38">
        <v>11.649886621315201</v>
      </c>
      <c r="R38">
        <v>14.9784256559767</v>
      </c>
      <c r="S38">
        <v>13.106122448979599</v>
      </c>
      <c r="T38">
        <v>6.8979591836734704</v>
      </c>
      <c r="U38">
        <v>11.496598639455801</v>
      </c>
      <c r="V38">
        <v>12.380952380952399</v>
      </c>
      <c r="W38">
        <v>13.3333333333333</v>
      </c>
      <c r="X38">
        <v>15.2380952380952</v>
      </c>
      <c r="Y38">
        <v>20</v>
      </c>
      <c r="Z38">
        <v>31</v>
      </c>
      <c r="AA38">
        <v>26</v>
      </c>
      <c r="AB38">
        <v>34</v>
      </c>
      <c r="AC38">
        <v>37</v>
      </c>
      <c r="AD38">
        <v>12</v>
      </c>
      <c r="AE38">
        <v>9</v>
      </c>
    </row>
    <row r="39" spans="1:31" x14ac:dyDescent="0.3">
      <c r="A39" t="s">
        <v>293</v>
      </c>
      <c r="B39" t="s">
        <v>196</v>
      </c>
      <c r="C39" t="s">
        <v>0</v>
      </c>
      <c r="D39" t="s">
        <v>197</v>
      </c>
      <c r="E39" t="s">
        <v>123</v>
      </c>
      <c r="F39">
        <v>1.1764705882352899</v>
      </c>
      <c r="G39">
        <v>2.9411764705882399</v>
      </c>
      <c r="H39">
        <v>1.76470588235294</v>
      </c>
      <c r="I39">
        <v>2.3529411764705901</v>
      </c>
      <c r="J39">
        <v>2.3529411764705901</v>
      </c>
      <c r="K39">
        <v>3.52941176470588</v>
      </c>
      <c r="L39">
        <v>2.3529411764705901</v>
      </c>
      <c r="M39">
        <v>3.52941176470588</v>
      </c>
      <c r="N39">
        <v>3.52941176470588</v>
      </c>
      <c r="O39">
        <v>1.76470588235294</v>
      </c>
      <c r="P39">
        <v>3.52941176470588</v>
      </c>
      <c r="Q39">
        <v>6.4705882352941204</v>
      </c>
      <c r="R39">
        <v>11</v>
      </c>
      <c r="S39">
        <v>14.6666666666667</v>
      </c>
      <c r="T39">
        <v>9.7777777777777803</v>
      </c>
      <c r="U39">
        <v>8</v>
      </c>
      <c r="V39">
        <v>8</v>
      </c>
      <c r="W39">
        <v>4</v>
      </c>
      <c r="X39">
        <v>7</v>
      </c>
      <c r="Y39">
        <v>2</v>
      </c>
      <c r="Z39">
        <v>3</v>
      </c>
      <c r="AA39">
        <v>3</v>
      </c>
      <c r="AB39">
        <v>52</v>
      </c>
      <c r="AC39">
        <v>28</v>
      </c>
      <c r="AD39">
        <v>46</v>
      </c>
      <c r="AE39">
        <v>36</v>
      </c>
    </row>
    <row r="40" spans="1:31" x14ac:dyDescent="0.3">
      <c r="A40" t="s">
        <v>293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0.80357142857142905</v>
      </c>
      <c r="J40">
        <v>0.80357142857142905</v>
      </c>
      <c r="K40">
        <v>2.41071428571429</v>
      </c>
      <c r="L40">
        <v>1.6071428571428601</v>
      </c>
      <c r="M40">
        <v>1.6071428571428601</v>
      </c>
      <c r="N40">
        <v>3.21428571428571</v>
      </c>
      <c r="O40">
        <v>4.0178571428571397</v>
      </c>
      <c r="P40">
        <v>4.8214285714285703</v>
      </c>
      <c r="Q40">
        <v>4.8214285714285703</v>
      </c>
      <c r="R40">
        <v>5.625</v>
      </c>
      <c r="S40">
        <v>15</v>
      </c>
      <c r="T40">
        <v>7</v>
      </c>
      <c r="U40">
        <v>3</v>
      </c>
      <c r="V40">
        <v>2</v>
      </c>
      <c r="W40">
        <v>1</v>
      </c>
      <c r="X40">
        <v>4</v>
      </c>
      <c r="Y40">
        <v>4</v>
      </c>
      <c r="Z40">
        <v>4</v>
      </c>
      <c r="AA40">
        <v>5</v>
      </c>
      <c r="AB40">
        <v>5</v>
      </c>
      <c r="AC40">
        <v>5</v>
      </c>
      <c r="AD40">
        <v>4</v>
      </c>
      <c r="AE40">
        <v>4</v>
      </c>
    </row>
    <row r="41" spans="1:31" x14ac:dyDescent="0.3">
      <c r="A41" t="s">
        <v>293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293</v>
      </c>
      <c r="B42" t="s">
        <v>202</v>
      </c>
      <c r="C42" t="s">
        <v>0</v>
      </c>
      <c r="D42" t="s">
        <v>203</v>
      </c>
      <c r="E42" t="s">
        <v>123</v>
      </c>
      <c r="F42">
        <v>5.98312758022377</v>
      </c>
      <c r="G42">
        <v>6.6479195335819599</v>
      </c>
      <c r="H42">
        <v>8.6422953936565499</v>
      </c>
      <c r="I42">
        <v>10.6366712537311</v>
      </c>
      <c r="J42">
        <v>13.2958390671639</v>
      </c>
      <c r="K42">
        <v>11.3014632070893</v>
      </c>
      <c r="L42">
        <v>11.3014632070893</v>
      </c>
      <c r="M42">
        <v>7.3127114869401604</v>
      </c>
      <c r="N42">
        <v>13.960631020522101</v>
      </c>
      <c r="O42">
        <v>12.6310471138057</v>
      </c>
      <c r="P42">
        <v>13.960631020522101</v>
      </c>
      <c r="Q42">
        <v>17.2845907873131</v>
      </c>
      <c r="R42">
        <v>20.0501253132832</v>
      </c>
      <c r="S42">
        <v>30.476190476190499</v>
      </c>
      <c r="T42">
        <v>8.9635854341736696</v>
      </c>
      <c r="U42">
        <v>15.2380952380952</v>
      </c>
      <c r="V42">
        <v>20</v>
      </c>
      <c r="W42">
        <v>12</v>
      </c>
      <c r="X42">
        <v>14</v>
      </c>
      <c r="Y42">
        <v>10</v>
      </c>
      <c r="Z42">
        <v>9</v>
      </c>
      <c r="AA42">
        <v>12</v>
      </c>
      <c r="AB42">
        <v>12</v>
      </c>
      <c r="AC42">
        <v>10</v>
      </c>
      <c r="AD42">
        <v>9</v>
      </c>
      <c r="AE42">
        <v>9</v>
      </c>
    </row>
    <row r="43" spans="1:31" x14ac:dyDescent="0.3">
      <c r="A43" t="s">
        <v>293</v>
      </c>
      <c r="B43" t="s">
        <v>204</v>
      </c>
      <c r="C43" t="s">
        <v>0</v>
      </c>
      <c r="D43" t="s">
        <v>205</v>
      </c>
      <c r="E43" t="s">
        <v>123</v>
      </c>
      <c r="F43">
        <v>9.4563092513434999</v>
      </c>
      <c r="G43">
        <v>10.807210572963999</v>
      </c>
      <c r="H43">
        <v>13.509013216205</v>
      </c>
      <c r="I43">
        <v>17.561717181066498</v>
      </c>
      <c r="J43">
        <v>20.9389704851177</v>
      </c>
      <c r="K43">
        <v>19.588069163497199</v>
      </c>
      <c r="L43">
        <v>17.561717181066498</v>
      </c>
      <c r="M43">
        <v>11.4826612337742</v>
      </c>
      <c r="N43">
        <v>26.342575771599702</v>
      </c>
      <c r="O43">
        <v>24.9916744499792</v>
      </c>
      <c r="P43">
        <v>27.768527166643601</v>
      </c>
      <c r="Q43">
        <v>34.016445779138401</v>
      </c>
      <c r="R43">
        <v>39.806479103247099</v>
      </c>
      <c r="S43">
        <v>59.303530092592602</v>
      </c>
      <c r="T43">
        <v>31.8645833333333</v>
      </c>
      <c r="U43">
        <v>36.4166666666667</v>
      </c>
      <c r="V43">
        <v>46</v>
      </c>
      <c r="W43">
        <v>37</v>
      </c>
      <c r="X43">
        <v>34</v>
      </c>
      <c r="Y43">
        <v>26</v>
      </c>
      <c r="Z43">
        <v>22</v>
      </c>
      <c r="AA43">
        <v>31</v>
      </c>
      <c r="AB43">
        <v>26</v>
      </c>
      <c r="AC43">
        <v>25</v>
      </c>
      <c r="AD43">
        <v>24</v>
      </c>
      <c r="AE43">
        <v>21</v>
      </c>
    </row>
    <row r="44" spans="1:31" x14ac:dyDescent="0.3">
      <c r="A44" t="s">
        <v>293</v>
      </c>
      <c r="B44" t="s">
        <v>206</v>
      </c>
      <c r="C44" t="s">
        <v>0</v>
      </c>
      <c r="D44" t="s">
        <v>207</v>
      </c>
      <c r="E44" t="s">
        <v>123</v>
      </c>
      <c r="F44">
        <v>132.293791816648</v>
      </c>
      <c r="G44">
        <v>128.54457504451599</v>
      </c>
      <c r="H44">
        <v>170.132525794212</v>
      </c>
      <c r="I44">
        <v>208.924958385726</v>
      </c>
      <c r="J44">
        <v>225.12502200387101</v>
      </c>
      <c r="K44">
        <v>188.35837268163101</v>
      </c>
      <c r="L44">
        <v>207.59015848095601</v>
      </c>
      <c r="M44">
        <v>122.380974972244</v>
      </c>
      <c r="N44">
        <v>223.50328293053099</v>
      </c>
      <c r="O44">
        <v>288.618412603205</v>
      </c>
      <c r="P44">
        <v>251.61605201304999</v>
      </c>
      <c r="Q44">
        <v>353.26642714051701</v>
      </c>
      <c r="R44">
        <v>471.02190285402298</v>
      </c>
      <c r="S44">
        <v>511.56369417948702</v>
      </c>
      <c r="T44">
        <v>398.77799782495401</v>
      </c>
      <c r="U44">
        <v>387.81792600312701</v>
      </c>
      <c r="V44">
        <v>448.20806533208099</v>
      </c>
      <c r="W44">
        <v>474.57324564573202</v>
      </c>
      <c r="X44">
        <v>396.13138686131401</v>
      </c>
      <c r="Y44">
        <v>402</v>
      </c>
      <c r="Z44">
        <v>462</v>
      </c>
      <c r="AA44">
        <v>499</v>
      </c>
      <c r="AB44">
        <v>547.09638554216895</v>
      </c>
      <c r="AC44">
        <v>502.92713606720503</v>
      </c>
      <c r="AD44">
        <v>440.43919531336297</v>
      </c>
      <c r="AE44">
        <v>431.36836520393501</v>
      </c>
    </row>
    <row r="45" spans="1:31" x14ac:dyDescent="0.3">
      <c r="A45" t="s">
        <v>293</v>
      </c>
      <c r="B45" t="s">
        <v>208</v>
      </c>
      <c r="C45" t="s">
        <v>0</v>
      </c>
      <c r="D45" t="s">
        <v>209</v>
      </c>
      <c r="E45" t="s">
        <v>123</v>
      </c>
      <c r="F45">
        <v>125.892574587148</v>
      </c>
      <c r="G45">
        <v>123.758802136518</v>
      </c>
      <c r="H45">
        <v>163.038769771152</v>
      </c>
      <c r="I45">
        <v>200.62058788789199</v>
      </c>
      <c r="J45">
        <v>215.667131979484</v>
      </c>
      <c r="K45">
        <v>181.79271334396299</v>
      </c>
      <c r="L45">
        <v>200.988217237425</v>
      </c>
      <c r="M45">
        <v>118.19477547769</v>
      </c>
      <c r="N45">
        <v>215.16039225307699</v>
      </c>
      <c r="O45">
        <v>276.718542625211</v>
      </c>
      <c r="P45">
        <v>241.667527226017</v>
      </c>
      <c r="Q45">
        <v>346.22316724349099</v>
      </c>
      <c r="R45">
        <v>463.155142595538</v>
      </c>
      <c r="S45">
        <v>505.126276344259</v>
      </c>
      <c r="T45">
        <v>390.10548411937202</v>
      </c>
      <c r="U45">
        <v>380.83731926988401</v>
      </c>
      <c r="V45">
        <v>441.16798370867701</v>
      </c>
      <c r="W45">
        <v>466.54490312554799</v>
      </c>
      <c r="X45">
        <v>388.13399503722098</v>
      </c>
      <c r="Y45">
        <v>394</v>
      </c>
      <c r="Z45">
        <v>454</v>
      </c>
      <c r="AA45">
        <v>491</v>
      </c>
      <c r="AB45">
        <v>539.09795918367399</v>
      </c>
      <c r="AC45">
        <v>494.92605936229199</v>
      </c>
      <c r="AD45">
        <v>432.43030441226801</v>
      </c>
      <c r="AE45">
        <v>423.35833998403803</v>
      </c>
    </row>
    <row r="46" spans="1:31" x14ac:dyDescent="0.3">
      <c r="A46" t="s">
        <v>293</v>
      </c>
      <c r="B46" t="s">
        <v>210</v>
      </c>
      <c r="C46" t="s">
        <v>0</v>
      </c>
      <c r="D46" t="s">
        <v>211</v>
      </c>
      <c r="E46" t="s">
        <v>123</v>
      </c>
      <c r="F46">
        <v>3.48173845338306</v>
      </c>
      <c r="G46">
        <v>4.1780861440596802</v>
      </c>
      <c r="H46">
        <v>4.8744338347362897</v>
      </c>
      <c r="I46">
        <v>6.9634769067661297</v>
      </c>
      <c r="J46">
        <v>7.6598245974427401</v>
      </c>
      <c r="K46">
        <v>8.3561722881193496</v>
      </c>
      <c r="L46">
        <v>6.2671292160895202</v>
      </c>
      <c r="M46">
        <v>4.1780861440596802</v>
      </c>
      <c r="N46">
        <v>12.534258432179</v>
      </c>
      <c r="O46">
        <v>12.534258432179</v>
      </c>
      <c r="P46">
        <v>14.008877071258899</v>
      </c>
      <c r="Q46">
        <v>16.9581143494187</v>
      </c>
      <c r="R46">
        <v>20.041407867494801</v>
      </c>
      <c r="S46">
        <v>29.227053140096601</v>
      </c>
      <c r="T46">
        <v>23.027375201288201</v>
      </c>
      <c r="U46">
        <v>21.185185185185201</v>
      </c>
      <c r="V46">
        <v>26</v>
      </c>
      <c r="W46">
        <v>25</v>
      </c>
      <c r="X46">
        <v>20</v>
      </c>
      <c r="Y46">
        <v>16</v>
      </c>
      <c r="Z46">
        <v>13</v>
      </c>
      <c r="AA46">
        <v>19</v>
      </c>
      <c r="AB46">
        <v>14</v>
      </c>
      <c r="AC46">
        <v>15</v>
      </c>
      <c r="AD46">
        <v>15</v>
      </c>
      <c r="AE46">
        <v>12</v>
      </c>
    </row>
    <row r="47" spans="1:31" x14ac:dyDescent="0.3">
      <c r="A47" t="s">
        <v>293</v>
      </c>
      <c r="B47" t="s">
        <v>212</v>
      </c>
      <c r="C47" t="s">
        <v>0</v>
      </c>
      <c r="D47" t="s">
        <v>213</v>
      </c>
      <c r="E47" t="s">
        <v>123</v>
      </c>
      <c r="F47">
        <v>9.1590909090909101</v>
      </c>
      <c r="G47">
        <v>9.9223484848484809</v>
      </c>
      <c r="H47">
        <v>10.6856060606061</v>
      </c>
      <c r="I47">
        <v>14.5018939393939</v>
      </c>
      <c r="J47">
        <v>20.607954545454501</v>
      </c>
      <c r="K47">
        <v>16.028409090909101</v>
      </c>
      <c r="L47">
        <v>19.081439393939402</v>
      </c>
      <c r="M47">
        <v>10.6856060606061</v>
      </c>
      <c r="N47">
        <v>19.844696969697001</v>
      </c>
      <c r="O47">
        <v>25.1875</v>
      </c>
      <c r="P47">
        <v>21.125</v>
      </c>
      <c r="Q47">
        <v>7.3125</v>
      </c>
      <c r="R47">
        <v>11.375</v>
      </c>
      <c r="S47">
        <v>11.375</v>
      </c>
      <c r="T47">
        <v>7</v>
      </c>
      <c r="U47">
        <v>7</v>
      </c>
      <c r="V47">
        <v>4</v>
      </c>
      <c r="W47">
        <v>7</v>
      </c>
      <c r="X47">
        <v>6</v>
      </c>
      <c r="Y47">
        <v>4</v>
      </c>
      <c r="Z47">
        <v>7</v>
      </c>
      <c r="AA47">
        <v>7</v>
      </c>
      <c r="AB47">
        <v>8</v>
      </c>
      <c r="AC47">
        <v>6</v>
      </c>
      <c r="AD47">
        <v>8</v>
      </c>
      <c r="AE47">
        <v>6</v>
      </c>
    </row>
    <row r="48" spans="1:31" x14ac:dyDescent="0.3">
      <c r="A48" t="s">
        <v>293</v>
      </c>
      <c r="B48" t="s">
        <v>214</v>
      </c>
      <c r="C48" t="s">
        <v>0</v>
      </c>
      <c r="D48" t="s">
        <v>215</v>
      </c>
      <c r="E48" t="s">
        <v>123</v>
      </c>
      <c r="F48">
        <v>21.6315183203521</v>
      </c>
      <c r="G48">
        <v>21.0134749397706</v>
      </c>
      <c r="H48">
        <v>26.575865365003999</v>
      </c>
      <c r="I48">
        <v>32.756299170818899</v>
      </c>
      <c r="J48">
        <v>42.644993260122703</v>
      </c>
      <c r="K48">
        <v>35.846516073726299</v>
      </c>
      <c r="L48">
        <v>40.790863118378198</v>
      </c>
      <c r="M48">
        <v>25.957821984422502</v>
      </c>
      <c r="N48">
        <v>47.589340304774602</v>
      </c>
      <c r="O48">
        <v>61.365201971946199</v>
      </c>
      <c r="P48">
        <v>55.970458941445401</v>
      </c>
      <c r="Q48">
        <v>27.9852294707227</v>
      </c>
      <c r="R48">
        <v>32.8826446280992</v>
      </c>
      <c r="S48">
        <v>35.2314049586777</v>
      </c>
      <c r="T48">
        <v>36.909090909090899</v>
      </c>
      <c r="U48">
        <v>29</v>
      </c>
      <c r="V48">
        <v>26</v>
      </c>
      <c r="W48">
        <v>30</v>
      </c>
      <c r="X48">
        <v>30</v>
      </c>
      <c r="Y48">
        <v>27</v>
      </c>
      <c r="Z48">
        <v>27</v>
      </c>
      <c r="AA48">
        <v>27</v>
      </c>
      <c r="AB48">
        <v>25</v>
      </c>
      <c r="AC48">
        <v>24</v>
      </c>
      <c r="AD48">
        <v>25</v>
      </c>
      <c r="AE48">
        <v>22</v>
      </c>
    </row>
    <row r="49" spans="1:31" x14ac:dyDescent="0.3">
      <c r="A49" t="s">
        <v>293</v>
      </c>
      <c r="B49" t="s">
        <v>216</v>
      </c>
      <c r="C49" t="s">
        <v>0</v>
      </c>
      <c r="D49" t="s">
        <v>217</v>
      </c>
      <c r="E49" t="s">
        <v>123</v>
      </c>
      <c r="F49">
        <v>8.0092970521541993</v>
      </c>
      <c r="G49">
        <v>5.8249433106576003</v>
      </c>
      <c r="H49">
        <v>8.0092970521541993</v>
      </c>
      <c r="I49">
        <v>9.4655328798185892</v>
      </c>
      <c r="J49">
        <v>11.649886621315201</v>
      </c>
      <c r="K49">
        <v>9.4655328798185892</v>
      </c>
      <c r="L49">
        <v>10.921768707483</v>
      </c>
      <c r="M49">
        <v>7.2811791383219902</v>
      </c>
      <c r="N49">
        <v>12.378004535147401</v>
      </c>
      <c r="O49">
        <v>15.2904761904762</v>
      </c>
      <c r="P49">
        <v>12.0714285714286</v>
      </c>
      <c r="Q49">
        <v>12.0714285714286</v>
      </c>
      <c r="R49">
        <v>12.0714285714286</v>
      </c>
      <c r="S49">
        <v>13</v>
      </c>
      <c r="T49">
        <v>6</v>
      </c>
      <c r="U49">
        <v>5</v>
      </c>
      <c r="V49">
        <v>5</v>
      </c>
      <c r="W49">
        <v>7</v>
      </c>
      <c r="X49">
        <v>7</v>
      </c>
      <c r="Y49">
        <v>5</v>
      </c>
      <c r="Z49">
        <v>7</v>
      </c>
      <c r="AA49">
        <v>8</v>
      </c>
      <c r="AB49">
        <v>9</v>
      </c>
      <c r="AC49">
        <v>10</v>
      </c>
      <c r="AD49">
        <v>9</v>
      </c>
      <c r="AE49">
        <v>8</v>
      </c>
    </row>
    <row r="50" spans="1:31" x14ac:dyDescent="0.3">
      <c r="A50" t="s">
        <v>293</v>
      </c>
      <c r="B50" t="s">
        <v>218</v>
      </c>
      <c r="C50" t="s">
        <v>0</v>
      </c>
      <c r="D50" t="s">
        <v>219</v>
      </c>
      <c r="E50" t="s">
        <v>123</v>
      </c>
      <c r="F50">
        <v>6.2914619883040901</v>
      </c>
      <c r="G50">
        <v>6.8157504873294297</v>
      </c>
      <c r="H50">
        <v>9.4371929824561391</v>
      </c>
      <c r="I50">
        <v>11.0100584795322</v>
      </c>
      <c r="J50">
        <v>13.6315009746589</v>
      </c>
      <c r="K50">
        <v>12.5829239766082</v>
      </c>
      <c r="L50">
        <v>13.6315009746589</v>
      </c>
      <c r="M50">
        <v>9.4371929824561391</v>
      </c>
      <c r="N50">
        <v>17.825808966861601</v>
      </c>
      <c r="O50">
        <v>23.767745289148799</v>
      </c>
      <c r="P50">
        <v>24.347446393762201</v>
      </c>
      <c r="Q50">
        <v>10.0952826510721</v>
      </c>
      <c r="R50">
        <v>11.282962962962999</v>
      </c>
      <c r="S50">
        <v>12.6933333333333</v>
      </c>
      <c r="T50">
        <v>23.8</v>
      </c>
      <c r="U50">
        <v>17</v>
      </c>
      <c r="V50">
        <v>17</v>
      </c>
      <c r="W50">
        <v>16</v>
      </c>
      <c r="X50">
        <v>17</v>
      </c>
      <c r="Y50">
        <v>18</v>
      </c>
      <c r="Z50">
        <v>13</v>
      </c>
      <c r="AA50">
        <v>12</v>
      </c>
      <c r="AB50">
        <v>8</v>
      </c>
      <c r="AC50">
        <v>8</v>
      </c>
      <c r="AD50">
        <v>8</v>
      </c>
      <c r="AE50">
        <v>8</v>
      </c>
    </row>
    <row r="51" spans="1:31" x14ac:dyDescent="0.3">
      <c r="A51" t="s">
        <v>293</v>
      </c>
      <c r="B51" t="s">
        <v>220</v>
      </c>
      <c r="C51" t="s">
        <v>0</v>
      </c>
      <c r="D51" t="s">
        <v>221</v>
      </c>
      <c r="E51" t="s">
        <v>123</v>
      </c>
      <c r="F51">
        <v>6.1610920618489997</v>
      </c>
      <c r="G51">
        <v>6.6745164003364197</v>
      </c>
      <c r="H51">
        <v>8.7282137542860792</v>
      </c>
      <c r="I51">
        <v>10.2684867697483</v>
      </c>
      <c r="J51">
        <v>12.8356084621854</v>
      </c>
      <c r="K51">
        <v>12.322184123697999</v>
      </c>
      <c r="L51">
        <v>12.8356084621854</v>
      </c>
      <c r="M51">
        <v>9.2416380927734991</v>
      </c>
      <c r="N51">
        <v>16.429578831597301</v>
      </c>
      <c r="O51">
        <v>21.729442970822301</v>
      </c>
      <c r="P51">
        <v>22.301270417422899</v>
      </c>
      <c r="Q51">
        <v>9.9768841341102306</v>
      </c>
      <c r="R51">
        <v>11.1506352087114</v>
      </c>
      <c r="S51">
        <v>12.5444646098004</v>
      </c>
      <c r="T51">
        <v>22.7368421052632</v>
      </c>
      <c r="U51">
        <v>16</v>
      </c>
      <c r="V51">
        <v>17</v>
      </c>
      <c r="W51">
        <v>15</v>
      </c>
      <c r="X51">
        <v>15</v>
      </c>
      <c r="Y51">
        <v>16</v>
      </c>
      <c r="Z51">
        <v>11</v>
      </c>
      <c r="AA51">
        <v>9</v>
      </c>
      <c r="AB51">
        <v>7</v>
      </c>
      <c r="AC51">
        <v>7</v>
      </c>
      <c r="AD51">
        <v>6</v>
      </c>
      <c r="AE51">
        <v>6</v>
      </c>
    </row>
    <row r="52" spans="1:31" x14ac:dyDescent="0.3">
      <c r="A52" t="s">
        <v>293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 t="e">
        <v>#NUM!</v>
      </c>
      <c r="I52" t="e">
        <v>#NUM!</v>
      </c>
      <c r="J52" t="e">
        <v>#NUM!</v>
      </c>
      <c r="K52">
        <v>0</v>
      </c>
      <c r="L52" t="e">
        <v>#NUM!</v>
      </c>
      <c r="M52">
        <v>0</v>
      </c>
      <c r="N52" t="e">
        <v>#NUM!</v>
      </c>
      <c r="O52" t="e">
        <v>#NUM!</v>
      </c>
      <c r="P52" t="e">
        <v>#NUM!</v>
      </c>
      <c r="Q52">
        <v>0</v>
      </c>
      <c r="R52">
        <v>0</v>
      </c>
      <c r="S52">
        <v>0</v>
      </c>
      <c r="T52" t="e">
        <v>#NUM!</v>
      </c>
      <c r="U52" t="e">
        <v>#NUM!</v>
      </c>
      <c r="V52">
        <v>0</v>
      </c>
      <c r="W52">
        <v>1</v>
      </c>
      <c r="X52">
        <v>2</v>
      </c>
      <c r="Y52">
        <v>2</v>
      </c>
      <c r="Z52">
        <v>2</v>
      </c>
      <c r="AA52">
        <v>3</v>
      </c>
      <c r="AB52">
        <v>1</v>
      </c>
      <c r="AC52">
        <v>1</v>
      </c>
      <c r="AD52">
        <v>2</v>
      </c>
      <c r="AE52">
        <v>2</v>
      </c>
    </row>
    <row r="53" spans="1:31" x14ac:dyDescent="0.3">
      <c r="A53" t="s">
        <v>293</v>
      </c>
      <c r="B53" t="s">
        <v>224</v>
      </c>
      <c r="C53" t="s">
        <v>0</v>
      </c>
      <c r="D53" t="s">
        <v>225</v>
      </c>
      <c r="E53" t="s">
        <v>123</v>
      </c>
      <c r="F53">
        <v>2.7417027417027402</v>
      </c>
      <c r="G53">
        <v>4.7979797979798002</v>
      </c>
      <c r="H53">
        <v>6.8542568542568496</v>
      </c>
      <c r="I53">
        <v>7.5396825396825404</v>
      </c>
      <c r="J53">
        <v>0.68542568542568505</v>
      </c>
      <c r="K53">
        <v>7.5396825396825404</v>
      </c>
      <c r="L53">
        <v>6.8542568542568496</v>
      </c>
      <c r="M53">
        <v>4.1125541125541103</v>
      </c>
      <c r="N53">
        <v>8.2251082251082295</v>
      </c>
      <c r="O53">
        <v>10.966810966811</v>
      </c>
      <c r="P53">
        <v>8.9105339105339105</v>
      </c>
      <c r="Q53">
        <v>8.9105339105339105</v>
      </c>
      <c r="R53">
        <v>14.3939393939394</v>
      </c>
      <c r="S53">
        <v>12.8787878787879</v>
      </c>
      <c r="T53">
        <v>15.454545454545499</v>
      </c>
      <c r="U53">
        <v>10</v>
      </c>
      <c r="V53">
        <v>16</v>
      </c>
      <c r="W53">
        <v>17</v>
      </c>
      <c r="X53">
        <v>17</v>
      </c>
      <c r="Y53">
        <v>14</v>
      </c>
      <c r="Z53">
        <v>14</v>
      </c>
      <c r="AA53">
        <v>16</v>
      </c>
      <c r="AB53">
        <v>15</v>
      </c>
      <c r="AC53">
        <v>10</v>
      </c>
      <c r="AD53">
        <v>8</v>
      </c>
      <c r="AE53">
        <v>7</v>
      </c>
    </row>
    <row r="54" spans="1:31" x14ac:dyDescent="0.3">
      <c r="A54" t="s">
        <v>293</v>
      </c>
      <c r="B54" t="s">
        <v>226</v>
      </c>
      <c r="C54" t="s">
        <v>0</v>
      </c>
      <c r="D54" t="s">
        <v>227</v>
      </c>
      <c r="E54" t="s">
        <v>123</v>
      </c>
      <c r="F54">
        <v>3.4722222222222201</v>
      </c>
      <c r="G54">
        <v>5.5555555555555598</v>
      </c>
      <c r="H54">
        <v>7.6388888888888902</v>
      </c>
      <c r="I54">
        <v>8.3333333333333304</v>
      </c>
      <c r="J54">
        <v>2.7777777777777799</v>
      </c>
      <c r="K54">
        <v>9.0277777777777803</v>
      </c>
      <c r="L54">
        <v>8.3333333333333304</v>
      </c>
      <c r="M54">
        <v>4.8611111111111098</v>
      </c>
      <c r="N54">
        <v>11.8055555555556</v>
      </c>
      <c r="O54">
        <v>14.5833333333333</v>
      </c>
      <c r="P54">
        <v>11.8055555555556</v>
      </c>
      <c r="Q54">
        <v>13.1944444444444</v>
      </c>
      <c r="R54">
        <v>19.4444444444444</v>
      </c>
      <c r="S54">
        <v>17.8888888888889</v>
      </c>
      <c r="T54">
        <v>20.4444444444444</v>
      </c>
      <c r="U54">
        <v>16</v>
      </c>
      <c r="V54">
        <v>24</v>
      </c>
      <c r="W54">
        <v>28</v>
      </c>
      <c r="X54">
        <v>27</v>
      </c>
      <c r="Y54">
        <v>22</v>
      </c>
      <c r="Z54">
        <v>22</v>
      </c>
      <c r="AA54">
        <v>24</v>
      </c>
      <c r="AB54">
        <v>24</v>
      </c>
      <c r="AC54">
        <v>18</v>
      </c>
      <c r="AD54">
        <v>16</v>
      </c>
      <c r="AE54">
        <v>11</v>
      </c>
    </row>
    <row r="55" spans="1:31" x14ac:dyDescent="0.3">
      <c r="A55" t="s">
        <v>293</v>
      </c>
      <c r="B55" t="s">
        <v>228</v>
      </c>
      <c r="C55" t="s">
        <v>0</v>
      </c>
      <c r="D55" t="s">
        <v>229</v>
      </c>
      <c r="E55" t="s">
        <v>123</v>
      </c>
      <c r="F55">
        <v>0.73469387755102</v>
      </c>
      <c r="G55">
        <v>0.73469387755102</v>
      </c>
      <c r="H55">
        <v>0.73469387755102</v>
      </c>
      <c r="I55">
        <v>0.73469387755102</v>
      </c>
      <c r="J55">
        <v>2.2040816326530601</v>
      </c>
      <c r="K55">
        <v>1.46938775510204</v>
      </c>
      <c r="L55">
        <v>1.46938775510204</v>
      </c>
      <c r="M55">
        <v>0.73469387755102</v>
      </c>
      <c r="N55">
        <v>3.6734693877550999</v>
      </c>
      <c r="O55">
        <v>3.6734693877550999</v>
      </c>
      <c r="P55">
        <v>2.93877551020408</v>
      </c>
      <c r="Q55">
        <v>4.4081632653061202</v>
      </c>
      <c r="R55">
        <v>5.1428571428571397</v>
      </c>
      <c r="S55">
        <v>5.1428571428571397</v>
      </c>
      <c r="T55">
        <v>5.1428571428571397</v>
      </c>
      <c r="U55">
        <v>6</v>
      </c>
      <c r="V55">
        <v>8</v>
      </c>
      <c r="W55">
        <v>11</v>
      </c>
      <c r="X55">
        <v>10</v>
      </c>
      <c r="Y55">
        <v>8</v>
      </c>
      <c r="Z55">
        <v>8</v>
      </c>
      <c r="AA55">
        <v>8</v>
      </c>
      <c r="AB55">
        <v>9</v>
      </c>
      <c r="AC55">
        <v>8</v>
      </c>
      <c r="AD55">
        <v>8</v>
      </c>
      <c r="AE55">
        <v>4</v>
      </c>
    </row>
    <row r="56" spans="1:31" x14ac:dyDescent="0.3">
      <c r="A56" t="s">
        <v>293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293</v>
      </c>
      <c r="B57" t="s">
        <v>232</v>
      </c>
      <c r="C57" t="s">
        <v>0</v>
      </c>
      <c r="D57" t="s">
        <v>233</v>
      </c>
      <c r="E57" t="s">
        <v>123</v>
      </c>
      <c r="F57">
        <v>153.42604648478201</v>
      </c>
      <c r="G57">
        <v>149.07353452776701</v>
      </c>
      <c r="H57">
        <v>196.20707853287001</v>
      </c>
      <c r="I57">
        <v>241.61500242190499</v>
      </c>
      <c r="J57">
        <v>267.01844893822698</v>
      </c>
      <c r="K57">
        <v>224.797583080473</v>
      </c>
      <c r="L57">
        <v>248.19022497463399</v>
      </c>
      <c r="M57">
        <v>148.56862655094099</v>
      </c>
      <c r="N57">
        <v>271.70137929549497</v>
      </c>
      <c r="O57">
        <v>350.67748520785199</v>
      </c>
      <c r="P57">
        <v>309.01898962464901</v>
      </c>
      <c r="Q57">
        <v>385.483811188213</v>
      </c>
      <c r="R57">
        <v>509.15438542607001</v>
      </c>
      <c r="S57">
        <v>559.55103492966896</v>
      </c>
      <c r="T57">
        <v>441.495469756646</v>
      </c>
      <c r="U57">
        <v>419.50527394501302</v>
      </c>
      <c r="V57">
        <v>476.32314400528497</v>
      </c>
      <c r="W57">
        <v>505.66543213702801</v>
      </c>
      <c r="X57">
        <v>430.061085972851</v>
      </c>
      <c r="Y57">
        <v>433</v>
      </c>
      <c r="Z57">
        <v>493</v>
      </c>
      <c r="AA57">
        <v>531</v>
      </c>
      <c r="AB57">
        <v>577.08679245282997</v>
      </c>
      <c r="AC57">
        <v>531.92347826086996</v>
      </c>
      <c r="AD57">
        <v>469.46276679841901</v>
      </c>
      <c r="AE57">
        <v>457.373596837945</v>
      </c>
    </row>
    <row r="58" spans="1:31" x14ac:dyDescent="0.3">
      <c r="A58" t="s">
        <v>293</v>
      </c>
      <c r="B58" t="s">
        <v>234</v>
      </c>
      <c r="C58" t="s">
        <v>0</v>
      </c>
      <c r="D58" t="s">
        <v>235</v>
      </c>
      <c r="E58" t="s">
        <v>123</v>
      </c>
      <c r="F58">
        <v>153.42604648478201</v>
      </c>
      <c r="G58">
        <v>149.07353452776701</v>
      </c>
      <c r="H58">
        <v>196.20707853287001</v>
      </c>
      <c r="I58">
        <v>241.61500242190499</v>
      </c>
      <c r="J58">
        <v>267.01844893822698</v>
      </c>
      <c r="K58">
        <v>224.797583080473</v>
      </c>
      <c r="L58">
        <v>248.19022497463399</v>
      </c>
      <c r="M58">
        <v>148.56862655094099</v>
      </c>
      <c r="N58">
        <v>271.70137929549497</v>
      </c>
      <c r="O58">
        <v>350.67748520785199</v>
      </c>
      <c r="P58">
        <v>309.01898962464901</v>
      </c>
      <c r="Q58">
        <v>385.483811188213</v>
      </c>
      <c r="R58">
        <v>509.15438542607001</v>
      </c>
      <c r="S58">
        <v>559.55103492966896</v>
      </c>
      <c r="T58">
        <v>441.495469756646</v>
      </c>
      <c r="U58">
        <v>419.50527394501302</v>
      </c>
      <c r="V58">
        <v>476.32314400528497</v>
      </c>
      <c r="W58">
        <v>505.66543213702801</v>
      </c>
      <c r="X58">
        <v>430.061085972851</v>
      </c>
      <c r="Y58">
        <v>433</v>
      </c>
      <c r="Z58">
        <v>493</v>
      </c>
      <c r="AA58">
        <v>531</v>
      </c>
      <c r="AB58">
        <v>577.08679245282997</v>
      </c>
      <c r="AC58">
        <v>531.92347826086996</v>
      </c>
      <c r="AD58">
        <v>469.46276679841901</v>
      </c>
      <c r="AE58">
        <v>457.373596837945</v>
      </c>
    </row>
    <row r="59" spans="1:31" x14ac:dyDescent="0.3">
      <c r="A59" t="s">
        <v>293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294</v>
      </c>
      <c r="B2" t="s">
        <v>121</v>
      </c>
      <c r="C2" t="s">
        <v>0</v>
      </c>
      <c r="D2" t="s">
        <v>122</v>
      </c>
      <c r="E2" t="s">
        <v>123</v>
      </c>
      <c r="F2">
        <v>2</v>
      </c>
      <c r="G2">
        <v>1</v>
      </c>
      <c r="H2">
        <v>2</v>
      </c>
      <c r="I2">
        <v>2</v>
      </c>
      <c r="J2">
        <v>2</v>
      </c>
      <c r="K2">
        <v>3</v>
      </c>
      <c r="L2">
        <v>3</v>
      </c>
      <c r="M2">
        <v>3</v>
      </c>
      <c r="N2">
        <v>3</v>
      </c>
      <c r="O2">
        <v>3</v>
      </c>
      <c r="P2">
        <v>4</v>
      </c>
      <c r="Q2">
        <v>6</v>
      </c>
      <c r="R2">
        <v>5</v>
      </c>
      <c r="S2">
        <v>5</v>
      </c>
      <c r="T2">
        <v>5</v>
      </c>
      <c r="U2">
        <v>6</v>
      </c>
      <c r="V2">
        <v>5</v>
      </c>
      <c r="W2">
        <v>5</v>
      </c>
      <c r="X2">
        <v>6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</row>
    <row r="3" spans="1:31" x14ac:dyDescent="0.3">
      <c r="A3" t="s">
        <v>294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</v>
      </c>
      <c r="R3">
        <v>2</v>
      </c>
      <c r="S3">
        <v>2</v>
      </c>
      <c r="T3">
        <v>6</v>
      </c>
      <c r="U3">
        <v>8</v>
      </c>
      <c r="V3">
        <v>5</v>
      </c>
      <c r="W3">
        <v>3</v>
      </c>
      <c r="X3">
        <v>1</v>
      </c>
      <c r="Y3">
        <v>1</v>
      </c>
      <c r="Z3">
        <v>2</v>
      </c>
      <c r="AA3">
        <v>2</v>
      </c>
      <c r="AB3">
        <v>4</v>
      </c>
      <c r="AC3">
        <v>4</v>
      </c>
      <c r="AD3">
        <v>5</v>
      </c>
      <c r="AE3">
        <v>7</v>
      </c>
    </row>
    <row r="4" spans="1:31" x14ac:dyDescent="0.3">
      <c r="A4" t="s">
        <v>294</v>
      </c>
      <c r="B4" t="s">
        <v>126</v>
      </c>
      <c r="C4" t="s">
        <v>0</v>
      </c>
      <c r="D4" t="s">
        <v>127</v>
      </c>
      <c r="E4" t="s">
        <v>123</v>
      </c>
      <c r="F4">
        <v>226.17968261433299</v>
      </c>
      <c r="G4">
        <v>214.81386941763299</v>
      </c>
      <c r="H4">
        <v>268.233191442124</v>
      </c>
      <c r="I4">
        <v>353.47679041737501</v>
      </c>
      <c r="J4">
        <v>393.38546030320799</v>
      </c>
      <c r="K4">
        <v>456.464761518008</v>
      </c>
      <c r="L4">
        <v>552.804057918794</v>
      </c>
      <c r="M4">
        <v>465.09401950161498</v>
      </c>
      <c r="N4">
        <v>613.13146430538802</v>
      </c>
      <c r="O4">
        <v>568.32570345230204</v>
      </c>
      <c r="P4">
        <v>687.25100155902101</v>
      </c>
      <c r="Q4">
        <v>777.28886080141297</v>
      </c>
      <c r="R4">
        <v>759.47135109822898</v>
      </c>
      <c r="S4">
        <v>750.67862923312703</v>
      </c>
      <c r="T4">
        <v>821.45689998939304</v>
      </c>
      <c r="U4">
        <v>846.05782277553396</v>
      </c>
      <c r="V4">
        <v>856.71346286086805</v>
      </c>
      <c r="W4">
        <v>857.76207175053798</v>
      </c>
      <c r="X4">
        <v>740.98241619895896</v>
      </c>
      <c r="Y4">
        <v>754.25069637882996</v>
      </c>
      <c r="Z4">
        <v>724</v>
      </c>
      <c r="AA4">
        <v>679</v>
      </c>
      <c r="AB4">
        <v>752.67448680351902</v>
      </c>
      <c r="AC4">
        <v>824.78109774401401</v>
      </c>
      <c r="AD4">
        <v>849.29896628575</v>
      </c>
      <c r="AE4">
        <v>880.50168376123099</v>
      </c>
    </row>
    <row r="5" spans="1:31" x14ac:dyDescent="0.3">
      <c r="A5" t="s">
        <v>294</v>
      </c>
      <c r="B5" t="s">
        <v>128</v>
      </c>
      <c r="C5" t="s">
        <v>0</v>
      </c>
      <c r="D5" t="s">
        <v>129</v>
      </c>
      <c r="E5" t="s">
        <v>123</v>
      </c>
      <c r="F5">
        <v>13</v>
      </c>
      <c r="G5">
        <v>14</v>
      </c>
      <c r="H5">
        <v>14</v>
      </c>
      <c r="I5">
        <v>18</v>
      </c>
      <c r="J5">
        <v>25</v>
      </c>
      <c r="K5">
        <v>32</v>
      </c>
      <c r="L5">
        <v>26</v>
      </c>
      <c r="M5">
        <v>19</v>
      </c>
      <c r="N5">
        <v>40</v>
      </c>
      <c r="O5">
        <v>34</v>
      </c>
      <c r="P5">
        <v>44</v>
      </c>
      <c r="Q5">
        <v>37</v>
      </c>
      <c r="R5">
        <v>33</v>
      </c>
      <c r="S5">
        <v>36</v>
      </c>
      <c r="T5">
        <v>36</v>
      </c>
      <c r="U5">
        <v>44</v>
      </c>
      <c r="V5">
        <v>51</v>
      </c>
      <c r="W5">
        <v>52</v>
      </c>
      <c r="X5">
        <v>55</v>
      </c>
      <c r="Y5">
        <v>52</v>
      </c>
      <c r="Z5">
        <v>48</v>
      </c>
      <c r="AA5">
        <v>55</v>
      </c>
      <c r="AB5">
        <v>52</v>
      </c>
      <c r="AC5">
        <v>50</v>
      </c>
      <c r="AD5">
        <v>42</v>
      </c>
      <c r="AE5">
        <v>67</v>
      </c>
    </row>
    <row r="6" spans="1:31" x14ac:dyDescent="0.3">
      <c r="A6" t="s">
        <v>294</v>
      </c>
      <c r="B6" t="s">
        <v>130</v>
      </c>
      <c r="C6" t="s">
        <v>0</v>
      </c>
      <c r="D6" t="s">
        <v>131</v>
      </c>
      <c r="E6" t="s">
        <v>123</v>
      </c>
      <c r="F6">
        <v>1</v>
      </c>
      <c r="G6">
        <v>2</v>
      </c>
      <c r="H6">
        <v>2</v>
      </c>
      <c r="I6">
        <v>2</v>
      </c>
      <c r="J6">
        <v>1</v>
      </c>
      <c r="K6">
        <v>1</v>
      </c>
      <c r="L6">
        <v>2</v>
      </c>
      <c r="M6">
        <v>1</v>
      </c>
      <c r="N6">
        <v>3</v>
      </c>
      <c r="O6">
        <v>3</v>
      </c>
      <c r="P6">
        <v>3</v>
      </c>
      <c r="Q6">
        <v>3</v>
      </c>
      <c r="R6">
        <v>4</v>
      </c>
      <c r="S6">
        <v>3</v>
      </c>
      <c r="T6">
        <v>2</v>
      </c>
      <c r="U6">
        <v>2</v>
      </c>
      <c r="V6">
        <v>2</v>
      </c>
      <c r="W6">
        <v>4</v>
      </c>
      <c r="X6">
        <v>3</v>
      </c>
      <c r="Y6">
        <v>3</v>
      </c>
      <c r="Z6">
        <v>4</v>
      </c>
      <c r="AA6">
        <v>5</v>
      </c>
      <c r="AB6">
        <v>7</v>
      </c>
      <c r="AC6">
        <v>18</v>
      </c>
      <c r="AD6">
        <v>4</v>
      </c>
      <c r="AE6">
        <v>6</v>
      </c>
    </row>
    <row r="7" spans="1:31" x14ac:dyDescent="0.3">
      <c r="A7" t="s">
        <v>294</v>
      </c>
      <c r="B7" t="s">
        <v>132</v>
      </c>
      <c r="C7" t="s">
        <v>0</v>
      </c>
      <c r="D7" t="s">
        <v>133</v>
      </c>
      <c r="E7" t="s">
        <v>123</v>
      </c>
      <c r="F7">
        <v>48.660072946907398</v>
      </c>
      <c r="G7">
        <v>57.713109774239001</v>
      </c>
      <c r="H7">
        <v>67.897776204987096</v>
      </c>
      <c r="I7">
        <v>91.661997876732599</v>
      </c>
      <c r="J7">
        <v>91.661997876732599</v>
      </c>
      <c r="K7">
        <v>132.271743771487</v>
      </c>
      <c r="L7">
        <v>174.04176812037801</v>
      </c>
      <c r="M7">
        <v>139.938989231926</v>
      </c>
      <c r="N7">
        <v>142.33110870597599</v>
      </c>
      <c r="O7">
        <v>125.300035869363</v>
      </c>
      <c r="P7">
        <v>190.314205424222</v>
      </c>
      <c r="Q7">
        <v>240.82970439484799</v>
      </c>
      <c r="R7">
        <v>178.05418903126201</v>
      </c>
      <c r="S7">
        <v>132.140844689868</v>
      </c>
      <c r="T7">
        <v>143.06157565597201</v>
      </c>
      <c r="U7">
        <v>132.223577500217</v>
      </c>
      <c r="V7">
        <v>106.42385506114999</v>
      </c>
      <c r="W7">
        <v>118.014571948998</v>
      </c>
      <c r="X7">
        <v>55.9016393442623</v>
      </c>
      <c r="Y7">
        <v>62</v>
      </c>
      <c r="Z7">
        <v>55</v>
      </c>
      <c r="AA7">
        <v>79</v>
      </c>
      <c r="AB7">
        <v>73</v>
      </c>
      <c r="AC7">
        <v>69.054054054054006</v>
      </c>
      <c r="AD7">
        <v>87.797297297297305</v>
      </c>
      <c r="AE7">
        <v>110.234384384384</v>
      </c>
    </row>
    <row r="8" spans="1:31" x14ac:dyDescent="0.3">
      <c r="A8" t="s">
        <v>294</v>
      </c>
      <c r="B8" t="s">
        <v>134</v>
      </c>
      <c r="C8" t="s">
        <v>0</v>
      </c>
      <c r="D8" t="s">
        <v>135</v>
      </c>
      <c r="E8" t="s">
        <v>123</v>
      </c>
      <c r="F8">
        <v>8.3636363636363598</v>
      </c>
      <c r="G8">
        <v>6.2727272727272698</v>
      </c>
      <c r="H8">
        <v>8.3636363636363598</v>
      </c>
      <c r="I8">
        <v>8.3636363636363598</v>
      </c>
      <c r="J8">
        <v>9.4090909090909101</v>
      </c>
      <c r="K8">
        <v>9.4090909090909101</v>
      </c>
      <c r="L8">
        <v>18.818181818181799</v>
      </c>
      <c r="M8">
        <v>5.2272727272727302</v>
      </c>
      <c r="N8">
        <v>17.772727272727298</v>
      </c>
      <c r="O8">
        <v>23</v>
      </c>
      <c r="P8">
        <v>22</v>
      </c>
      <c r="Q8">
        <v>7</v>
      </c>
      <c r="R8">
        <v>11</v>
      </c>
      <c r="S8">
        <v>14</v>
      </c>
      <c r="T8">
        <v>10</v>
      </c>
      <c r="U8">
        <v>10</v>
      </c>
      <c r="V8">
        <v>9</v>
      </c>
      <c r="W8">
        <v>7</v>
      </c>
      <c r="X8">
        <v>16</v>
      </c>
      <c r="Y8">
        <v>28</v>
      </c>
      <c r="Z8">
        <v>19</v>
      </c>
      <c r="AA8">
        <v>18</v>
      </c>
      <c r="AB8">
        <v>25</v>
      </c>
      <c r="AC8">
        <v>46</v>
      </c>
      <c r="AD8">
        <v>51.872340425531902</v>
      </c>
      <c r="AE8">
        <v>36.502758077226197</v>
      </c>
    </row>
    <row r="9" spans="1:31" x14ac:dyDescent="0.3">
      <c r="A9" t="s">
        <v>294</v>
      </c>
      <c r="B9" t="s">
        <v>136</v>
      </c>
      <c r="C9" t="s">
        <v>0</v>
      </c>
      <c r="D9" t="s">
        <v>137</v>
      </c>
      <c r="E9" t="s">
        <v>123</v>
      </c>
      <c r="F9">
        <v>6</v>
      </c>
      <c r="G9">
        <v>10</v>
      </c>
      <c r="H9">
        <v>8</v>
      </c>
      <c r="I9">
        <v>15</v>
      </c>
      <c r="J9">
        <v>11</v>
      </c>
      <c r="K9">
        <v>8</v>
      </c>
      <c r="L9">
        <v>13</v>
      </c>
      <c r="M9">
        <v>17</v>
      </c>
      <c r="N9">
        <v>16</v>
      </c>
      <c r="O9">
        <v>14</v>
      </c>
      <c r="P9">
        <v>16</v>
      </c>
      <c r="Q9">
        <v>14</v>
      </c>
      <c r="R9">
        <v>15</v>
      </c>
      <c r="S9">
        <v>20</v>
      </c>
      <c r="T9">
        <v>29</v>
      </c>
      <c r="U9">
        <v>19</v>
      </c>
      <c r="V9">
        <v>17</v>
      </c>
      <c r="W9">
        <v>24</v>
      </c>
      <c r="X9">
        <v>21</v>
      </c>
      <c r="Y9">
        <v>18</v>
      </c>
      <c r="Z9">
        <v>23</v>
      </c>
      <c r="AA9">
        <v>17</v>
      </c>
      <c r="AB9">
        <v>36</v>
      </c>
      <c r="AC9">
        <v>38</v>
      </c>
      <c r="AD9">
        <v>35</v>
      </c>
      <c r="AE9">
        <v>45</v>
      </c>
    </row>
    <row r="10" spans="1:31" x14ac:dyDescent="0.3">
      <c r="A10" t="s">
        <v>294</v>
      </c>
      <c r="B10" t="s">
        <v>138</v>
      </c>
      <c r="C10" t="s">
        <v>0</v>
      </c>
      <c r="D10" t="s">
        <v>139</v>
      </c>
      <c r="E10" t="s">
        <v>123</v>
      </c>
      <c r="F10">
        <v>8</v>
      </c>
      <c r="G10">
        <v>11</v>
      </c>
      <c r="H10">
        <v>12</v>
      </c>
      <c r="I10">
        <v>22</v>
      </c>
      <c r="J10">
        <v>15</v>
      </c>
      <c r="K10">
        <v>11</v>
      </c>
      <c r="L10">
        <v>18</v>
      </c>
      <c r="M10">
        <v>27</v>
      </c>
      <c r="N10">
        <v>22</v>
      </c>
      <c r="O10">
        <v>20</v>
      </c>
      <c r="P10">
        <v>22</v>
      </c>
      <c r="Q10">
        <v>18</v>
      </c>
      <c r="R10">
        <v>19</v>
      </c>
      <c r="S10">
        <v>25</v>
      </c>
      <c r="T10">
        <v>34</v>
      </c>
      <c r="U10">
        <v>26</v>
      </c>
      <c r="V10">
        <v>24</v>
      </c>
      <c r="W10">
        <v>32</v>
      </c>
      <c r="X10">
        <v>29</v>
      </c>
      <c r="Y10">
        <v>26</v>
      </c>
      <c r="Z10">
        <v>31</v>
      </c>
      <c r="AA10">
        <v>26</v>
      </c>
      <c r="AB10">
        <v>44</v>
      </c>
      <c r="AC10">
        <v>45</v>
      </c>
      <c r="AD10">
        <v>52</v>
      </c>
      <c r="AE10">
        <v>54</v>
      </c>
    </row>
    <row r="11" spans="1:31" x14ac:dyDescent="0.3">
      <c r="A11" t="s">
        <v>294</v>
      </c>
      <c r="B11" t="s">
        <v>140</v>
      </c>
      <c r="C11" t="s">
        <v>0</v>
      </c>
      <c r="D11" t="s">
        <v>141</v>
      </c>
      <c r="E11" t="s">
        <v>123</v>
      </c>
      <c r="F11">
        <v>2</v>
      </c>
      <c r="G11">
        <v>1</v>
      </c>
      <c r="H11">
        <v>4</v>
      </c>
      <c r="I11">
        <v>7</v>
      </c>
      <c r="J11">
        <v>4</v>
      </c>
      <c r="K11">
        <v>3</v>
      </c>
      <c r="L11">
        <v>5</v>
      </c>
      <c r="M11">
        <v>10</v>
      </c>
      <c r="N11">
        <v>6</v>
      </c>
      <c r="O11">
        <v>6</v>
      </c>
      <c r="P11">
        <v>6</v>
      </c>
      <c r="Q11">
        <v>4</v>
      </c>
      <c r="R11">
        <v>4</v>
      </c>
      <c r="S11">
        <v>5</v>
      </c>
      <c r="T11">
        <v>5</v>
      </c>
      <c r="U11">
        <v>7</v>
      </c>
      <c r="V11">
        <v>7</v>
      </c>
      <c r="W11">
        <v>8</v>
      </c>
      <c r="X11">
        <v>8</v>
      </c>
      <c r="Y11">
        <v>8</v>
      </c>
      <c r="Z11">
        <v>8</v>
      </c>
      <c r="AA11">
        <v>9</v>
      </c>
      <c r="AB11">
        <v>8</v>
      </c>
      <c r="AC11">
        <v>7</v>
      </c>
      <c r="AD11">
        <v>17</v>
      </c>
      <c r="AE11">
        <v>9</v>
      </c>
    </row>
    <row r="12" spans="1:31" x14ac:dyDescent="0.3">
      <c r="A12" t="s">
        <v>294</v>
      </c>
      <c r="B12" t="s">
        <v>142</v>
      </c>
      <c r="C12" t="s">
        <v>0</v>
      </c>
      <c r="D12" t="s">
        <v>143</v>
      </c>
      <c r="E12" t="s">
        <v>123</v>
      </c>
      <c r="F12">
        <v>18.893617021276601</v>
      </c>
      <c r="G12">
        <v>18.893617021276601</v>
      </c>
      <c r="H12">
        <v>26.2411347517731</v>
      </c>
      <c r="I12">
        <v>27.290780141843999</v>
      </c>
      <c r="J12">
        <v>31.489361702127699</v>
      </c>
      <c r="K12">
        <v>33.588652482269502</v>
      </c>
      <c r="L12">
        <v>30.439716312056699</v>
      </c>
      <c r="M12">
        <v>16.794326241134801</v>
      </c>
      <c r="N12">
        <v>19.943262411347501</v>
      </c>
      <c r="O12">
        <v>25.1914893617021</v>
      </c>
      <c r="P12">
        <v>24.1418439716312</v>
      </c>
      <c r="Q12">
        <v>49.3333333333333</v>
      </c>
      <c r="R12">
        <v>35.9722222222222</v>
      </c>
      <c r="S12">
        <v>37</v>
      </c>
      <c r="T12">
        <v>28</v>
      </c>
      <c r="U12">
        <v>26</v>
      </c>
      <c r="V12">
        <v>33</v>
      </c>
      <c r="W12">
        <v>26</v>
      </c>
      <c r="X12">
        <v>25</v>
      </c>
      <c r="Y12">
        <v>27</v>
      </c>
      <c r="Z12">
        <v>28</v>
      </c>
      <c r="AA12">
        <v>22</v>
      </c>
      <c r="AB12">
        <v>27</v>
      </c>
      <c r="AC12">
        <v>39</v>
      </c>
      <c r="AD12">
        <v>51</v>
      </c>
      <c r="AE12">
        <v>53</v>
      </c>
    </row>
    <row r="13" spans="1:31" x14ac:dyDescent="0.3">
      <c r="A13" t="s">
        <v>294</v>
      </c>
      <c r="B13" t="s">
        <v>144</v>
      </c>
      <c r="C13" t="s">
        <v>0</v>
      </c>
      <c r="D13" t="s">
        <v>145</v>
      </c>
      <c r="E13" t="s">
        <v>123</v>
      </c>
      <c r="F13">
        <v>20.396875630965098</v>
      </c>
      <c r="G13">
        <v>13.955757010660299</v>
      </c>
      <c r="H13">
        <v>19.323355860914301</v>
      </c>
      <c r="I13">
        <v>25.7644744812191</v>
      </c>
      <c r="J13">
        <v>22.543915171066701</v>
      </c>
      <c r="K13">
        <v>21.470395401015899</v>
      </c>
      <c r="L13">
        <v>46.161350112184202</v>
      </c>
      <c r="M13">
        <v>28.985033791371499</v>
      </c>
      <c r="N13">
        <v>54.749508272590496</v>
      </c>
      <c r="O13">
        <v>47.084577114427901</v>
      </c>
      <c r="P13">
        <v>63.1361374943464</v>
      </c>
      <c r="Q13">
        <v>54.575305291723197</v>
      </c>
      <c r="R13">
        <v>67.169606512890098</v>
      </c>
      <c r="S13">
        <v>56.835820895522403</v>
      </c>
      <c r="T13">
        <v>51.761194029850699</v>
      </c>
      <c r="U13">
        <v>47.701492537313399</v>
      </c>
      <c r="V13">
        <v>47.701492537313399</v>
      </c>
      <c r="W13">
        <v>58.865671641791003</v>
      </c>
      <c r="X13">
        <v>40.597014925373102</v>
      </c>
      <c r="Y13">
        <v>68</v>
      </c>
      <c r="Z13">
        <v>64</v>
      </c>
      <c r="AA13">
        <v>65</v>
      </c>
      <c r="AB13">
        <v>74</v>
      </c>
      <c r="AC13">
        <v>64</v>
      </c>
      <c r="AD13">
        <v>86</v>
      </c>
      <c r="AE13">
        <v>90</v>
      </c>
    </row>
    <row r="14" spans="1:31" x14ac:dyDescent="0.3">
      <c r="A14" t="s">
        <v>294</v>
      </c>
      <c r="B14" t="s">
        <v>146</v>
      </c>
      <c r="C14" t="s">
        <v>0</v>
      </c>
      <c r="D14" t="s">
        <v>147</v>
      </c>
      <c r="E14" t="s">
        <v>123</v>
      </c>
      <c r="F14">
        <v>21.6216804022262</v>
      </c>
      <c r="G14">
        <v>13.2132491346938</v>
      </c>
      <c r="H14">
        <v>16.8168625350648</v>
      </c>
      <c r="I14">
        <v>45.645769738033103</v>
      </c>
      <c r="J14">
        <v>97.297561810017797</v>
      </c>
      <c r="K14">
        <v>109.45975703627001</v>
      </c>
      <c r="L14">
        <v>126.486830353023</v>
      </c>
      <c r="M14">
        <v>175.607929519246</v>
      </c>
      <c r="N14">
        <v>186.81694629706999</v>
      </c>
      <c r="O14">
        <v>165.212265432783</v>
      </c>
      <c r="P14">
        <v>187.95888168802099</v>
      </c>
      <c r="Q14">
        <v>258.146059027219</v>
      </c>
      <c r="R14">
        <v>266.21312337182002</v>
      </c>
      <c r="S14">
        <v>297.932133816121</v>
      </c>
      <c r="T14">
        <v>313.32346176234199</v>
      </c>
      <c r="U14">
        <v>353.85831520711997</v>
      </c>
      <c r="V14">
        <v>398.49890266401798</v>
      </c>
      <c r="W14">
        <v>362.17460590643998</v>
      </c>
      <c r="X14">
        <v>311.93072994254101</v>
      </c>
      <c r="Y14">
        <v>261.48648648648702</v>
      </c>
      <c r="Z14">
        <v>225</v>
      </c>
      <c r="AA14">
        <v>196</v>
      </c>
      <c r="AB14">
        <v>214.808080808081</v>
      </c>
      <c r="AC14">
        <v>203.037775010378</v>
      </c>
      <c r="AD14">
        <v>201.09482979496701</v>
      </c>
      <c r="AE14">
        <v>161.645604811266</v>
      </c>
    </row>
    <row r="15" spans="1:31" x14ac:dyDescent="0.3">
      <c r="A15" t="s">
        <v>294</v>
      </c>
      <c r="B15" t="s">
        <v>148</v>
      </c>
      <c r="C15" t="s">
        <v>0</v>
      </c>
      <c r="D15" t="s">
        <v>149</v>
      </c>
      <c r="E15" t="s">
        <v>123</v>
      </c>
      <c r="F15">
        <v>42.829125888489997</v>
      </c>
      <c r="G15">
        <v>34.501240299061401</v>
      </c>
      <c r="H15">
        <v>35.6909382404084</v>
      </c>
      <c r="I15">
        <v>66.623084715428902</v>
      </c>
      <c r="J15">
        <v>118.96979413469499</v>
      </c>
      <c r="K15">
        <v>127.381799780582</v>
      </c>
      <c r="L15">
        <v>141.802380887818</v>
      </c>
      <c r="M15">
        <v>180.585938053717</v>
      </c>
      <c r="N15">
        <v>208.84088074239301</v>
      </c>
      <c r="O15">
        <v>180.078364232962</v>
      </c>
      <c r="P15">
        <v>206.14233800352201</v>
      </c>
      <c r="Q15">
        <v>281.53153590195302</v>
      </c>
      <c r="R15">
        <v>289.54259586664301</v>
      </c>
      <c r="S15">
        <v>334.60759133226799</v>
      </c>
      <c r="T15">
        <v>357.57085740409099</v>
      </c>
      <c r="U15">
        <v>390.27550899592802</v>
      </c>
      <c r="V15">
        <v>432.55535580382002</v>
      </c>
      <c r="W15">
        <v>393.23214163983698</v>
      </c>
      <c r="X15">
        <v>329.60572084400098</v>
      </c>
      <c r="Y15">
        <v>289.56016597510398</v>
      </c>
      <c r="Z15">
        <v>244</v>
      </c>
      <c r="AA15">
        <v>215</v>
      </c>
      <c r="AB15">
        <v>244.72350230414699</v>
      </c>
      <c r="AC15">
        <v>235.878074510022</v>
      </c>
      <c r="AD15">
        <v>238.80218287171601</v>
      </c>
      <c r="AE15">
        <v>193.36209139410201</v>
      </c>
    </row>
    <row r="16" spans="1:31" x14ac:dyDescent="0.3">
      <c r="A16" t="s">
        <v>294</v>
      </c>
      <c r="B16" t="s">
        <v>150</v>
      </c>
      <c r="C16" t="s">
        <v>0</v>
      </c>
      <c r="D16" t="s">
        <v>151</v>
      </c>
      <c r="E16" t="s">
        <v>123</v>
      </c>
      <c r="F16">
        <v>19.090909090909101</v>
      </c>
      <c r="G16">
        <v>19.090909090909101</v>
      </c>
      <c r="H16">
        <v>16.969696969697001</v>
      </c>
      <c r="I16">
        <v>19.090909090909101</v>
      </c>
      <c r="J16">
        <v>20.151515151515198</v>
      </c>
      <c r="K16">
        <v>16.969696969697001</v>
      </c>
      <c r="L16">
        <v>14.848484848484899</v>
      </c>
      <c r="M16">
        <v>6.3636363636363598</v>
      </c>
      <c r="N16">
        <v>21.2121212121212</v>
      </c>
      <c r="O16">
        <v>14.8484848484848</v>
      </c>
      <c r="P16">
        <v>18.030303030302999</v>
      </c>
      <c r="Q16">
        <v>23.3333333333333</v>
      </c>
      <c r="R16">
        <v>23.3333333333333</v>
      </c>
      <c r="S16">
        <v>36.060606060606098</v>
      </c>
      <c r="T16">
        <v>43.272727272727302</v>
      </c>
      <c r="U16">
        <v>36.060606060606098</v>
      </c>
      <c r="V16">
        <v>34</v>
      </c>
      <c r="W16">
        <v>31</v>
      </c>
      <c r="X16">
        <v>18</v>
      </c>
      <c r="Y16">
        <v>28</v>
      </c>
      <c r="Z16">
        <v>19</v>
      </c>
      <c r="AA16">
        <v>19</v>
      </c>
      <c r="AB16">
        <v>30</v>
      </c>
      <c r="AC16">
        <v>33</v>
      </c>
      <c r="AD16">
        <v>38</v>
      </c>
      <c r="AE16">
        <v>32</v>
      </c>
    </row>
    <row r="17" spans="1:31" x14ac:dyDescent="0.3">
      <c r="A17" t="s">
        <v>294</v>
      </c>
      <c r="B17" t="s">
        <v>152</v>
      </c>
      <c r="C17" t="s">
        <v>0</v>
      </c>
      <c r="D17" t="s">
        <v>153</v>
      </c>
      <c r="E17" t="s">
        <v>123</v>
      </c>
      <c r="F17">
        <v>38.2585787313593</v>
      </c>
      <c r="G17">
        <v>33.321987927312897</v>
      </c>
      <c r="H17">
        <v>54.302498844509898</v>
      </c>
      <c r="I17">
        <v>43.195169535405597</v>
      </c>
      <c r="J17">
        <v>41.961021834394003</v>
      </c>
      <c r="K17">
        <v>54.302498844509898</v>
      </c>
      <c r="L17">
        <v>54.302498844509898</v>
      </c>
      <c r="M17">
        <v>28.3853971232665</v>
      </c>
      <c r="N17">
        <v>69.112271256648995</v>
      </c>
      <c r="O17">
        <v>75.283009761706893</v>
      </c>
      <c r="P17">
        <v>77.672946579538902</v>
      </c>
      <c r="Q17">
        <v>65.723262490379099</v>
      </c>
      <c r="R17">
        <v>91.543115611599404</v>
      </c>
      <c r="S17">
        <v>90.384341996262705</v>
      </c>
      <c r="T17">
        <v>135.01858495738</v>
      </c>
      <c r="U17">
        <v>137.250297105436</v>
      </c>
      <c r="V17">
        <v>121.62831206904499</v>
      </c>
      <c r="W17">
        <v>123.800246213135</v>
      </c>
      <c r="X17">
        <v>143.90455970073799</v>
      </c>
      <c r="Y17">
        <v>162.53968253968301</v>
      </c>
      <c r="Z17">
        <v>192</v>
      </c>
      <c r="AA17">
        <v>151</v>
      </c>
      <c r="AB17">
        <v>165.90131578947401</v>
      </c>
      <c r="AC17">
        <v>206.88869969040201</v>
      </c>
      <c r="AD17">
        <v>171.284597883217</v>
      </c>
      <c r="AE17">
        <v>201.905308119323</v>
      </c>
    </row>
    <row r="18" spans="1:31" x14ac:dyDescent="0.3">
      <c r="A18" t="s">
        <v>294</v>
      </c>
      <c r="B18" t="s">
        <v>154</v>
      </c>
      <c r="C18" t="s">
        <v>0</v>
      </c>
      <c r="D18" t="s">
        <v>155</v>
      </c>
      <c r="E18" t="s">
        <v>123</v>
      </c>
      <c r="F18">
        <v>8</v>
      </c>
      <c r="G18">
        <v>6</v>
      </c>
      <c r="H18">
        <v>7</v>
      </c>
      <c r="I18">
        <v>24</v>
      </c>
      <c r="J18">
        <v>11</v>
      </c>
      <c r="K18">
        <v>10</v>
      </c>
      <c r="L18">
        <v>12</v>
      </c>
      <c r="M18">
        <v>4</v>
      </c>
      <c r="N18">
        <v>10</v>
      </c>
      <c r="O18">
        <v>9</v>
      </c>
      <c r="P18">
        <v>8</v>
      </c>
      <c r="Q18">
        <v>6</v>
      </c>
      <c r="R18">
        <v>8</v>
      </c>
      <c r="S18">
        <v>8</v>
      </c>
      <c r="T18">
        <v>10</v>
      </c>
      <c r="U18">
        <v>9</v>
      </c>
      <c r="V18">
        <v>13</v>
      </c>
      <c r="W18">
        <v>19</v>
      </c>
      <c r="X18">
        <v>15</v>
      </c>
      <c r="Y18">
        <v>13</v>
      </c>
      <c r="Z18">
        <v>12</v>
      </c>
      <c r="AA18">
        <v>17</v>
      </c>
      <c r="AB18">
        <v>18</v>
      </c>
      <c r="AC18">
        <v>17</v>
      </c>
      <c r="AD18">
        <v>17</v>
      </c>
      <c r="AE18">
        <v>15</v>
      </c>
    </row>
    <row r="19" spans="1:31" x14ac:dyDescent="0.3">
      <c r="A19" t="s">
        <v>294</v>
      </c>
      <c r="B19" t="s">
        <v>156</v>
      </c>
      <c r="C19" t="s">
        <v>0</v>
      </c>
      <c r="D19" t="s">
        <v>157</v>
      </c>
      <c r="E19" t="s">
        <v>123</v>
      </c>
      <c r="F19">
        <v>14</v>
      </c>
      <c r="G19">
        <v>12</v>
      </c>
      <c r="H19">
        <v>16</v>
      </c>
      <c r="I19">
        <v>15</v>
      </c>
      <c r="J19">
        <v>19</v>
      </c>
      <c r="K19">
        <v>19</v>
      </c>
      <c r="L19">
        <v>22</v>
      </c>
      <c r="M19">
        <v>13</v>
      </c>
      <c r="N19">
        <v>19</v>
      </c>
      <c r="O19">
        <v>19</v>
      </c>
      <c r="P19">
        <v>20</v>
      </c>
      <c r="Q19">
        <v>14</v>
      </c>
      <c r="R19">
        <v>21</v>
      </c>
      <c r="S19">
        <v>13</v>
      </c>
      <c r="T19">
        <v>16</v>
      </c>
      <c r="U19">
        <v>24</v>
      </c>
      <c r="V19">
        <v>18</v>
      </c>
      <c r="W19">
        <v>24</v>
      </c>
      <c r="X19">
        <v>28</v>
      </c>
      <c r="Y19">
        <v>23</v>
      </c>
      <c r="Z19">
        <v>27</v>
      </c>
      <c r="AA19">
        <v>26</v>
      </c>
      <c r="AB19">
        <v>22</v>
      </c>
      <c r="AC19">
        <v>34</v>
      </c>
      <c r="AD19">
        <v>49</v>
      </c>
      <c r="AE19">
        <v>56</v>
      </c>
    </row>
    <row r="20" spans="1:31" x14ac:dyDescent="0.3">
      <c r="A20" t="s">
        <v>294</v>
      </c>
      <c r="B20" t="s">
        <v>158</v>
      </c>
      <c r="C20" t="s">
        <v>0</v>
      </c>
      <c r="D20" t="s">
        <v>159</v>
      </c>
      <c r="E20" t="s">
        <v>123</v>
      </c>
      <c r="F20">
        <v>16.902204972504599</v>
      </c>
      <c r="G20">
        <v>15.694904617325699</v>
      </c>
      <c r="H20">
        <v>18.1095053276835</v>
      </c>
      <c r="I20">
        <v>27.767908169114701</v>
      </c>
      <c r="J20">
        <v>31.389809234651398</v>
      </c>
      <c r="K20">
        <v>32.597109589830303</v>
      </c>
      <c r="L20">
        <v>36.219010655367001</v>
      </c>
      <c r="M20">
        <v>36.219010655367001</v>
      </c>
      <c r="N20">
        <v>28.975208524293599</v>
      </c>
      <c r="O20">
        <v>32.597109589830303</v>
      </c>
      <c r="P20">
        <v>57.044941782202997</v>
      </c>
      <c r="Q20">
        <v>48.895664384745402</v>
      </c>
      <c r="R20">
        <v>50.032772858809203</v>
      </c>
      <c r="S20">
        <v>53.368291049396497</v>
      </c>
      <c r="T20">
        <v>64.259779018661106</v>
      </c>
      <c r="U20">
        <v>60.992332627881702</v>
      </c>
      <c r="V20">
        <v>75.151266987925695</v>
      </c>
      <c r="W20">
        <v>78.372035573122503</v>
      </c>
      <c r="X20">
        <v>96.136363636363598</v>
      </c>
      <c r="Y20">
        <v>90</v>
      </c>
      <c r="Z20">
        <v>90</v>
      </c>
      <c r="AA20">
        <v>98</v>
      </c>
      <c r="AB20">
        <v>93.050505050504995</v>
      </c>
      <c r="AC20">
        <v>114.59904306220101</v>
      </c>
      <c r="AD20">
        <v>114.59904306220101</v>
      </c>
      <c r="AE20">
        <v>114.59904306220101</v>
      </c>
    </row>
    <row r="21" spans="1:31" x14ac:dyDescent="0.3">
      <c r="A21" t="s">
        <v>294</v>
      </c>
      <c r="B21" t="s">
        <v>160</v>
      </c>
      <c r="C21" t="s">
        <v>0</v>
      </c>
      <c r="D21" t="s">
        <v>161</v>
      </c>
      <c r="E21" t="s">
        <v>123</v>
      </c>
      <c r="F21">
        <v>16.702214205056698</v>
      </c>
      <c r="G21">
        <v>15.5091989046955</v>
      </c>
      <c r="H21">
        <v>17.895229505417898</v>
      </c>
      <c r="I21">
        <v>27.439351908307401</v>
      </c>
      <c r="J21">
        <v>32.211413109752201</v>
      </c>
      <c r="K21">
        <v>33.404428410113297</v>
      </c>
      <c r="L21">
        <v>38.176489611558097</v>
      </c>
      <c r="M21">
        <v>36.9834743111969</v>
      </c>
      <c r="N21">
        <v>32.211413109752101</v>
      </c>
      <c r="O21">
        <v>34.597443710474501</v>
      </c>
      <c r="P21">
        <v>59.968902431489198</v>
      </c>
      <c r="Q21">
        <v>50.742917442029302</v>
      </c>
      <c r="R21">
        <v>54.125778604831297</v>
      </c>
      <c r="S21">
        <v>56.334994058089698</v>
      </c>
      <c r="T21">
        <v>67.168646761568496</v>
      </c>
      <c r="U21">
        <v>68.252012031916394</v>
      </c>
      <c r="V21">
        <v>78.002299465047301</v>
      </c>
      <c r="W21">
        <v>81.207873415665603</v>
      </c>
      <c r="X21">
        <v>102.03040506070801</v>
      </c>
      <c r="Y21">
        <v>101.010101010101</v>
      </c>
      <c r="Z21">
        <v>100</v>
      </c>
      <c r="AA21">
        <v>107</v>
      </c>
      <c r="AB21">
        <v>104.027777777778</v>
      </c>
      <c r="AC21">
        <v>124.63705450733799</v>
      </c>
      <c r="AD21">
        <v>126.584508484015</v>
      </c>
      <c r="AE21">
        <v>123.68562661033501</v>
      </c>
    </row>
    <row r="22" spans="1:31" x14ac:dyDescent="0.3">
      <c r="A22" t="s">
        <v>294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>
        <v>2</v>
      </c>
      <c r="P22">
        <v>3</v>
      </c>
      <c r="Q22">
        <v>2</v>
      </c>
      <c r="R22">
        <v>4</v>
      </c>
      <c r="S22">
        <v>3</v>
      </c>
      <c r="T22">
        <v>3</v>
      </c>
      <c r="U22">
        <v>7</v>
      </c>
      <c r="V22">
        <v>3</v>
      </c>
      <c r="W22">
        <v>3</v>
      </c>
      <c r="X22">
        <v>6</v>
      </c>
      <c r="Y22">
        <v>11</v>
      </c>
      <c r="Z22">
        <v>10</v>
      </c>
      <c r="AA22">
        <v>9</v>
      </c>
      <c r="AB22">
        <v>11</v>
      </c>
      <c r="AC22">
        <v>10</v>
      </c>
      <c r="AD22">
        <v>12</v>
      </c>
      <c r="AE22">
        <v>9</v>
      </c>
    </row>
    <row r="23" spans="1:31" x14ac:dyDescent="0.3">
      <c r="A23" t="s">
        <v>294</v>
      </c>
      <c r="B23" t="s">
        <v>164</v>
      </c>
      <c r="C23" t="s">
        <v>0</v>
      </c>
      <c r="D23" t="s">
        <v>165</v>
      </c>
      <c r="E23" t="s">
        <v>123</v>
      </c>
      <c r="F23">
        <v>20.4486412451799</v>
      </c>
      <c r="G23">
        <v>19.312605620447702</v>
      </c>
      <c r="H23">
        <v>21.584676869912101</v>
      </c>
      <c r="I23">
        <v>28.4008906183054</v>
      </c>
      <c r="J23">
        <v>30.672961867769899</v>
      </c>
      <c r="K23">
        <v>34.081068741966497</v>
      </c>
      <c r="L23">
        <v>35.217104366698699</v>
      </c>
      <c r="M23">
        <v>37.489175616163202</v>
      </c>
      <c r="N23">
        <v>42.033318115092001</v>
      </c>
      <c r="O23">
        <v>39.761246865627598</v>
      </c>
      <c r="P23">
        <v>46.3881213432322</v>
      </c>
      <c r="Q23">
        <v>47.492600422833</v>
      </c>
      <c r="R23">
        <v>28.063809340764902</v>
      </c>
      <c r="S23">
        <v>62.603882375552601</v>
      </c>
      <c r="T23">
        <v>38.605727464924101</v>
      </c>
      <c r="U23">
        <v>44.866115702479298</v>
      </c>
      <c r="V23">
        <v>34.432135306553903</v>
      </c>
      <c r="W23">
        <v>57.3868921775898</v>
      </c>
      <c r="X23">
        <v>50.213530655391097</v>
      </c>
      <c r="Y23">
        <v>78.906976744185997</v>
      </c>
      <c r="Z23">
        <v>87</v>
      </c>
      <c r="AA23">
        <v>91</v>
      </c>
      <c r="AB23">
        <v>130.565217391304</v>
      </c>
      <c r="AC23">
        <v>92.279176201373005</v>
      </c>
      <c r="AD23">
        <v>111.706371191136</v>
      </c>
      <c r="AE23">
        <v>101.113525647149</v>
      </c>
    </row>
    <row r="24" spans="1:31" x14ac:dyDescent="0.3">
      <c r="A24" t="s">
        <v>294</v>
      </c>
      <c r="B24" t="s">
        <v>166</v>
      </c>
      <c r="C24" t="s">
        <v>0</v>
      </c>
      <c r="D24" t="s">
        <v>167</v>
      </c>
      <c r="E24" t="s">
        <v>123</v>
      </c>
      <c r="F24">
        <v>41.036709237579203</v>
      </c>
      <c r="G24">
        <v>44.554141457943103</v>
      </c>
      <c r="H24">
        <v>56.278915525822804</v>
      </c>
      <c r="I24">
        <v>84.418373288734202</v>
      </c>
      <c r="J24">
        <v>107.867921424494</v>
      </c>
      <c r="K24">
        <v>141.05805109356899</v>
      </c>
      <c r="L24">
        <v>176.618904310435</v>
      </c>
      <c r="M24">
        <v>209.05911122459599</v>
      </c>
      <c r="N24">
        <v>314.19995078784399</v>
      </c>
      <c r="O24">
        <v>280.53567034628901</v>
      </c>
      <c r="P24">
        <v>278.137929574098</v>
      </c>
      <c r="Q24">
        <v>238.74500392626501</v>
      </c>
      <c r="R24">
        <v>236.42709126678599</v>
      </c>
      <c r="S24">
        <v>275.07382733924197</v>
      </c>
      <c r="T24">
        <v>261.87028362695798</v>
      </c>
      <c r="U24">
        <v>244.33921861427501</v>
      </c>
      <c r="V24">
        <v>267.246020359363</v>
      </c>
      <c r="W24">
        <v>350.62677871148497</v>
      </c>
      <c r="X24">
        <v>394.45512605042001</v>
      </c>
      <c r="Y24">
        <v>436.57142857142901</v>
      </c>
      <c r="Z24">
        <v>382</v>
      </c>
      <c r="AA24">
        <v>360</v>
      </c>
      <c r="AB24">
        <v>371.90082644628097</v>
      </c>
      <c r="AC24">
        <v>409.189035958045</v>
      </c>
      <c r="AD24">
        <v>398.52297103970801</v>
      </c>
      <c r="AE24">
        <v>449.54161225976702</v>
      </c>
    </row>
    <row r="25" spans="1:31" x14ac:dyDescent="0.3">
      <c r="A25" t="s">
        <v>294</v>
      </c>
      <c r="B25" t="s">
        <v>168</v>
      </c>
      <c r="C25" t="s">
        <v>0</v>
      </c>
      <c r="D25" t="s">
        <v>169</v>
      </c>
      <c r="E25" t="s">
        <v>123</v>
      </c>
      <c r="F25">
        <v>5.84608843537415</v>
      </c>
      <c r="G25">
        <v>5.84608843537415</v>
      </c>
      <c r="H25">
        <v>7.0153061224489797</v>
      </c>
      <c r="I25">
        <v>11.6921768707483</v>
      </c>
      <c r="J25">
        <v>14.030612244898</v>
      </c>
      <c r="K25">
        <v>11.6921768707483</v>
      </c>
      <c r="L25">
        <v>15.199829931972801</v>
      </c>
      <c r="M25">
        <v>15.199829931972801</v>
      </c>
      <c r="N25">
        <v>18.707482993197299</v>
      </c>
      <c r="O25">
        <v>16.369047619047599</v>
      </c>
      <c r="P25">
        <v>15.2777777777778</v>
      </c>
      <c r="Q25">
        <v>15.2777777777778</v>
      </c>
      <c r="R25">
        <v>19.6428571428571</v>
      </c>
      <c r="S25">
        <v>22.9166666666667</v>
      </c>
      <c r="T25">
        <v>21.875</v>
      </c>
      <c r="U25">
        <v>22.9166666666667</v>
      </c>
      <c r="V25">
        <v>16.6666666666667</v>
      </c>
      <c r="W25">
        <v>25</v>
      </c>
      <c r="X25">
        <v>23</v>
      </c>
      <c r="Y25">
        <v>27</v>
      </c>
      <c r="Z25">
        <v>23</v>
      </c>
      <c r="AA25">
        <v>27</v>
      </c>
      <c r="AB25">
        <v>27</v>
      </c>
      <c r="AC25">
        <v>43</v>
      </c>
      <c r="AD25">
        <v>38.113636363636402</v>
      </c>
      <c r="AE25">
        <v>43</v>
      </c>
    </row>
    <row r="26" spans="1:31" x14ac:dyDescent="0.3">
      <c r="A26" t="s">
        <v>294</v>
      </c>
      <c r="B26" t="s">
        <v>170</v>
      </c>
      <c r="C26" t="s">
        <v>0</v>
      </c>
      <c r="D26" t="s">
        <v>171</v>
      </c>
      <c r="E26" t="s">
        <v>123</v>
      </c>
      <c r="F26">
        <v>28.216617787396</v>
      </c>
      <c r="G26">
        <v>30.5680026030123</v>
      </c>
      <c r="H26">
        <v>38.7978494576695</v>
      </c>
      <c r="I26">
        <v>57.6089279826002</v>
      </c>
      <c r="J26">
        <v>75.2443140997227</v>
      </c>
      <c r="K26">
        <v>103.908814709141</v>
      </c>
      <c r="L26">
        <v>130.18460693444101</v>
      </c>
      <c r="M26">
        <v>156.951535463017</v>
      </c>
      <c r="N26">
        <v>247.16777238270501</v>
      </c>
      <c r="O26">
        <v>216.902330866455</v>
      </c>
      <c r="P26">
        <v>208.37246392226899</v>
      </c>
      <c r="Q26">
        <v>170.81696170372001</v>
      </c>
      <c r="R26">
        <v>155.60723223695101</v>
      </c>
      <c r="S26">
        <v>185.355673694015</v>
      </c>
      <c r="T26">
        <v>186.465587907751</v>
      </c>
      <c r="U26">
        <v>156.67522770947099</v>
      </c>
      <c r="V26">
        <v>191.73541852557699</v>
      </c>
      <c r="W26">
        <v>237.79476487529701</v>
      </c>
      <c r="X26">
        <v>256.650737420474</v>
      </c>
      <c r="Y26">
        <v>267.98872180451099</v>
      </c>
      <c r="Z26">
        <v>269</v>
      </c>
      <c r="AA26">
        <v>232</v>
      </c>
      <c r="AB26">
        <v>261.74358974359001</v>
      </c>
      <c r="AC26">
        <v>266.64515509459301</v>
      </c>
      <c r="AD26">
        <v>241.435067703832</v>
      </c>
      <c r="AE26">
        <v>287.60591730456503</v>
      </c>
    </row>
    <row r="27" spans="1:31" x14ac:dyDescent="0.3">
      <c r="A27" t="s">
        <v>294</v>
      </c>
      <c r="B27" t="s">
        <v>172</v>
      </c>
      <c r="C27" t="s">
        <v>0</v>
      </c>
      <c r="D27" t="s">
        <v>173</v>
      </c>
      <c r="E27" t="s">
        <v>123</v>
      </c>
      <c r="F27">
        <v>6.9961729120552603</v>
      </c>
      <c r="G27">
        <v>8.1622017307311303</v>
      </c>
      <c r="H27">
        <v>10.494259368082901</v>
      </c>
      <c r="I27">
        <v>15.1583746427864</v>
      </c>
      <c r="J27">
        <v>18.656461098813999</v>
      </c>
      <c r="K27">
        <v>25.652634010869299</v>
      </c>
      <c r="L27">
        <v>31.482778104248698</v>
      </c>
      <c r="M27">
        <v>37.312922197627998</v>
      </c>
      <c r="N27">
        <v>49.349348712991898</v>
      </c>
      <c r="O27">
        <v>48.1156149951671</v>
      </c>
      <c r="P27">
        <v>55.156924506655002</v>
      </c>
      <c r="Q27">
        <v>52.809821336158997</v>
      </c>
      <c r="R27">
        <v>60.846098496009297</v>
      </c>
      <c r="S27">
        <v>66.479996504899106</v>
      </c>
      <c r="T27">
        <v>53.401964405574702</v>
      </c>
      <c r="U27">
        <v>64.300324488344998</v>
      </c>
      <c r="V27">
        <v>58.8511444469599</v>
      </c>
      <c r="W27">
        <v>87.741706266376497</v>
      </c>
      <c r="X27">
        <v>114.89985344406399</v>
      </c>
      <c r="Y27">
        <v>141.57303370786499</v>
      </c>
      <c r="Z27">
        <v>90</v>
      </c>
      <c r="AA27">
        <v>101</v>
      </c>
      <c r="AB27">
        <v>83.176470588235304</v>
      </c>
      <c r="AC27">
        <v>99.811764705882297</v>
      </c>
      <c r="AD27">
        <v>119.192689891491</v>
      </c>
      <c r="AE27">
        <v>119.192689891491</v>
      </c>
    </row>
    <row r="28" spans="1:31" x14ac:dyDescent="0.3">
      <c r="A28" t="s">
        <v>294</v>
      </c>
      <c r="B28" t="s">
        <v>174</v>
      </c>
      <c r="C28" t="s">
        <v>0</v>
      </c>
      <c r="D28" t="s">
        <v>175</v>
      </c>
      <c r="E28" t="s">
        <v>123</v>
      </c>
      <c r="F28">
        <v>62.819861984490998</v>
      </c>
      <c r="G28">
        <v>70.963177426925</v>
      </c>
      <c r="H28">
        <v>83.759815979321303</v>
      </c>
      <c r="I28">
        <v>103.53643919666099</v>
      </c>
      <c r="J28">
        <v>115.16974697156699</v>
      </c>
      <c r="K28">
        <v>110.51642386160501</v>
      </c>
      <c r="L28">
        <v>104.69976997415201</v>
      </c>
      <c r="M28">
        <v>90.739800644264804</v>
      </c>
      <c r="N28">
        <v>89.576469866774204</v>
      </c>
      <c r="O28">
        <v>112.84308541658601</v>
      </c>
      <c r="P28">
        <v>99.435986159169602</v>
      </c>
      <c r="Q28">
        <v>100.55324443062101</v>
      </c>
      <c r="R28">
        <v>90.716513997190603</v>
      </c>
      <c r="S28">
        <v>85.251663756395999</v>
      </c>
      <c r="T28">
        <v>133.66618885262099</v>
      </c>
      <c r="U28">
        <v>90.514112136420493</v>
      </c>
      <c r="V28">
        <v>96.829050192449799</v>
      </c>
      <c r="W28">
        <v>106.19960343688</v>
      </c>
      <c r="X28">
        <v>90.882352941176507</v>
      </c>
      <c r="Y28">
        <v>103</v>
      </c>
      <c r="Z28">
        <v>105</v>
      </c>
      <c r="AA28">
        <v>119</v>
      </c>
      <c r="AB28">
        <v>143</v>
      </c>
      <c r="AC28">
        <v>147</v>
      </c>
      <c r="AD28">
        <v>153.95270270270299</v>
      </c>
      <c r="AE28">
        <v>162.89189189189199</v>
      </c>
    </row>
    <row r="29" spans="1:31" x14ac:dyDescent="0.3">
      <c r="A29" t="s">
        <v>294</v>
      </c>
      <c r="B29" t="s">
        <v>176</v>
      </c>
      <c r="C29" t="s">
        <v>0</v>
      </c>
      <c r="D29" t="s">
        <v>177</v>
      </c>
      <c r="E29" t="s">
        <v>123</v>
      </c>
      <c r="F29">
        <v>11</v>
      </c>
      <c r="G29">
        <v>8</v>
      </c>
      <c r="H29">
        <v>11</v>
      </c>
      <c r="I29">
        <v>9</v>
      </c>
      <c r="J29">
        <v>10</v>
      </c>
      <c r="K29">
        <v>10</v>
      </c>
      <c r="L29">
        <v>13</v>
      </c>
      <c r="M29">
        <v>13</v>
      </c>
      <c r="N29">
        <v>12</v>
      </c>
      <c r="O29">
        <v>16</v>
      </c>
      <c r="P29">
        <v>13</v>
      </c>
      <c r="Q29">
        <v>18</v>
      </c>
      <c r="R29">
        <v>18</v>
      </c>
      <c r="S29">
        <v>11</v>
      </c>
      <c r="T29">
        <v>45</v>
      </c>
      <c r="U29">
        <v>20</v>
      </c>
      <c r="V29">
        <v>9</v>
      </c>
      <c r="W29">
        <v>11</v>
      </c>
      <c r="X29">
        <v>12</v>
      </c>
      <c r="Y29">
        <v>25</v>
      </c>
      <c r="Z29">
        <v>17</v>
      </c>
      <c r="AA29">
        <v>19</v>
      </c>
      <c r="AB29">
        <v>44</v>
      </c>
      <c r="AC29">
        <v>35</v>
      </c>
      <c r="AD29">
        <v>34</v>
      </c>
      <c r="AE29">
        <v>31</v>
      </c>
    </row>
    <row r="30" spans="1:31" x14ac:dyDescent="0.3">
      <c r="A30" t="s">
        <v>294</v>
      </c>
      <c r="B30" t="s">
        <v>178</v>
      </c>
      <c r="C30" t="s">
        <v>0</v>
      </c>
      <c r="D30" t="s">
        <v>179</v>
      </c>
      <c r="E30" t="s">
        <v>123</v>
      </c>
      <c r="F30">
        <v>2</v>
      </c>
      <c r="G30">
        <v>2</v>
      </c>
      <c r="H30">
        <v>3</v>
      </c>
      <c r="I30">
        <v>3</v>
      </c>
      <c r="J30">
        <v>4</v>
      </c>
      <c r="K30">
        <v>4</v>
      </c>
      <c r="L30">
        <v>5</v>
      </c>
      <c r="M30">
        <v>5</v>
      </c>
      <c r="N30">
        <v>5</v>
      </c>
      <c r="O30">
        <v>5</v>
      </c>
      <c r="P30">
        <v>7</v>
      </c>
      <c r="Q30">
        <v>5</v>
      </c>
      <c r="R30">
        <v>6</v>
      </c>
      <c r="S30">
        <v>7</v>
      </c>
      <c r="T30">
        <v>7</v>
      </c>
      <c r="U30">
        <v>6</v>
      </c>
      <c r="V30">
        <v>4</v>
      </c>
      <c r="W30">
        <v>4</v>
      </c>
      <c r="X30">
        <v>4</v>
      </c>
      <c r="Y30">
        <v>4</v>
      </c>
      <c r="Z30">
        <v>6</v>
      </c>
      <c r="AA30">
        <v>5</v>
      </c>
      <c r="AB30">
        <v>5</v>
      </c>
      <c r="AC30">
        <v>6</v>
      </c>
      <c r="AD30">
        <v>5</v>
      </c>
      <c r="AE30">
        <v>5</v>
      </c>
    </row>
    <row r="31" spans="1:31" x14ac:dyDescent="0.3">
      <c r="A31" t="s">
        <v>294</v>
      </c>
      <c r="B31" t="s">
        <v>180</v>
      </c>
      <c r="C31" t="s">
        <v>0</v>
      </c>
      <c r="D31" t="s">
        <v>181</v>
      </c>
      <c r="E31" t="s">
        <v>123</v>
      </c>
      <c r="F31">
        <v>18.126545241752599</v>
      </c>
      <c r="G31">
        <v>15.860727086533499</v>
      </c>
      <c r="H31">
        <v>18.126545241752599</v>
      </c>
      <c r="I31">
        <v>23.791090629800301</v>
      </c>
      <c r="J31">
        <v>26.056908785019399</v>
      </c>
      <c r="K31">
        <v>29.455636017848001</v>
      </c>
      <c r="L31">
        <v>32.854363250676599</v>
      </c>
      <c r="M31">
        <v>31.721454173067102</v>
      </c>
      <c r="N31">
        <v>30.588545095457501</v>
      </c>
      <c r="O31">
        <v>47.582181259600603</v>
      </c>
      <c r="P31">
        <v>36.768049155145903</v>
      </c>
      <c r="Q31">
        <v>33.523809523809497</v>
      </c>
      <c r="R31">
        <v>28.285714285714299</v>
      </c>
      <c r="S31">
        <v>22</v>
      </c>
      <c r="T31">
        <v>23</v>
      </c>
      <c r="U31">
        <v>14</v>
      </c>
      <c r="V31">
        <v>15</v>
      </c>
      <c r="W31">
        <v>18</v>
      </c>
      <c r="X31">
        <v>18</v>
      </c>
      <c r="Y31">
        <v>16</v>
      </c>
      <c r="Z31">
        <v>30</v>
      </c>
      <c r="AA31">
        <v>42</v>
      </c>
      <c r="AB31">
        <v>34</v>
      </c>
      <c r="AC31">
        <v>44</v>
      </c>
      <c r="AD31">
        <v>42.044444444444402</v>
      </c>
      <c r="AE31">
        <v>26.4</v>
      </c>
    </row>
    <row r="32" spans="1:31" x14ac:dyDescent="0.3">
      <c r="A32" t="s">
        <v>294</v>
      </c>
      <c r="B32" t="s">
        <v>182</v>
      </c>
      <c r="C32" t="s">
        <v>0</v>
      </c>
      <c r="D32" t="s">
        <v>183</v>
      </c>
      <c r="E32" t="s">
        <v>123</v>
      </c>
      <c r="F32">
        <v>9.2951424220774097</v>
      </c>
      <c r="G32">
        <v>8.1332496193177306</v>
      </c>
      <c r="H32">
        <v>9.2951424220774097</v>
      </c>
      <c r="I32">
        <v>15.1046064358758</v>
      </c>
      <c r="J32">
        <v>17.428392041395099</v>
      </c>
      <c r="K32">
        <v>19.7521776469145</v>
      </c>
      <c r="L32">
        <v>19.7521776469145</v>
      </c>
      <c r="M32">
        <v>22.075963252433802</v>
      </c>
      <c r="N32">
        <v>17.428392041395099</v>
      </c>
      <c r="O32">
        <v>22.075963252433802</v>
      </c>
      <c r="P32">
        <v>20.972165089812101</v>
      </c>
      <c r="Q32">
        <v>20.972165089812101</v>
      </c>
      <c r="R32">
        <v>19.8683669271905</v>
      </c>
      <c r="S32">
        <v>24.283559577677199</v>
      </c>
      <c r="T32">
        <v>31.674208144796399</v>
      </c>
      <c r="U32">
        <v>25.339366515837099</v>
      </c>
      <c r="V32">
        <v>41.176470588235297</v>
      </c>
      <c r="W32">
        <v>35</v>
      </c>
      <c r="X32">
        <v>24</v>
      </c>
      <c r="Y32">
        <v>27</v>
      </c>
      <c r="Z32">
        <v>26</v>
      </c>
      <c r="AA32">
        <v>37</v>
      </c>
      <c r="AB32">
        <v>51</v>
      </c>
      <c r="AC32">
        <v>39</v>
      </c>
      <c r="AD32">
        <v>57</v>
      </c>
      <c r="AE32">
        <v>73</v>
      </c>
    </row>
    <row r="33" spans="1:31" x14ac:dyDescent="0.3">
      <c r="A33" t="s">
        <v>294</v>
      </c>
      <c r="B33" t="s">
        <v>184</v>
      </c>
      <c r="C33" t="s">
        <v>0</v>
      </c>
      <c r="D33" t="s">
        <v>185</v>
      </c>
      <c r="E33" t="s">
        <v>123</v>
      </c>
      <c r="F33">
        <v>22.304268907562999</v>
      </c>
      <c r="G33">
        <v>39.360474542758297</v>
      </c>
      <c r="H33">
        <v>44.608537815125999</v>
      </c>
      <c r="I33">
        <v>56.416680177953502</v>
      </c>
      <c r="J33">
        <v>61.664743450321303</v>
      </c>
      <c r="K33">
        <v>49.8566010874938</v>
      </c>
      <c r="L33">
        <v>34.112411270390503</v>
      </c>
      <c r="M33">
        <v>17.056205635195301</v>
      </c>
      <c r="N33">
        <v>23.616284725654999</v>
      </c>
      <c r="O33">
        <v>19.680237271379099</v>
      </c>
      <c r="P33">
        <v>19.680237271379099</v>
      </c>
      <c r="Q33">
        <v>20.9102521008403</v>
      </c>
      <c r="R33">
        <v>16.263529411764701</v>
      </c>
      <c r="S33">
        <v>19.748571428571399</v>
      </c>
      <c r="T33">
        <v>24.137142857142901</v>
      </c>
      <c r="U33">
        <v>24.137142857142901</v>
      </c>
      <c r="V33">
        <v>27.428571428571399</v>
      </c>
      <c r="W33">
        <v>38.4</v>
      </c>
      <c r="X33">
        <v>33.066666666666698</v>
      </c>
      <c r="Y33">
        <v>31</v>
      </c>
      <c r="Z33">
        <v>26</v>
      </c>
      <c r="AA33">
        <v>16</v>
      </c>
      <c r="AB33">
        <v>9</v>
      </c>
      <c r="AC33">
        <v>23</v>
      </c>
      <c r="AD33">
        <v>16</v>
      </c>
      <c r="AE33">
        <v>28</v>
      </c>
    </row>
    <row r="34" spans="1:31" x14ac:dyDescent="0.3">
      <c r="A34" t="s">
        <v>294</v>
      </c>
      <c r="B34" t="s">
        <v>186</v>
      </c>
      <c r="C34" t="s">
        <v>0</v>
      </c>
      <c r="D34" t="s">
        <v>187</v>
      </c>
      <c r="E34" t="s">
        <v>123</v>
      </c>
      <c r="F34">
        <v>4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7</v>
      </c>
      <c r="N34">
        <v>10</v>
      </c>
      <c r="O34">
        <v>9</v>
      </c>
      <c r="P34">
        <v>8</v>
      </c>
      <c r="Q34">
        <v>9</v>
      </c>
      <c r="R34">
        <v>12</v>
      </c>
      <c r="S34">
        <v>14</v>
      </c>
      <c r="T34">
        <v>16</v>
      </c>
      <c r="U34">
        <v>22</v>
      </c>
      <c r="V34">
        <v>20</v>
      </c>
      <c r="W34">
        <v>22</v>
      </c>
      <c r="X34">
        <v>23</v>
      </c>
      <c r="Y34">
        <v>20</v>
      </c>
      <c r="Z34">
        <v>21</v>
      </c>
      <c r="AA34">
        <v>24</v>
      </c>
      <c r="AB34">
        <v>25</v>
      </c>
      <c r="AC34">
        <v>26</v>
      </c>
      <c r="AD34">
        <v>36</v>
      </c>
      <c r="AE34">
        <v>28</v>
      </c>
    </row>
    <row r="35" spans="1:31" x14ac:dyDescent="0.3">
      <c r="A35" t="s">
        <v>294</v>
      </c>
      <c r="B35" t="s">
        <v>188</v>
      </c>
      <c r="C35" t="s">
        <v>0</v>
      </c>
      <c r="D35" t="s">
        <v>189</v>
      </c>
      <c r="E35" t="s">
        <v>123</v>
      </c>
      <c r="F35">
        <v>190.55002202118101</v>
      </c>
      <c r="G35">
        <v>182.46608169300899</v>
      </c>
      <c r="H35">
        <v>194.01456787611099</v>
      </c>
      <c r="I35">
        <v>244.82790708175901</v>
      </c>
      <c r="J35">
        <v>289.34207200571598</v>
      </c>
      <c r="K35">
        <v>340.33268305590298</v>
      </c>
      <c r="L35">
        <v>381.83666879442802</v>
      </c>
      <c r="M35">
        <v>359.09404588817699</v>
      </c>
      <c r="N35">
        <v>471.08269748720198</v>
      </c>
      <c r="O35">
        <v>364.18794291226902</v>
      </c>
      <c r="P35">
        <v>502.982696400007</v>
      </c>
      <c r="Q35">
        <v>491.00691791429301</v>
      </c>
      <c r="R35">
        <v>553.83718703128795</v>
      </c>
      <c r="S35">
        <v>484.17931402322898</v>
      </c>
      <c r="T35">
        <v>493.02277181360699</v>
      </c>
      <c r="U35">
        <v>457.80685954120702</v>
      </c>
      <c r="V35">
        <v>420.74630424501402</v>
      </c>
      <c r="W35">
        <v>386.57401557536798</v>
      </c>
      <c r="X35">
        <v>476.66985660377401</v>
      </c>
      <c r="Y35">
        <v>514.762264150943</v>
      </c>
      <c r="Z35">
        <v>536</v>
      </c>
      <c r="AA35">
        <v>563</v>
      </c>
      <c r="AB35">
        <v>549.12323943662</v>
      </c>
      <c r="AC35">
        <v>710.63007456503703</v>
      </c>
      <c r="AD35">
        <v>719.33166731481299</v>
      </c>
      <c r="AE35">
        <v>658.98826512994901</v>
      </c>
    </row>
    <row r="36" spans="1:31" x14ac:dyDescent="0.3">
      <c r="A36" t="s">
        <v>294</v>
      </c>
      <c r="B36" t="s">
        <v>190</v>
      </c>
      <c r="C36" t="s">
        <v>0</v>
      </c>
      <c r="D36" t="s">
        <v>191</v>
      </c>
      <c r="E36" t="s">
        <v>123</v>
      </c>
      <c r="F36">
        <v>41.626697960437198</v>
      </c>
      <c r="G36">
        <v>37.953754022751603</v>
      </c>
      <c r="H36">
        <v>35.505124730961199</v>
      </c>
      <c r="I36">
        <v>40.402383314542</v>
      </c>
      <c r="J36">
        <v>53.869844419389302</v>
      </c>
      <c r="K36">
        <v>51.421215127598899</v>
      </c>
      <c r="L36">
        <v>64.888676232446301</v>
      </c>
      <c r="M36">
        <v>40.402383314542</v>
      </c>
      <c r="N36">
        <v>56.318473711179799</v>
      </c>
      <c r="O36">
        <v>70.085211729468199</v>
      </c>
      <c r="P36">
        <v>68.897326784900898</v>
      </c>
      <c r="Q36">
        <v>61.770017117497403</v>
      </c>
      <c r="R36">
        <v>96.734177750043003</v>
      </c>
      <c r="S36">
        <v>78.308620083368197</v>
      </c>
      <c r="T36">
        <v>110.29383110333499</v>
      </c>
      <c r="U36">
        <v>112.499707725402</v>
      </c>
      <c r="V36">
        <v>108.130787037037</v>
      </c>
      <c r="W36">
        <v>116.695601851852</v>
      </c>
      <c r="X36">
        <v>100.92592592592599</v>
      </c>
      <c r="Y36">
        <v>100.92592592592599</v>
      </c>
      <c r="Z36">
        <v>109</v>
      </c>
      <c r="AA36">
        <v>118</v>
      </c>
      <c r="AB36">
        <v>109.07563025210101</v>
      </c>
      <c r="AC36">
        <v>133.64221364221399</v>
      </c>
      <c r="AD36">
        <v>127.831682614291</v>
      </c>
      <c r="AE36">
        <v>133.59852543899601</v>
      </c>
    </row>
    <row r="37" spans="1:31" x14ac:dyDescent="0.3">
      <c r="A37" t="s">
        <v>294</v>
      </c>
      <c r="B37" t="s">
        <v>192</v>
      </c>
      <c r="C37" t="s">
        <v>0</v>
      </c>
      <c r="D37" t="s">
        <v>193</v>
      </c>
      <c r="E37" t="s">
        <v>123</v>
      </c>
      <c r="F37">
        <v>58.2679522097865</v>
      </c>
      <c r="G37">
        <v>48.373394287369898</v>
      </c>
      <c r="H37">
        <v>53.870370910934703</v>
      </c>
      <c r="I37">
        <v>70.361300781628998</v>
      </c>
      <c r="J37">
        <v>79.296069134851706</v>
      </c>
      <c r="K37">
        <v>107.61609382587</v>
      </c>
      <c r="L37">
        <v>111.014496788792</v>
      </c>
      <c r="M37">
        <v>114.447934833807</v>
      </c>
      <c r="N37">
        <v>200.86780399402801</v>
      </c>
      <c r="O37">
        <v>84.890560021285594</v>
      </c>
      <c r="P37">
        <v>150.279234632276</v>
      </c>
      <c r="Q37">
        <v>133.581541895356</v>
      </c>
      <c r="R37">
        <v>162.37066730383799</v>
      </c>
      <c r="S37">
        <v>84.568055887415795</v>
      </c>
      <c r="T37">
        <v>116.418362650209</v>
      </c>
      <c r="U37">
        <v>99.010009356719493</v>
      </c>
      <c r="V37">
        <v>62.419353724888403</v>
      </c>
      <c r="W37">
        <v>59.245488281249997</v>
      </c>
      <c r="X37">
        <v>74.836406249999996</v>
      </c>
      <c r="Y37">
        <v>82.012500000000003</v>
      </c>
      <c r="Z37">
        <v>81</v>
      </c>
      <c r="AA37">
        <v>93</v>
      </c>
      <c r="AB37">
        <v>116.744680851064</v>
      </c>
      <c r="AC37">
        <v>118.690425531915</v>
      </c>
      <c r="AD37">
        <v>100.356132157066</v>
      </c>
      <c r="AE37">
        <v>85.063769161703803</v>
      </c>
    </row>
    <row r="38" spans="1:31" x14ac:dyDescent="0.3">
      <c r="A38" t="s">
        <v>294</v>
      </c>
      <c r="B38" t="s">
        <v>194</v>
      </c>
      <c r="C38" t="s">
        <v>0</v>
      </c>
      <c r="D38" t="s">
        <v>195</v>
      </c>
      <c r="E38" t="s">
        <v>123</v>
      </c>
      <c r="F38">
        <v>90.811644165683902</v>
      </c>
      <c r="G38">
        <v>96.632903407073897</v>
      </c>
      <c r="H38">
        <v>104.78266634502</v>
      </c>
      <c r="I38">
        <v>133.88896255197</v>
      </c>
      <c r="J38">
        <v>156.40126598991199</v>
      </c>
      <c r="K38">
        <v>180.46299921912899</v>
      </c>
      <c r="L38">
        <v>205.727819109807</v>
      </c>
      <c r="M38">
        <v>203.29317036294501</v>
      </c>
      <c r="N38">
        <v>209.49113287401099</v>
      </c>
      <c r="O38">
        <v>209.49113287401099</v>
      </c>
      <c r="P38">
        <v>282.93342658271598</v>
      </c>
      <c r="Q38">
        <v>294.92213109893203</v>
      </c>
      <c r="R38">
        <v>293.75643097601198</v>
      </c>
      <c r="S38">
        <v>321.188938148869</v>
      </c>
      <c r="T38">
        <v>265.81153501975399</v>
      </c>
      <c r="U38">
        <v>245.958391325332</v>
      </c>
      <c r="V38">
        <v>250.33098494889401</v>
      </c>
      <c r="W38">
        <v>210.74873519201699</v>
      </c>
      <c r="X38">
        <v>300.91983582143803</v>
      </c>
      <c r="Y38">
        <v>331.83625730994203</v>
      </c>
      <c r="Z38">
        <v>346</v>
      </c>
      <c r="AA38">
        <v>352</v>
      </c>
      <c r="AB38">
        <v>323.24507042253498</v>
      </c>
      <c r="AC38">
        <v>458.420281690141</v>
      </c>
      <c r="AD38">
        <v>491.30274915314698</v>
      </c>
      <c r="AE38">
        <v>440.54437545896201</v>
      </c>
    </row>
    <row r="39" spans="1:31" x14ac:dyDescent="0.3">
      <c r="A39" t="s">
        <v>294</v>
      </c>
      <c r="B39" t="s">
        <v>196</v>
      </c>
      <c r="C39" t="s">
        <v>0</v>
      </c>
      <c r="D39" t="s">
        <v>197</v>
      </c>
      <c r="E39" t="s">
        <v>123</v>
      </c>
      <c r="F39">
        <v>230.00408683589299</v>
      </c>
      <c r="G39">
        <v>172.78913986179001</v>
      </c>
      <c r="H39">
        <v>170.50054198282601</v>
      </c>
      <c r="I39">
        <v>192.242221832985</v>
      </c>
      <c r="J39">
        <v>220.03627800160899</v>
      </c>
      <c r="K39">
        <v>237.59236401237601</v>
      </c>
      <c r="L39">
        <v>277.38615897011402</v>
      </c>
      <c r="M39">
        <v>251.41809302397601</v>
      </c>
      <c r="N39">
        <v>321.18962123158599</v>
      </c>
      <c r="O39">
        <v>359.19297336204102</v>
      </c>
      <c r="P39">
        <v>360.37842871967098</v>
      </c>
      <c r="Q39">
        <v>394.75663409095603</v>
      </c>
      <c r="R39">
        <v>475.55477557156098</v>
      </c>
      <c r="S39">
        <v>456.214031110517</v>
      </c>
      <c r="T39">
        <v>417.64521205528001</v>
      </c>
      <c r="U39">
        <v>413.260485419529</v>
      </c>
      <c r="V39">
        <v>400.21015430101698</v>
      </c>
      <c r="W39">
        <v>279.613494471644</v>
      </c>
      <c r="X39">
        <v>280.66073602397199</v>
      </c>
      <c r="Y39">
        <v>372.158192090395</v>
      </c>
      <c r="Z39">
        <v>358</v>
      </c>
      <c r="AA39">
        <v>363</v>
      </c>
      <c r="AB39">
        <v>352.09016393442602</v>
      </c>
      <c r="AC39">
        <v>346.20564865975598</v>
      </c>
      <c r="AD39">
        <v>387.90548869440499</v>
      </c>
      <c r="AE39">
        <v>269.51249834846999</v>
      </c>
    </row>
    <row r="40" spans="1:31" x14ac:dyDescent="0.3">
      <c r="A40" t="s">
        <v>294</v>
      </c>
      <c r="B40" t="s">
        <v>198</v>
      </c>
      <c r="C40" t="s">
        <v>0</v>
      </c>
      <c r="D40" t="s">
        <v>199</v>
      </c>
      <c r="E40" t="s">
        <v>123</v>
      </c>
      <c r="F40">
        <v>3</v>
      </c>
      <c r="G40">
        <v>3</v>
      </c>
      <c r="H40">
        <v>3</v>
      </c>
      <c r="I40">
        <v>3</v>
      </c>
      <c r="J40">
        <v>2</v>
      </c>
      <c r="K40">
        <v>2</v>
      </c>
      <c r="L40">
        <v>3</v>
      </c>
      <c r="M40">
        <v>4</v>
      </c>
      <c r="N40">
        <v>2</v>
      </c>
      <c r="O40">
        <v>2</v>
      </c>
      <c r="P40">
        <v>3</v>
      </c>
      <c r="Q40">
        <v>6</v>
      </c>
      <c r="R40">
        <v>5</v>
      </c>
      <c r="S40">
        <v>11</v>
      </c>
      <c r="T40">
        <v>14</v>
      </c>
      <c r="U40">
        <v>27</v>
      </c>
      <c r="V40">
        <v>17</v>
      </c>
      <c r="W40">
        <v>19</v>
      </c>
      <c r="X40">
        <v>24</v>
      </c>
      <c r="Y40">
        <v>32</v>
      </c>
      <c r="Z40">
        <v>29</v>
      </c>
      <c r="AA40">
        <v>25</v>
      </c>
      <c r="AB40">
        <v>29</v>
      </c>
      <c r="AC40">
        <v>35</v>
      </c>
      <c r="AD40">
        <v>27</v>
      </c>
      <c r="AE40">
        <v>31</v>
      </c>
    </row>
    <row r="41" spans="1:31" x14ac:dyDescent="0.3">
      <c r="A41" t="s">
        <v>294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294</v>
      </c>
      <c r="B42" t="s">
        <v>202</v>
      </c>
      <c r="C42" t="s">
        <v>0</v>
      </c>
      <c r="D42" t="s">
        <v>203</v>
      </c>
      <c r="E42" t="s">
        <v>123</v>
      </c>
      <c r="F42">
        <v>47.3562476805483</v>
      </c>
      <c r="G42">
        <v>39.271034661918101</v>
      </c>
      <c r="H42">
        <v>45.046186818082496</v>
      </c>
      <c r="I42">
        <v>57.751521561644303</v>
      </c>
      <c r="J42">
        <v>70.456856305206003</v>
      </c>
      <c r="K42">
        <v>85.472251911233499</v>
      </c>
      <c r="L42">
        <v>88.937343204932205</v>
      </c>
      <c r="M42">
        <v>90.092373636164993</v>
      </c>
      <c r="N42">
        <v>107.64283603282099</v>
      </c>
      <c r="O42">
        <v>104.094171108662</v>
      </c>
      <c r="P42">
        <v>126.972010912763</v>
      </c>
      <c r="Q42">
        <v>113.245307030302</v>
      </c>
      <c r="R42">
        <v>158.543429842423</v>
      </c>
      <c r="S42">
        <v>169.787644724865</v>
      </c>
      <c r="T42">
        <v>132.78264523354801</v>
      </c>
      <c r="U42">
        <v>150.196762641226</v>
      </c>
      <c r="V42">
        <v>163.25735069698499</v>
      </c>
      <c r="W42">
        <v>143.11521002657801</v>
      </c>
      <c r="X42">
        <v>162.819478073715</v>
      </c>
      <c r="Y42">
        <v>170.96045197740099</v>
      </c>
      <c r="Z42">
        <v>178</v>
      </c>
      <c r="AA42">
        <v>172</v>
      </c>
      <c r="AB42">
        <v>171.00578034682101</v>
      </c>
      <c r="AC42">
        <v>161.121053159143</v>
      </c>
      <c r="AD42">
        <v>252.48847964573099</v>
      </c>
      <c r="AE42">
        <v>237.865594724163</v>
      </c>
    </row>
    <row r="43" spans="1:31" x14ac:dyDescent="0.3">
      <c r="A43" t="s">
        <v>294</v>
      </c>
      <c r="B43" t="s">
        <v>204</v>
      </c>
      <c r="C43" t="s">
        <v>0</v>
      </c>
      <c r="D43" t="s">
        <v>205</v>
      </c>
      <c r="E43" t="s">
        <v>123</v>
      </c>
      <c r="F43">
        <v>69.146404377339906</v>
      </c>
      <c r="G43">
        <v>53.532700163101801</v>
      </c>
      <c r="H43">
        <v>64.685346030414706</v>
      </c>
      <c r="I43">
        <v>81.414314831384004</v>
      </c>
      <c r="J43">
        <v>95.912754458890802</v>
      </c>
      <c r="K43">
        <v>110.411194086398</v>
      </c>
      <c r="L43">
        <v>120.448575366979</v>
      </c>
      <c r="M43">
        <v>115.987517020054</v>
      </c>
      <c r="N43">
        <v>141.88764217987199</v>
      </c>
      <c r="O43">
        <v>132.80683308036001</v>
      </c>
      <c r="P43">
        <v>164.90181774144699</v>
      </c>
      <c r="Q43">
        <v>152.727858042414</v>
      </c>
      <c r="R43">
        <v>196.67832078843199</v>
      </c>
      <c r="S43">
        <v>214.160838191849</v>
      </c>
      <c r="T43">
        <v>184.32748759795899</v>
      </c>
      <c r="U43">
        <v>203.50607012260201</v>
      </c>
      <c r="V43">
        <v>217.35726861262299</v>
      </c>
      <c r="W43">
        <v>214.22230800763299</v>
      </c>
      <c r="X43">
        <v>229.67103214279899</v>
      </c>
      <c r="Y43">
        <v>251.01214574898799</v>
      </c>
      <c r="Z43">
        <v>248</v>
      </c>
      <c r="AA43">
        <v>265</v>
      </c>
      <c r="AB43">
        <v>274.96240601503803</v>
      </c>
      <c r="AC43">
        <v>262.05803316956701</v>
      </c>
      <c r="AD43">
        <v>379.29452169279398</v>
      </c>
      <c r="AE43">
        <v>345.97148877921501</v>
      </c>
    </row>
    <row r="44" spans="1:31" x14ac:dyDescent="0.3">
      <c r="A44" t="s">
        <v>294</v>
      </c>
      <c r="B44" t="s">
        <v>206</v>
      </c>
      <c r="C44" t="s">
        <v>0</v>
      </c>
      <c r="D44" t="s">
        <v>207</v>
      </c>
      <c r="E44" t="s">
        <v>123</v>
      </c>
      <c r="F44">
        <v>880.36389346546605</v>
      </c>
      <c r="G44">
        <v>793.470833850693</v>
      </c>
      <c r="H44">
        <v>902.08715836915906</v>
      </c>
      <c r="I44">
        <v>1145.61639123688</v>
      </c>
      <c r="J44">
        <v>1318.14898027858</v>
      </c>
      <c r="K44">
        <v>1504.63578680305</v>
      </c>
      <c r="L44">
        <v>1728.1882940032001</v>
      </c>
      <c r="M44">
        <v>1611.5763983214699</v>
      </c>
      <c r="N44">
        <v>2057.8590932412599</v>
      </c>
      <c r="O44">
        <v>1928.4942608372701</v>
      </c>
      <c r="P44">
        <v>2248.9459166572601</v>
      </c>
      <c r="Q44">
        <v>2313.7637094173301</v>
      </c>
      <c r="R44">
        <v>2452.7251040747101</v>
      </c>
      <c r="S44">
        <v>2470.5550003333201</v>
      </c>
      <c r="T44">
        <v>2494.3727961297</v>
      </c>
      <c r="U44">
        <v>2474.9445354934701</v>
      </c>
      <c r="V44">
        <v>2445.9412792181502</v>
      </c>
      <c r="W44">
        <v>2407.9214665878199</v>
      </c>
      <c r="X44">
        <v>2445.2857652072798</v>
      </c>
      <c r="Y44">
        <v>2685.72181325068</v>
      </c>
      <c r="Z44">
        <v>2604</v>
      </c>
      <c r="AA44">
        <v>2618</v>
      </c>
      <c r="AB44">
        <v>2770.0129032258101</v>
      </c>
      <c r="AC44">
        <v>3006.4293672280101</v>
      </c>
      <c r="AD44">
        <v>3238.6689613209201</v>
      </c>
      <c r="AE44">
        <v>3075.8146106768299</v>
      </c>
    </row>
    <row r="45" spans="1:31" x14ac:dyDescent="0.3">
      <c r="A45" t="s">
        <v>294</v>
      </c>
      <c r="B45" t="s">
        <v>208</v>
      </c>
      <c r="C45" t="s">
        <v>0</v>
      </c>
      <c r="D45" t="s">
        <v>209</v>
      </c>
      <c r="E45" t="s">
        <v>123</v>
      </c>
      <c r="F45">
        <v>878.35350142499897</v>
      </c>
      <c r="G45">
        <v>792.57679230146402</v>
      </c>
      <c r="H45">
        <v>900.083601069628</v>
      </c>
      <c r="I45">
        <v>1143.6894549804699</v>
      </c>
      <c r="J45">
        <v>1316.2784069392901</v>
      </c>
      <c r="K45">
        <v>1501.6697318603201</v>
      </c>
      <c r="L45">
        <v>1725.2980175463099</v>
      </c>
      <c r="M45">
        <v>1608.6450075702201</v>
      </c>
      <c r="N45">
        <v>2055.0971462350799</v>
      </c>
      <c r="O45">
        <v>1925.6799498541</v>
      </c>
      <c r="P45">
        <v>2245.08359538278</v>
      </c>
      <c r="Q45">
        <v>2307.6078419793098</v>
      </c>
      <c r="R45">
        <v>2447.7368196509301</v>
      </c>
      <c r="S45">
        <v>2465.5709676993802</v>
      </c>
      <c r="T45">
        <v>2489.39290941629</v>
      </c>
      <c r="U45">
        <v>2468.8818663638499</v>
      </c>
      <c r="V45">
        <v>2440.9484771012499</v>
      </c>
      <c r="W45">
        <v>2402.92418234762</v>
      </c>
      <c r="X45">
        <v>2439.2534896401298</v>
      </c>
      <c r="Y45">
        <v>2680.7232142857101</v>
      </c>
      <c r="Z45">
        <v>2599</v>
      </c>
      <c r="AA45">
        <v>2613</v>
      </c>
      <c r="AB45">
        <v>2765.01102661597</v>
      </c>
      <c r="AC45">
        <v>3001.4209469536399</v>
      </c>
      <c r="AD45">
        <v>3233.6505260742401</v>
      </c>
      <c r="AE45">
        <v>3070.8048161280499</v>
      </c>
    </row>
    <row r="46" spans="1:31" x14ac:dyDescent="0.3">
      <c r="A46" t="s">
        <v>294</v>
      </c>
      <c r="B46" t="s">
        <v>210</v>
      </c>
      <c r="C46" t="s">
        <v>0</v>
      </c>
      <c r="D46" t="s">
        <v>211</v>
      </c>
      <c r="E46" t="s">
        <v>123</v>
      </c>
      <c r="F46">
        <v>21.265822784810101</v>
      </c>
      <c r="G46">
        <v>14.177215189873399</v>
      </c>
      <c r="H46">
        <v>19.240506329113899</v>
      </c>
      <c r="I46">
        <v>23.2911392405063</v>
      </c>
      <c r="J46">
        <v>25.3164556962025</v>
      </c>
      <c r="K46">
        <v>25.3164556962025</v>
      </c>
      <c r="L46">
        <v>31.3924050632912</v>
      </c>
      <c r="M46">
        <v>26.329113924050599</v>
      </c>
      <c r="N46">
        <v>34.430379746835499</v>
      </c>
      <c r="O46">
        <v>29.367088607594901</v>
      </c>
      <c r="P46">
        <v>38.481012658227897</v>
      </c>
      <c r="Q46">
        <v>39.493670886076004</v>
      </c>
      <c r="R46">
        <v>39.493670886076004</v>
      </c>
      <c r="S46">
        <v>45.569620253164601</v>
      </c>
      <c r="T46">
        <v>51.645569620253198</v>
      </c>
      <c r="U46">
        <v>53.670886075949397</v>
      </c>
      <c r="V46">
        <v>54.683544303797497</v>
      </c>
      <c r="W46">
        <v>70.886075949367097</v>
      </c>
      <c r="X46">
        <v>66.835443037974699</v>
      </c>
      <c r="Y46">
        <v>80</v>
      </c>
      <c r="Z46">
        <v>70</v>
      </c>
      <c r="AA46">
        <v>93</v>
      </c>
      <c r="AB46">
        <v>104</v>
      </c>
      <c r="AC46">
        <v>101</v>
      </c>
      <c r="AD46">
        <v>126.745098039216</v>
      </c>
      <c r="AE46">
        <v>107.93137254902</v>
      </c>
    </row>
    <row r="47" spans="1:31" x14ac:dyDescent="0.3">
      <c r="A47" t="s">
        <v>294</v>
      </c>
      <c r="B47" t="s">
        <v>212</v>
      </c>
      <c r="C47" t="s">
        <v>0</v>
      </c>
      <c r="D47" t="s">
        <v>213</v>
      </c>
      <c r="E47" t="s">
        <v>123</v>
      </c>
      <c r="F47">
        <v>62.848398211318603</v>
      </c>
      <c r="G47">
        <v>60.520679759047603</v>
      </c>
      <c r="H47">
        <v>65.176116663589696</v>
      </c>
      <c r="I47">
        <v>73.323131246538395</v>
      </c>
      <c r="J47">
        <v>81.470145829487095</v>
      </c>
      <c r="K47">
        <v>97.764174995384494</v>
      </c>
      <c r="L47">
        <v>129.18837410104399</v>
      </c>
      <c r="M47">
        <v>131.51609255331499</v>
      </c>
      <c r="N47">
        <v>164.69132310730399</v>
      </c>
      <c r="O47">
        <v>171.95711677380299</v>
      </c>
      <c r="P47">
        <v>173.12689307838701</v>
      </c>
      <c r="Q47">
        <v>158.89728542810801</v>
      </c>
      <c r="R47">
        <v>154.32470167478101</v>
      </c>
      <c r="S47">
        <v>169.07632757016501</v>
      </c>
      <c r="T47">
        <v>163.58683641529001</v>
      </c>
      <c r="U47">
        <v>191.03429218966701</v>
      </c>
      <c r="V47">
        <v>193.21754124326301</v>
      </c>
      <c r="W47">
        <v>174.002537141723</v>
      </c>
      <c r="X47">
        <v>166.665080756229</v>
      </c>
      <c r="Y47">
        <v>167.69387755101999</v>
      </c>
      <c r="Z47">
        <v>198</v>
      </c>
      <c r="AA47">
        <v>209</v>
      </c>
      <c r="AB47">
        <v>194.14218009478699</v>
      </c>
      <c r="AC47">
        <v>223.55766192733</v>
      </c>
      <c r="AD47">
        <v>218.69771275499701</v>
      </c>
      <c r="AE47">
        <v>183.05094900198</v>
      </c>
    </row>
    <row r="48" spans="1:31" x14ac:dyDescent="0.3">
      <c r="A48" t="s">
        <v>294</v>
      </c>
      <c r="B48" t="s">
        <v>214</v>
      </c>
      <c r="C48" t="s">
        <v>0</v>
      </c>
      <c r="D48" t="s">
        <v>215</v>
      </c>
      <c r="E48" t="s">
        <v>123</v>
      </c>
      <c r="F48">
        <v>95.849518769842007</v>
      </c>
      <c r="G48">
        <v>93.539891811532598</v>
      </c>
      <c r="H48">
        <v>100.46877268646099</v>
      </c>
      <c r="I48">
        <v>120.100601832091</v>
      </c>
      <c r="J48">
        <v>133.95836358194799</v>
      </c>
      <c r="K48">
        <v>153.590192727578</v>
      </c>
      <c r="L48">
        <v>185.92497014391</v>
      </c>
      <c r="M48">
        <v>202.09235885207701</v>
      </c>
      <c r="N48">
        <v>228.960129104087</v>
      </c>
      <c r="O48">
        <v>232.519094841456</v>
      </c>
      <c r="P48">
        <v>240.57668723695201</v>
      </c>
      <c r="Q48">
        <v>241.73889345548801</v>
      </c>
      <c r="R48">
        <v>231.57230447838799</v>
      </c>
      <c r="S48">
        <v>243.87807911250499</v>
      </c>
      <c r="T48">
        <v>229.787345652672</v>
      </c>
      <c r="U48">
        <v>279.64686404900601</v>
      </c>
      <c r="V48">
        <v>274.24827593995201</v>
      </c>
      <c r="W48">
        <v>278.48377054906302</v>
      </c>
      <c r="X48">
        <v>281.60112618953798</v>
      </c>
      <c r="Y48">
        <v>300.98671096345498</v>
      </c>
      <c r="Z48">
        <v>303</v>
      </c>
      <c r="AA48">
        <v>353</v>
      </c>
      <c r="AB48">
        <v>359.960563380282</v>
      </c>
      <c r="AC48">
        <v>398.31701685523001</v>
      </c>
      <c r="AD48">
        <v>411.95134017056802</v>
      </c>
      <c r="AE48">
        <v>395.511967440756</v>
      </c>
    </row>
    <row r="49" spans="1:31" x14ac:dyDescent="0.3">
      <c r="A49" t="s">
        <v>294</v>
      </c>
      <c r="B49" t="s">
        <v>216</v>
      </c>
      <c r="C49" t="s">
        <v>0</v>
      </c>
      <c r="D49" t="s">
        <v>217</v>
      </c>
      <c r="E49" t="s">
        <v>123</v>
      </c>
      <c r="F49">
        <v>14.965517241379301</v>
      </c>
      <c r="G49">
        <v>14.965517241379301</v>
      </c>
      <c r="H49">
        <v>16.034482758620701</v>
      </c>
      <c r="I49">
        <v>21.379310344827601</v>
      </c>
      <c r="J49">
        <v>24.586206896551701</v>
      </c>
      <c r="K49">
        <v>25.6551724137931</v>
      </c>
      <c r="L49">
        <v>22.448275862069</v>
      </c>
      <c r="M49">
        <v>34.2068965517241</v>
      </c>
      <c r="N49">
        <v>27.7931034482759</v>
      </c>
      <c r="O49">
        <v>24.586206896551701</v>
      </c>
      <c r="P49">
        <v>24.586206896551701</v>
      </c>
      <c r="Q49">
        <v>23.517241379310299</v>
      </c>
      <c r="R49">
        <v>20.310344827586199</v>
      </c>
      <c r="S49">
        <v>27.7931034482759</v>
      </c>
      <c r="T49">
        <v>20.310344827586199</v>
      </c>
      <c r="U49">
        <v>29.931034482758601</v>
      </c>
      <c r="V49">
        <v>29.931034482758601</v>
      </c>
      <c r="W49">
        <v>31</v>
      </c>
      <c r="X49">
        <v>31</v>
      </c>
      <c r="Y49">
        <v>44</v>
      </c>
      <c r="Z49">
        <v>42</v>
      </c>
      <c r="AA49">
        <v>57</v>
      </c>
      <c r="AB49">
        <v>63</v>
      </c>
      <c r="AC49">
        <v>60.046875</v>
      </c>
      <c r="AD49">
        <v>64.889364919354804</v>
      </c>
      <c r="AE49">
        <v>73.605846774193594</v>
      </c>
    </row>
    <row r="50" spans="1:31" x14ac:dyDescent="0.3">
      <c r="A50" t="s">
        <v>294</v>
      </c>
      <c r="B50" t="s">
        <v>218</v>
      </c>
      <c r="C50" t="s">
        <v>0</v>
      </c>
      <c r="D50" t="s">
        <v>219</v>
      </c>
      <c r="E50" t="s">
        <v>123</v>
      </c>
      <c r="F50">
        <v>17.838114273374401</v>
      </c>
      <c r="G50">
        <v>17.838114273374401</v>
      </c>
      <c r="H50">
        <v>19.0273218915993</v>
      </c>
      <c r="I50">
        <v>24.973359982724102</v>
      </c>
      <c r="J50">
        <v>27.351775219174002</v>
      </c>
      <c r="K50">
        <v>29.730190455623902</v>
      </c>
      <c r="L50">
        <v>34.487020928523698</v>
      </c>
      <c r="M50">
        <v>35.676228546748703</v>
      </c>
      <c r="N50">
        <v>36.865436164973701</v>
      </c>
      <c r="O50">
        <v>36.865436164973701</v>
      </c>
      <c r="P50">
        <v>43.7777054459062</v>
      </c>
      <c r="Q50">
        <v>59.906333768082199</v>
      </c>
      <c r="R50">
        <v>57.645717399475302</v>
      </c>
      <c r="S50">
        <v>47.668574003412303</v>
      </c>
      <c r="T50">
        <v>46.609272358891999</v>
      </c>
      <c r="U50">
        <v>59.320892093135299</v>
      </c>
      <c r="V50">
        <v>51.905780581493403</v>
      </c>
      <c r="W50">
        <v>73.706208425720604</v>
      </c>
      <c r="X50">
        <v>83.943181818181799</v>
      </c>
      <c r="Y50">
        <v>89</v>
      </c>
      <c r="Z50">
        <v>63</v>
      </c>
      <c r="AA50">
        <v>87</v>
      </c>
      <c r="AB50">
        <v>103</v>
      </c>
      <c r="AC50">
        <v>114.884615384615</v>
      </c>
      <c r="AD50">
        <v>128.631492439185</v>
      </c>
      <c r="AE50">
        <v>139.350783475783</v>
      </c>
    </row>
    <row r="51" spans="1:31" x14ac:dyDescent="0.3">
      <c r="A51" t="s">
        <v>294</v>
      </c>
      <c r="B51" t="s">
        <v>220</v>
      </c>
      <c r="C51" t="s">
        <v>0</v>
      </c>
      <c r="D51" t="s">
        <v>221</v>
      </c>
      <c r="E51" t="s">
        <v>123</v>
      </c>
      <c r="F51">
        <v>16.809671997933201</v>
      </c>
      <c r="G51">
        <v>16.809671997933201</v>
      </c>
      <c r="H51">
        <v>18.010362854928498</v>
      </c>
      <c r="I51">
        <v>22.813126282909401</v>
      </c>
      <c r="J51">
        <v>25.214507996899901</v>
      </c>
      <c r="K51">
        <v>27.615889710890301</v>
      </c>
      <c r="L51">
        <v>32.418653138871299</v>
      </c>
      <c r="M51">
        <v>33.619343995866501</v>
      </c>
      <c r="N51">
        <v>34.820034852861703</v>
      </c>
      <c r="O51">
        <v>33.619343995866501</v>
      </c>
      <c r="P51">
        <v>41.7343580638343</v>
      </c>
      <c r="Q51">
        <v>59.123673923765203</v>
      </c>
      <c r="R51">
        <v>56.849686465158896</v>
      </c>
      <c r="S51">
        <v>46.817388853660297</v>
      </c>
      <c r="T51">
        <v>44.6893257239484</v>
      </c>
      <c r="U51">
        <v>54.2656098076517</v>
      </c>
      <c r="V51">
        <v>47.8814204185162</v>
      </c>
      <c r="W51">
        <v>68.699429296131896</v>
      </c>
      <c r="X51">
        <v>77.927710843373504</v>
      </c>
      <c r="Y51">
        <v>84</v>
      </c>
      <c r="Z51">
        <v>54</v>
      </c>
      <c r="AA51">
        <v>79</v>
      </c>
      <c r="AB51">
        <v>90</v>
      </c>
      <c r="AC51">
        <v>103.846153846154</v>
      </c>
      <c r="AD51">
        <v>112.66328011611</v>
      </c>
      <c r="AE51">
        <v>119.461926330013</v>
      </c>
    </row>
    <row r="52" spans="1:31" x14ac:dyDescent="0.3">
      <c r="A52" t="s">
        <v>294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1</v>
      </c>
      <c r="H52">
        <v>1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3</v>
      </c>
      <c r="P52">
        <v>2</v>
      </c>
      <c r="Q52">
        <v>1</v>
      </c>
      <c r="R52">
        <v>1</v>
      </c>
      <c r="S52">
        <v>1</v>
      </c>
      <c r="T52">
        <v>2</v>
      </c>
      <c r="U52">
        <v>5</v>
      </c>
      <c r="V52">
        <v>4</v>
      </c>
      <c r="W52">
        <v>5</v>
      </c>
      <c r="X52">
        <v>6</v>
      </c>
      <c r="Y52">
        <v>5</v>
      </c>
      <c r="Z52">
        <v>9</v>
      </c>
      <c r="AA52">
        <v>8</v>
      </c>
      <c r="AB52">
        <v>13</v>
      </c>
      <c r="AC52">
        <v>11</v>
      </c>
      <c r="AD52">
        <v>16</v>
      </c>
      <c r="AE52">
        <v>20</v>
      </c>
    </row>
    <row r="53" spans="1:31" x14ac:dyDescent="0.3">
      <c r="A53" t="s">
        <v>294</v>
      </c>
      <c r="B53" t="s">
        <v>224</v>
      </c>
      <c r="C53" t="s">
        <v>0</v>
      </c>
      <c r="D53" t="s">
        <v>225</v>
      </c>
      <c r="E53" t="s">
        <v>123</v>
      </c>
      <c r="F53">
        <v>9.6283783783783807</v>
      </c>
      <c r="G53">
        <v>8.5585585585585608</v>
      </c>
      <c r="H53">
        <v>10.698198198198201</v>
      </c>
      <c r="I53">
        <v>12.8378378378378</v>
      </c>
      <c r="J53">
        <v>13.907657657657699</v>
      </c>
      <c r="K53">
        <v>16.047297297297298</v>
      </c>
      <c r="L53">
        <v>14.9774774774775</v>
      </c>
      <c r="M53">
        <v>17.1171171171171</v>
      </c>
      <c r="N53">
        <v>14.9774774774775</v>
      </c>
      <c r="O53">
        <v>18.186936936936899</v>
      </c>
      <c r="P53">
        <v>25.675675675675699</v>
      </c>
      <c r="Q53">
        <v>39.5833333333333</v>
      </c>
      <c r="R53">
        <v>29.1666666666667</v>
      </c>
      <c r="S53">
        <v>50</v>
      </c>
      <c r="T53">
        <v>27</v>
      </c>
      <c r="U53">
        <v>49</v>
      </c>
      <c r="V53">
        <v>27</v>
      </c>
      <c r="W53">
        <v>22</v>
      </c>
      <c r="X53">
        <v>28</v>
      </c>
      <c r="Y53">
        <v>27</v>
      </c>
      <c r="Z53">
        <v>13</v>
      </c>
      <c r="AA53">
        <v>18</v>
      </c>
      <c r="AB53">
        <v>37</v>
      </c>
      <c r="AC53">
        <v>23</v>
      </c>
      <c r="AD53">
        <v>33</v>
      </c>
      <c r="AE53">
        <v>25</v>
      </c>
    </row>
    <row r="54" spans="1:31" x14ac:dyDescent="0.3">
      <c r="A54" t="s">
        <v>294</v>
      </c>
      <c r="B54" t="s">
        <v>226</v>
      </c>
      <c r="C54" t="s">
        <v>0</v>
      </c>
      <c r="D54" t="s">
        <v>227</v>
      </c>
      <c r="E54" t="s">
        <v>123</v>
      </c>
      <c r="F54">
        <v>16.900982615268301</v>
      </c>
      <c r="G54">
        <v>15.8446712018141</v>
      </c>
      <c r="H54">
        <v>19.0136054421769</v>
      </c>
      <c r="I54">
        <v>23.238851095994001</v>
      </c>
      <c r="J54">
        <v>25.3514739229025</v>
      </c>
      <c r="K54">
        <v>30.6330309901739</v>
      </c>
      <c r="L54">
        <v>30.6330309901739</v>
      </c>
      <c r="M54">
        <v>36.970899470899496</v>
      </c>
      <c r="N54">
        <v>26.407785336356799</v>
      </c>
      <c r="O54">
        <v>27.464096749810999</v>
      </c>
      <c r="P54">
        <v>39.083522297808003</v>
      </c>
      <c r="Q54">
        <v>44.365079365079403</v>
      </c>
      <c r="R54">
        <v>43.3333333333333</v>
      </c>
      <c r="S54">
        <v>65</v>
      </c>
      <c r="T54">
        <v>49</v>
      </c>
      <c r="U54">
        <v>67</v>
      </c>
      <c r="V54">
        <v>43</v>
      </c>
      <c r="W54">
        <v>42</v>
      </c>
      <c r="X54">
        <v>49</v>
      </c>
      <c r="Y54">
        <v>48</v>
      </c>
      <c r="Z54">
        <v>36</v>
      </c>
      <c r="AA54">
        <v>40</v>
      </c>
      <c r="AB54">
        <v>58</v>
      </c>
      <c r="AC54">
        <v>54</v>
      </c>
      <c r="AD54">
        <v>67</v>
      </c>
      <c r="AE54">
        <v>45</v>
      </c>
    </row>
    <row r="55" spans="1:31" x14ac:dyDescent="0.3">
      <c r="A55" t="s">
        <v>294</v>
      </c>
      <c r="B55" t="s">
        <v>228</v>
      </c>
      <c r="C55" t="s">
        <v>0</v>
      </c>
      <c r="D55" t="s">
        <v>229</v>
      </c>
      <c r="E55" t="s">
        <v>123</v>
      </c>
      <c r="F55">
        <v>7</v>
      </c>
      <c r="G55">
        <v>7</v>
      </c>
      <c r="H55">
        <v>8</v>
      </c>
      <c r="I55">
        <v>10</v>
      </c>
      <c r="J55">
        <v>11</v>
      </c>
      <c r="K55">
        <v>14</v>
      </c>
      <c r="L55">
        <v>15</v>
      </c>
      <c r="M55">
        <v>19</v>
      </c>
      <c r="N55">
        <v>11</v>
      </c>
      <c r="O55">
        <v>9</v>
      </c>
      <c r="P55">
        <v>13</v>
      </c>
      <c r="Q55">
        <v>5</v>
      </c>
      <c r="R55">
        <v>14</v>
      </c>
      <c r="S55">
        <v>15</v>
      </c>
      <c r="T55">
        <v>22</v>
      </c>
      <c r="U55">
        <v>18</v>
      </c>
      <c r="V55">
        <v>16</v>
      </c>
      <c r="W55">
        <v>20</v>
      </c>
      <c r="X55">
        <v>21</v>
      </c>
      <c r="Y55">
        <v>21</v>
      </c>
      <c r="Z55">
        <v>23</v>
      </c>
      <c r="AA55">
        <v>22</v>
      </c>
      <c r="AB55">
        <v>21</v>
      </c>
      <c r="AC55">
        <v>31</v>
      </c>
      <c r="AD55">
        <v>34</v>
      </c>
      <c r="AE55">
        <v>20</v>
      </c>
    </row>
    <row r="56" spans="1:31" x14ac:dyDescent="0.3">
      <c r="A56" t="s">
        <v>294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294</v>
      </c>
      <c r="B57" t="s">
        <v>232</v>
      </c>
      <c r="C57" t="s">
        <v>0</v>
      </c>
      <c r="D57" t="s">
        <v>233</v>
      </c>
      <c r="E57" t="s">
        <v>123</v>
      </c>
      <c r="F57">
        <v>978.793798024794</v>
      </c>
      <c r="G57">
        <v>889.60464353188001</v>
      </c>
      <c r="H57">
        <v>1005.09316409322</v>
      </c>
      <c r="I57">
        <v>1268.0868247774499</v>
      </c>
      <c r="J57">
        <v>1453.1838137068901</v>
      </c>
      <c r="K57">
        <v>1659.1286535475101</v>
      </c>
      <c r="L57">
        <v>1915.98120660717</v>
      </c>
      <c r="M57">
        <v>1817.0392852453199</v>
      </c>
      <c r="N57">
        <v>2287.2070380422601</v>
      </c>
      <c r="O57">
        <v>2161.6677076740202</v>
      </c>
      <c r="P57">
        <v>2490.9436545939002</v>
      </c>
      <c r="Q57">
        <v>2560.3614991250802</v>
      </c>
      <c r="R57">
        <v>2687.9280112067099</v>
      </c>
      <c r="S57">
        <v>2724.6879052679701</v>
      </c>
      <c r="T57">
        <v>2737.67291514216</v>
      </c>
      <c r="U57">
        <v>2781.9159539757602</v>
      </c>
      <c r="V57">
        <v>2736.8038033707398</v>
      </c>
      <c r="W57">
        <v>2705.1278334243202</v>
      </c>
      <c r="X57">
        <v>2750.7839993892899</v>
      </c>
      <c r="Y57">
        <v>3018.7042253521099</v>
      </c>
      <c r="Z57">
        <v>2936</v>
      </c>
      <c r="AA57">
        <v>2996</v>
      </c>
      <c r="AB57">
        <v>3158.96650082919</v>
      </c>
      <c r="AC57">
        <v>3439.6978549720998</v>
      </c>
      <c r="AD57">
        <v>3677.79325259286</v>
      </c>
      <c r="AE57">
        <v>3502.3371169262</v>
      </c>
    </row>
    <row r="58" spans="1:31" x14ac:dyDescent="0.3">
      <c r="A58" t="s">
        <v>294</v>
      </c>
      <c r="B58" t="s">
        <v>234</v>
      </c>
      <c r="C58" t="s">
        <v>0</v>
      </c>
      <c r="D58" t="s">
        <v>235</v>
      </c>
      <c r="E58" t="s">
        <v>123</v>
      </c>
      <c r="F58">
        <v>978.793798024794</v>
      </c>
      <c r="G58">
        <v>889.60464353188001</v>
      </c>
      <c r="H58">
        <v>1005.09316409322</v>
      </c>
      <c r="I58">
        <v>1268.0868247774499</v>
      </c>
      <c r="J58">
        <v>1453.1838137068901</v>
      </c>
      <c r="K58">
        <v>1659.1286535475101</v>
      </c>
      <c r="L58">
        <v>1915.98120660717</v>
      </c>
      <c r="M58">
        <v>1817.0392852453199</v>
      </c>
      <c r="N58">
        <v>2287.2070380422601</v>
      </c>
      <c r="O58">
        <v>2161.6677076740202</v>
      </c>
      <c r="P58">
        <v>2490.9436545939002</v>
      </c>
      <c r="Q58">
        <v>2560.3614991250802</v>
      </c>
      <c r="R58">
        <v>2687.9280112067099</v>
      </c>
      <c r="S58">
        <v>2724.6879052679701</v>
      </c>
      <c r="T58">
        <v>2737.67291514216</v>
      </c>
      <c r="U58">
        <v>2781.9159539757602</v>
      </c>
      <c r="V58">
        <v>2736.8038033707398</v>
      </c>
      <c r="W58">
        <v>2705.1278334243202</v>
      </c>
      <c r="X58">
        <v>2750.7839993892899</v>
      </c>
      <c r="Y58">
        <v>3018.7042253521099</v>
      </c>
      <c r="Z58">
        <v>2936</v>
      </c>
      <c r="AA58">
        <v>2996</v>
      </c>
      <c r="AB58">
        <v>3158.96650082919</v>
      </c>
      <c r="AC58">
        <v>3439.6978549720998</v>
      </c>
      <c r="AD58">
        <v>3677.79325259286</v>
      </c>
      <c r="AE58">
        <v>3502.3371169262</v>
      </c>
    </row>
    <row r="59" spans="1:31" x14ac:dyDescent="0.3">
      <c r="A59" t="s">
        <v>294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295</v>
      </c>
      <c r="B2" t="s">
        <v>121</v>
      </c>
      <c r="C2" t="s">
        <v>0</v>
      </c>
      <c r="D2" t="s">
        <v>122</v>
      </c>
      <c r="E2" t="s">
        <v>123</v>
      </c>
      <c r="F2">
        <v>273.17509895697702</v>
      </c>
      <c r="G2">
        <v>259.74025802466701</v>
      </c>
      <c r="H2">
        <v>305.30872434478403</v>
      </c>
      <c r="I2">
        <v>283.93711364064899</v>
      </c>
      <c r="J2">
        <v>317.16379715178903</v>
      </c>
      <c r="K2">
        <v>333.09439883521202</v>
      </c>
      <c r="L2">
        <v>334.48229216369202</v>
      </c>
      <c r="M2">
        <v>362.80538948400402</v>
      </c>
      <c r="N2">
        <v>351.017488742647</v>
      </c>
      <c r="O2">
        <v>325.488944106818</v>
      </c>
      <c r="P2">
        <v>297.02413150432102</v>
      </c>
      <c r="Q2">
        <v>251.512369418981</v>
      </c>
      <c r="R2">
        <v>274.677982391782</v>
      </c>
      <c r="S2">
        <v>323.92303899588597</v>
      </c>
      <c r="T2">
        <v>309.59991142123801</v>
      </c>
      <c r="U2">
        <v>280.16611702555701</v>
      </c>
      <c r="V2">
        <v>302.88228867627799</v>
      </c>
      <c r="W2">
        <v>297.54985401648503</v>
      </c>
      <c r="X2">
        <v>305.67408211249801</v>
      </c>
      <c r="Y2">
        <v>295.51879699248099</v>
      </c>
      <c r="Z2">
        <v>272</v>
      </c>
      <c r="AA2">
        <v>217</v>
      </c>
      <c r="AB2">
        <v>224</v>
      </c>
      <c r="AC2">
        <v>225.00900900900899</v>
      </c>
      <c r="AD2">
        <v>235.00940940940899</v>
      </c>
      <c r="AE2">
        <v>240.030977986534</v>
      </c>
    </row>
    <row r="3" spans="1:31" x14ac:dyDescent="0.3">
      <c r="A3" t="s">
        <v>295</v>
      </c>
      <c r="B3" t="s">
        <v>124</v>
      </c>
      <c r="C3" t="s">
        <v>0</v>
      </c>
      <c r="D3" t="s">
        <v>125</v>
      </c>
      <c r="E3" t="s">
        <v>123</v>
      </c>
      <c r="F3">
        <v>4.1176470588235299</v>
      </c>
      <c r="G3">
        <v>4.1176470588235299</v>
      </c>
      <c r="H3">
        <v>3.0882352941176499</v>
      </c>
      <c r="I3">
        <v>5.1470588235294104</v>
      </c>
      <c r="J3">
        <v>6.1764705882352997</v>
      </c>
      <c r="K3">
        <v>4.1176470588235299</v>
      </c>
      <c r="L3">
        <v>3.0882352941176499</v>
      </c>
      <c r="M3">
        <v>5.1470588235294104</v>
      </c>
      <c r="N3">
        <v>6.1764705882352997</v>
      </c>
      <c r="O3">
        <v>6.1764705882352997</v>
      </c>
      <c r="P3">
        <v>8.2352941176470598</v>
      </c>
      <c r="Q3">
        <v>6.1764705882352997</v>
      </c>
      <c r="R3">
        <v>8.2352941176470598</v>
      </c>
      <c r="S3">
        <v>11.323529411764699</v>
      </c>
      <c r="T3">
        <v>6.1764705882352899</v>
      </c>
      <c r="U3">
        <v>6.1764705882352899</v>
      </c>
      <c r="V3">
        <v>11.323529411764699</v>
      </c>
      <c r="W3">
        <v>35</v>
      </c>
      <c r="X3">
        <v>29</v>
      </c>
      <c r="Y3">
        <v>22</v>
      </c>
      <c r="Z3">
        <v>17</v>
      </c>
      <c r="AA3">
        <v>11</v>
      </c>
      <c r="AB3">
        <v>13</v>
      </c>
      <c r="AC3">
        <v>11</v>
      </c>
      <c r="AD3">
        <v>5</v>
      </c>
      <c r="AE3">
        <v>9</v>
      </c>
    </row>
    <row r="4" spans="1:31" x14ac:dyDescent="0.3">
      <c r="A4" t="s">
        <v>295</v>
      </c>
      <c r="B4" t="s">
        <v>126</v>
      </c>
      <c r="C4" t="s">
        <v>0</v>
      </c>
      <c r="D4" t="s">
        <v>127</v>
      </c>
      <c r="E4" t="s">
        <v>123</v>
      </c>
      <c r="F4">
        <v>64.570319001387006</v>
      </c>
      <c r="G4">
        <v>76.214147018030502</v>
      </c>
      <c r="H4">
        <v>88.916504854368995</v>
      </c>
      <c r="I4">
        <v>107.970041608877</v>
      </c>
      <c r="J4">
        <v>104.79445214979199</v>
      </c>
      <c r="K4">
        <v>111.14563106796101</v>
      </c>
      <c r="L4">
        <v>106</v>
      </c>
      <c r="M4">
        <v>93</v>
      </c>
      <c r="N4">
        <v>102</v>
      </c>
      <c r="O4">
        <v>111</v>
      </c>
      <c r="P4">
        <v>114</v>
      </c>
      <c r="Q4">
        <v>179</v>
      </c>
      <c r="R4">
        <v>162</v>
      </c>
      <c r="S4">
        <v>223</v>
      </c>
      <c r="T4">
        <v>137</v>
      </c>
      <c r="U4">
        <v>96</v>
      </c>
      <c r="V4">
        <v>101</v>
      </c>
      <c r="W4">
        <v>109</v>
      </c>
      <c r="X4">
        <v>75</v>
      </c>
      <c r="Y4">
        <v>90</v>
      </c>
      <c r="Z4">
        <v>121</v>
      </c>
      <c r="AA4">
        <v>108</v>
      </c>
      <c r="AB4">
        <v>130</v>
      </c>
      <c r="AC4">
        <v>114</v>
      </c>
      <c r="AD4">
        <v>115</v>
      </c>
      <c r="AE4">
        <v>101</v>
      </c>
    </row>
    <row r="5" spans="1:31" x14ac:dyDescent="0.3">
      <c r="A5" t="s">
        <v>295</v>
      </c>
      <c r="B5" t="s">
        <v>128</v>
      </c>
      <c r="C5" t="s">
        <v>0</v>
      </c>
      <c r="D5" t="s">
        <v>129</v>
      </c>
      <c r="E5" t="s">
        <v>123</v>
      </c>
      <c r="F5">
        <v>10</v>
      </c>
      <c r="G5">
        <v>9</v>
      </c>
      <c r="H5">
        <v>11</v>
      </c>
      <c r="I5">
        <v>11</v>
      </c>
      <c r="J5">
        <v>11</v>
      </c>
      <c r="K5">
        <v>11</v>
      </c>
      <c r="L5">
        <v>10</v>
      </c>
      <c r="M5">
        <v>10</v>
      </c>
      <c r="N5">
        <v>10</v>
      </c>
      <c r="O5">
        <v>11</v>
      </c>
      <c r="P5">
        <v>10</v>
      </c>
      <c r="Q5">
        <v>15</v>
      </c>
      <c r="R5">
        <v>11</v>
      </c>
      <c r="S5">
        <v>15</v>
      </c>
      <c r="T5">
        <v>13</v>
      </c>
      <c r="U5">
        <v>10</v>
      </c>
      <c r="V5">
        <v>10</v>
      </c>
      <c r="W5">
        <v>11</v>
      </c>
      <c r="X5">
        <v>10</v>
      </c>
      <c r="Y5">
        <v>13</v>
      </c>
      <c r="Z5">
        <v>13</v>
      </c>
      <c r="AA5">
        <v>12</v>
      </c>
      <c r="AB5">
        <v>25</v>
      </c>
      <c r="AC5">
        <v>13</v>
      </c>
      <c r="AD5">
        <v>10</v>
      </c>
      <c r="AE5">
        <v>11</v>
      </c>
    </row>
    <row r="6" spans="1:31" x14ac:dyDescent="0.3">
      <c r="A6" t="s">
        <v>295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295</v>
      </c>
      <c r="B7" t="s">
        <v>132</v>
      </c>
      <c r="C7" t="s">
        <v>0</v>
      </c>
      <c r="D7" t="s">
        <v>133</v>
      </c>
      <c r="E7" t="s">
        <v>123</v>
      </c>
      <c r="F7">
        <v>19.89</v>
      </c>
      <c r="G7">
        <v>21.06</v>
      </c>
      <c r="H7">
        <v>25.74</v>
      </c>
      <c r="I7">
        <v>30.42</v>
      </c>
      <c r="J7">
        <v>30.42</v>
      </c>
      <c r="K7">
        <v>29.25</v>
      </c>
      <c r="L7">
        <v>26</v>
      </c>
      <c r="M7">
        <v>23</v>
      </c>
      <c r="N7">
        <v>26</v>
      </c>
      <c r="O7">
        <v>26</v>
      </c>
      <c r="P7">
        <v>26</v>
      </c>
      <c r="Q7">
        <v>41</v>
      </c>
      <c r="R7">
        <v>34</v>
      </c>
      <c r="S7">
        <v>37</v>
      </c>
      <c r="T7">
        <v>16</v>
      </c>
      <c r="U7">
        <v>15</v>
      </c>
      <c r="V7">
        <v>19</v>
      </c>
      <c r="W7">
        <v>16</v>
      </c>
      <c r="X7">
        <v>13</v>
      </c>
      <c r="Y7">
        <v>12</v>
      </c>
      <c r="Z7">
        <v>17</v>
      </c>
      <c r="AA7">
        <v>22</v>
      </c>
      <c r="AB7">
        <v>39</v>
      </c>
      <c r="AC7">
        <v>16</v>
      </c>
      <c r="AD7">
        <v>17</v>
      </c>
      <c r="AE7">
        <v>14</v>
      </c>
    </row>
    <row r="8" spans="1:31" x14ac:dyDescent="0.3">
      <c r="A8" t="s">
        <v>295</v>
      </c>
      <c r="B8" t="s">
        <v>134</v>
      </c>
      <c r="C8" t="s">
        <v>0</v>
      </c>
      <c r="D8" t="s">
        <v>135</v>
      </c>
      <c r="E8" t="s">
        <v>123</v>
      </c>
      <c r="F8">
        <v>1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2</v>
      </c>
      <c r="R8">
        <v>2</v>
      </c>
      <c r="S8">
        <v>2</v>
      </c>
      <c r="T8">
        <v>2</v>
      </c>
      <c r="U8">
        <v>5</v>
      </c>
      <c r="V8">
        <v>1</v>
      </c>
      <c r="W8">
        <v>2</v>
      </c>
      <c r="X8">
        <v>2</v>
      </c>
      <c r="Y8">
        <v>2</v>
      </c>
      <c r="Z8">
        <v>8</v>
      </c>
      <c r="AA8">
        <v>-2</v>
      </c>
      <c r="AB8">
        <v>-15</v>
      </c>
      <c r="AC8">
        <v>2</v>
      </c>
      <c r="AD8">
        <v>1</v>
      </c>
      <c r="AE8">
        <v>1</v>
      </c>
    </row>
    <row r="9" spans="1:31" x14ac:dyDescent="0.3">
      <c r="A9" t="s">
        <v>295</v>
      </c>
      <c r="B9" t="s">
        <v>136</v>
      </c>
      <c r="C9" t="s">
        <v>0</v>
      </c>
      <c r="D9" t="s">
        <v>137</v>
      </c>
      <c r="E9" t="s">
        <v>123</v>
      </c>
      <c r="F9">
        <v>5</v>
      </c>
      <c r="G9">
        <v>5</v>
      </c>
      <c r="H9">
        <v>6</v>
      </c>
      <c r="I9">
        <v>6</v>
      </c>
      <c r="J9">
        <v>5</v>
      </c>
      <c r="K9">
        <v>5</v>
      </c>
      <c r="L9">
        <v>6</v>
      </c>
      <c r="M9">
        <v>5</v>
      </c>
      <c r="N9">
        <v>4</v>
      </c>
      <c r="O9">
        <v>6</v>
      </c>
      <c r="P9">
        <v>5</v>
      </c>
      <c r="Q9">
        <v>5</v>
      </c>
      <c r="R9">
        <v>7</v>
      </c>
      <c r="S9">
        <v>6</v>
      </c>
      <c r="T9">
        <v>3</v>
      </c>
      <c r="U9">
        <v>2</v>
      </c>
      <c r="V9">
        <v>3</v>
      </c>
      <c r="W9">
        <v>4</v>
      </c>
      <c r="X9">
        <v>6</v>
      </c>
      <c r="Y9">
        <v>4</v>
      </c>
      <c r="Z9">
        <v>9</v>
      </c>
      <c r="AA9">
        <v>13</v>
      </c>
      <c r="AB9">
        <v>16</v>
      </c>
      <c r="AC9">
        <v>13</v>
      </c>
      <c r="AD9">
        <v>10</v>
      </c>
      <c r="AE9">
        <v>10</v>
      </c>
    </row>
    <row r="10" spans="1:31" x14ac:dyDescent="0.3">
      <c r="A10" t="s">
        <v>295</v>
      </c>
      <c r="B10" t="s">
        <v>138</v>
      </c>
      <c r="C10" t="s">
        <v>0</v>
      </c>
      <c r="D10" t="s">
        <v>139</v>
      </c>
      <c r="E10" t="s">
        <v>123</v>
      </c>
      <c r="F10">
        <v>5</v>
      </c>
      <c r="G10">
        <v>6</v>
      </c>
      <c r="H10">
        <v>6</v>
      </c>
      <c r="I10">
        <v>7</v>
      </c>
      <c r="J10">
        <v>6</v>
      </c>
      <c r="K10">
        <v>6</v>
      </c>
      <c r="L10">
        <v>6</v>
      </c>
      <c r="M10">
        <v>6</v>
      </c>
      <c r="N10">
        <v>5</v>
      </c>
      <c r="O10">
        <v>6</v>
      </c>
      <c r="P10">
        <v>6</v>
      </c>
      <c r="Q10">
        <v>6</v>
      </c>
      <c r="R10">
        <v>7</v>
      </c>
      <c r="S10">
        <v>8</v>
      </c>
      <c r="T10">
        <v>3</v>
      </c>
      <c r="U10">
        <v>2</v>
      </c>
      <c r="V10">
        <v>3</v>
      </c>
      <c r="W10">
        <v>4</v>
      </c>
      <c r="X10">
        <v>6</v>
      </c>
      <c r="Y10">
        <v>4</v>
      </c>
      <c r="Z10">
        <v>9</v>
      </c>
      <c r="AA10">
        <v>13</v>
      </c>
      <c r="AB10">
        <v>16</v>
      </c>
      <c r="AC10">
        <v>13</v>
      </c>
      <c r="AD10">
        <v>10</v>
      </c>
      <c r="AE10">
        <v>10</v>
      </c>
    </row>
    <row r="11" spans="1:31" x14ac:dyDescent="0.3">
      <c r="A11" t="s">
        <v>295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 t="e">
        <v>#NUM!</v>
      </c>
      <c r="H11">
        <v>0</v>
      </c>
      <c r="I11" t="e">
        <v>#NUM!</v>
      </c>
      <c r="J11" t="e">
        <v>#NUM!</v>
      </c>
      <c r="K11" t="e">
        <v>#NUM!</v>
      </c>
      <c r="L11">
        <v>0</v>
      </c>
      <c r="M11" t="e">
        <v>#NUM!</v>
      </c>
      <c r="N11" t="e">
        <v>#NUM!</v>
      </c>
      <c r="O11">
        <v>0</v>
      </c>
      <c r="P11" t="e">
        <v>#NUM!</v>
      </c>
      <c r="Q11" t="e">
        <v>#NUM!</v>
      </c>
      <c r="R11">
        <v>0</v>
      </c>
      <c r="S11" t="e">
        <v>#NUM!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295</v>
      </c>
      <c r="B12" t="s">
        <v>142</v>
      </c>
      <c r="C12" t="s">
        <v>0</v>
      </c>
      <c r="D12" t="s">
        <v>143</v>
      </c>
      <c r="E12" t="s">
        <v>123</v>
      </c>
      <c r="F12">
        <v>5</v>
      </c>
      <c r="G12">
        <v>6</v>
      </c>
      <c r="H12">
        <v>8</v>
      </c>
      <c r="I12">
        <v>10</v>
      </c>
      <c r="J12">
        <v>10</v>
      </c>
      <c r="K12">
        <v>10</v>
      </c>
      <c r="L12">
        <v>10</v>
      </c>
      <c r="M12">
        <v>8</v>
      </c>
      <c r="N12">
        <v>9</v>
      </c>
      <c r="O12">
        <v>9</v>
      </c>
      <c r="P12">
        <v>10</v>
      </c>
      <c r="Q12">
        <v>14</v>
      </c>
      <c r="R12">
        <v>11</v>
      </c>
      <c r="S12">
        <v>15</v>
      </c>
      <c r="T12">
        <v>9</v>
      </c>
      <c r="U12">
        <v>6</v>
      </c>
      <c r="V12">
        <v>7</v>
      </c>
      <c r="W12">
        <v>7</v>
      </c>
      <c r="X12">
        <v>6</v>
      </c>
      <c r="Y12">
        <v>6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</row>
    <row r="13" spans="1:31" x14ac:dyDescent="0.3">
      <c r="A13" t="s">
        <v>295</v>
      </c>
      <c r="B13" t="s">
        <v>144</v>
      </c>
      <c r="C13" t="s">
        <v>0</v>
      </c>
      <c r="D13" t="s">
        <v>145</v>
      </c>
      <c r="E13" t="s">
        <v>123</v>
      </c>
      <c r="F13">
        <v>4</v>
      </c>
      <c r="G13">
        <v>5</v>
      </c>
      <c r="H13">
        <v>6</v>
      </c>
      <c r="I13">
        <v>10</v>
      </c>
      <c r="J13">
        <v>10</v>
      </c>
      <c r="K13">
        <v>13</v>
      </c>
      <c r="L13">
        <v>10</v>
      </c>
      <c r="M13">
        <v>10</v>
      </c>
      <c r="N13">
        <v>10</v>
      </c>
      <c r="O13">
        <v>13</v>
      </c>
      <c r="P13">
        <v>13</v>
      </c>
      <c r="Q13">
        <v>25</v>
      </c>
      <c r="R13">
        <v>34</v>
      </c>
      <c r="S13">
        <v>41</v>
      </c>
      <c r="T13">
        <v>36</v>
      </c>
      <c r="U13">
        <v>22</v>
      </c>
      <c r="V13">
        <v>20</v>
      </c>
      <c r="W13">
        <v>34</v>
      </c>
      <c r="X13">
        <v>13</v>
      </c>
      <c r="Y13">
        <v>16</v>
      </c>
      <c r="Z13">
        <v>19</v>
      </c>
      <c r="AA13">
        <v>17</v>
      </c>
      <c r="AB13">
        <v>18</v>
      </c>
      <c r="AC13">
        <v>23</v>
      </c>
      <c r="AD13">
        <v>26</v>
      </c>
      <c r="AE13">
        <v>19</v>
      </c>
    </row>
    <row r="14" spans="1:31" x14ac:dyDescent="0.3">
      <c r="A14" t="s">
        <v>295</v>
      </c>
      <c r="B14" t="s">
        <v>146</v>
      </c>
      <c r="C14" t="s">
        <v>0</v>
      </c>
      <c r="D14" t="s">
        <v>147</v>
      </c>
      <c r="E14" t="s">
        <v>123</v>
      </c>
      <c r="F14">
        <v>3.5244755244755201</v>
      </c>
      <c r="G14">
        <v>5.8741258741258697</v>
      </c>
      <c r="H14">
        <v>8.2237762237762198</v>
      </c>
      <c r="I14">
        <v>11.7482517482517</v>
      </c>
      <c r="J14">
        <v>11.7482517482517</v>
      </c>
      <c r="K14">
        <v>12.9230769230769</v>
      </c>
      <c r="L14">
        <v>14</v>
      </c>
      <c r="M14">
        <v>12</v>
      </c>
      <c r="N14">
        <v>15</v>
      </c>
      <c r="O14">
        <v>17</v>
      </c>
      <c r="P14">
        <v>18</v>
      </c>
      <c r="Q14">
        <v>26</v>
      </c>
      <c r="R14">
        <v>19</v>
      </c>
      <c r="S14">
        <v>47</v>
      </c>
      <c r="T14">
        <v>11</v>
      </c>
      <c r="U14">
        <v>14</v>
      </c>
      <c r="V14">
        <v>14</v>
      </c>
      <c r="W14">
        <v>11</v>
      </c>
      <c r="X14">
        <v>7</v>
      </c>
      <c r="Y14">
        <v>13</v>
      </c>
      <c r="Z14">
        <v>16</v>
      </c>
      <c r="AA14">
        <v>14</v>
      </c>
      <c r="AB14">
        <v>17</v>
      </c>
      <c r="AC14">
        <v>14</v>
      </c>
      <c r="AD14">
        <v>14</v>
      </c>
      <c r="AE14">
        <v>19</v>
      </c>
    </row>
    <row r="15" spans="1:31" x14ac:dyDescent="0.3">
      <c r="A15" t="s">
        <v>295</v>
      </c>
      <c r="B15" t="s">
        <v>148</v>
      </c>
      <c r="C15" t="s">
        <v>0</v>
      </c>
      <c r="D15" t="s">
        <v>149</v>
      </c>
      <c r="E15" t="s">
        <v>123</v>
      </c>
      <c r="F15">
        <v>5.6470588235294104</v>
      </c>
      <c r="G15">
        <v>9.0352941176470605</v>
      </c>
      <c r="H15">
        <v>11.294117647058799</v>
      </c>
      <c r="I15">
        <v>15.8117647058824</v>
      </c>
      <c r="J15">
        <v>14.6823529411765</v>
      </c>
      <c r="K15">
        <v>16.9411764705882</v>
      </c>
      <c r="L15">
        <v>18</v>
      </c>
      <c r="M15">
        <v>14</v>
      </c>
      <c r="N15">
        <v>20</v>
      </c>
      <c r="O15">
        <v>22</v>
      </c>
      <c r="P15">
        <v>22</v>
      </c>
      <c r="Q15">
        <v>31</v>
      </c>
      <c r="R15">
        <v>24</v>
      </c>
      <c r="S15">
        <v>55</v>
      </c>
      <c r="T15">
        <v>16</v>
      </c>
      <c r="U15">
        <v>17</v>
      </c>
      <c r="V15">
        <v>18</v>
      </c>
      <c r="W15">
        <v>14</v>
      </c>
      <c r="X15">
        <v>11</v>
      </c>
      <c r="Y15">
        <v>14</v>
      </c>
      <c r="Z15">
        <v>18</v>
      </c>
      <c r="AA15">
        <v>16</v>
      </c>
      <c r="AB15">
        <v>19</v>
      </c>
      <c r="AC15">
        <v>16</v>
      </c>
      <c r="AD15">
        <v>16</v>
      </c>
      <c r="AE15">
        <v>21</v>
      </c>
    </row>
    <row r="16" spans="1:31" x14ac:dyDescent="0.3">
      <c r="A16" t="s">
        <v>295</v>
      </c>
      <c r="B16" t="s">
        <v>150</v>
      </c>
      <c r="C16" t="s">
        <v>0</v>
      </c>
      <c r="D16" t="s">
        <v>151</v>
      </c>
      <c r="E16" t="s">
        <v>123</v>
      </c>
      <c r="F16">
        <v>2</v>
      </c>
      <c r="G16">
        <v>3</v>
      </c>
      <c r="H16">
        <v>3</v>
      </c>
      <c r="I16">
        <v>4</v>
      </c>
      <c r="J16">
        <v>3</v>
      </c>
      <c r="K16">
        <v>4</v>
      </c>
      <c r="L16">
        <v>4</v>
      </c>
      <c r="M16">
        <v>2</v>
      </c>
      <c r="N16">
        <v>5</v>
      </c>
      <c r="O16">
        <v>5</v>
      </c>
      <c r="P16">
        <v>4</v>
      </c>
      <c r="Q16">
        <v>5</v>
      </c>
      <c r="R16">
        <v>5</v>
      </c>
      <c r="S16">
        <v>8</v>
      </c>
      <c r="T16">
        <v>5</v>
      </c>
      <c r="U16">
        <v>3</v>
      </c>
      <c r="V16">
        <v>4</v>
      </c>
      <c r="W16">
        <v>3</v>
      </c>
      <c r="X16">
        <v>4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</row>
    <row r="17" spans="1:31" x14ac:dyDescent="0.3">
      <c r="A17" t="s">
        <v>295</v>
      </c>
      <c r="B17" t="s">
        <v>152</v>
      </c>
      <c r="C17" t="s">
        <v>0</v>
      </c>
      <c r="D17" t="s">
        <v>153</v>
      </c>
      <c r="E17" t="s">
        <v>123</v>
      </c>
      <c r="F17">
        <v>7</v>
      </c>
      <c r="G17">
        <v>8</v>
      </c>
      <c r="H17">
        <v>8</v>
      </c>
      <c r="I17">
        <v>10</v>
      </c>
      <c r="J17">
        <v>10</v>
      </c>
      <c r="K17">
        <v>10</v>
      </c>
      <c r="L17">
        <v>10</v>
      </c>
      <c r="M17">
        <v>8</v>
      </c>
      <c r="N17">
        <v>10</v>
      </c>
      <c r="O17">
        <v>10</v>
      </c>
      <c r="P17">
        <v>13</v>
      </c>
      <c r="Q17">
        <v>24</v>
      </c>
      <c r="R17">
        <v>20</v>
      </c>
      <c r="S17">
        <v>29</v>
      </c>
      <c r="T17">
        <v>28</v>
      </c>
      <c r="U17">
        <v>10</v>
      </c>
      <c r="V17">
        <v>14</v>
      </c>
      <c r="W17">
        <v>15</v>
      </c>
      <c r="X17">
        <v>10</v>
      </c>
      <c r="Y17">
        <v>13</v>
      </c>
      <c r="Z17">
        <v>14</v>
      </c>
      <c r="AA17">
        <v>11</v>
      </c>
      <c r="AB17">
        <v>10</v>
      </c>
      <c r="AC17">
        <v>14</v>
      </c>
      <c r="AD17">
        <v>16</v>
      </c>
      <c r="AE17">
        <v>10</v>
      </c>
    </row>
    <row r="18" spans="1:31" x14ac:dyDescent="0.3">
      <c r="A18" t="s">
        <v>295</v>
      </c>
      <c r="B18" t="s">
        <v>154</v>
      </c>
      <c r="C18" t="s">
        <v>0</v>
      </c>
      <c r="D18" t="s">
        <v>155</v>
      </c>
      <c r="E18" t="s">
        <v>123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295</v>
      </c>
      <c r="B19" t="s">
        <v>156</v>
      </c>
      <c r="C19" t="s">
        <v>0</v>
      </c>
      <c r="D19" t="s">
        <v>157</v>
      </c>
      <c r="E19" t="s">
        <v>123</v>
      </c>
      <c r="F19">
        <v>2</v>
      </c>
      <c r="G19">
        <v>5</v>
      </c>
      <c r="H19">
        <v>5</v>
      </c>
      <c r="I19">
        <v>5</v>
      </c>
      <c r="J19">
        <v>5</v>
      </c>
      <c r="K19">
        <v>6</v>
      </c>
      <c r="L19">
        <v>7</v>
      </c>
      <c r="M19">
        <v>7</v>
      </c>
      <c r="N19">
        <v>6</v>
      </c>
      <c r="O19">
        <v>7</v>
      </c>
      <c r="P19">
        <v>6</v>
      </c>
      <c r="Q19">
        <v>10</v>
      </c>
      <c r="R19">
        <v>10</v>
      </c>
      <c r="S19">
        <v>12</v>
      </c>
      <c r="T19">
        <v>6</v>
      </c>
      <c r="U19">
        <v>6</v>
      </c>
      <c r="V19">
        <v>7</v>
      </c>
      <c r="W19">
        <v>4</v>
      </c>
      <c r="X19">
        <v>3</v>
      </c>
      <c r="Y19">
        <v>10</v>
      </c>
      <c r="Z19">
        <v>16</v>
      </c>
      <c r="AA19">
        <v>13</v>
      </c>
      <c r="AB19">
        <v>14</v>
      </c>
      <c r="AC19">
        <v>13</v>
      </c>
      <c r="AD19">
        <v>14</v>
      </c>
      <c r="AE19">
        <v>11</v>
      </c>
    </row>
    <row r="20" spans="1:31" x14ac:dyDescent="0.3">
      <c r="A20" t="s">
        <v>295</v>
      </c>
      <c r="B20" t="s">
        <v>158</v>
      </c>
      <c r="C20" t="s">
        <v>0</v>
      </c>
      <c r="D20" t="s">
        <v>159</v>
      </c>
      <c r="E20" t="s">
        <v>123</v>
      </c>
      <c r="F20">
        <v>9.9222771363533795</v>
      </c>
      <c r="G20">
        <v>11.162561778397601</v>
      </c>
      <c r="H20">
        <v>13.643131062485899</v>
      </c>
      <c r="I20">
        <v>14.883415704530099</v>
      </c>
      <c r="J20">
        <v>14.883415704530099</v>
      </c>
      <c r="K20">
        <v>13.643131062485899</v>
      </c>
      <c r="L20">
        <v>12.5062034739454</v>
      </c>
      <c r="M20">
        <v>10.4218362282878</v>
      </c>
      <c r="N20">
        <v>12.5062034739454</v>
      </c>
      <c r="O20">
        <v>12.5062034739454</v>
      </c>
      <c r="P20">
        <v>12.5062034739454</v>
      </c>
      <c r="Q20">
        <v>13.548387096774199</v>
      </c>
      <c r="R20">
        <v>11.4640198511166</v>
      </c>
      <c r="S20">
        <v>18.7593052109181</v>
      </c>
      <c r="T20">
        <v>13.548387096774199</v>
      </c>
      <c r="U20">
        <v>45.856079404466499</v>
      </c>
      <c r="V20">
        <v>8.3374689826302699</v>
      </c>
      <c r="W20">
        <v>40.645161290322598</v>
      </c>
      <c r="X20">
        <v>47.758064516128997</v>
      </c>
      <c r="Y20">
        <v>56.903225806451601</v>
      </c>
      <c r="Z20">
        <v>63</v>
      </c>
      <c r="AA20">
        <v>76</v>
      </c>
      <c r="AB20">
        <v>62</v>
      </c>
      <c r="AC20">
        <v>56.918032786885199</v>
      </c>
      <c r="AD20">
        <v>44.721311475409799</v>
      </c>
      <c r="AE20">
        <v>66.065573770491795</v>
      </c>
    </row>
    <row r="21" spans="1:31" x14ac:dyDescent="0.3">
      <c r="A21" t="s">
        <v>295</v>
      </c>
      <c r="B21" t="s">
        <v>160</v>
      </c>
      <c r="C21" t="s">
        <v>0</v>
      </c>
      <c r="D21" t="s">
        <v>161</v>
      </c>
      <c r="E21" t="s">
        <v>123</v>
      </c>
      <c r="F21">
        <v>40.081811890247302</v>
      </c>
      <c r="G21">
        <v>42.586925133387801</v>
      </c>
      <c r="H21">
        <v>46.344594998098401</v>
      </c>
      <c r="I21">
        <v>64.638514076295195</v>
      </c>
      <c r="J21">
        <v>64.638514076295195</v>
      </c>
      <c r="K21">
        <v>55.062437916844097</v>
      </c>
      <c r="L21">
        <v>52.859940400170302</v>
      </c>
      <c r="M21">
        <v>26.948204909890698</v>
      </c>
      <c r="N21">
        <v>29.021143749113101</v>
      </c>
      <c r="O21">
        <v>29.021143749113101</v>
      </c>
      <c r="P21">
        <v>34.203490847169</v>
      </c>
      <c r="Q21">
        <v>30.057613168724298</v>
      </c>
      <c r="R21">
        <v>32.130552007946598</v>
      </c>
      <c r="S21">
        <v>39.3858379452249</v>
      </c>
      <c r="T21">
        <v>31.0940825883355</v>
      </c>
      <c r="U21">
        <v>71.516389953171597</v>
      </c>
      <c r="V21">
        <v>24.875266070668399</v>
      </c>
      <c r="W21">
        <v>83.954022988505699</v>
      </c>
      <c r="X21">
        <v>69.7931034482759</v>
      </c>
      <c r="Y21">
        <v>78.896551724137893</v>
      </c>
      <c r="Z21">
        <v>88</v>
      </c>
      <c r="AA21">
        <v>109</v>
      </c>
      <c r="AB21">
        <v>92</v>
      </c>
      <c r="AC21">
        <v>78.857142857142804</v>
      </c>
      <c r="AD21">
        <v>59.6483516483516</v>
      </c>
      <c r="AE21">
        <v>78.857142857142804</v>
      </c>
    </row>
    <row r="22" spans="1:31" x14ac:dyDescent="0.3">
      <c r="A22" t="s">
        <v>295</v>
      </c>
      <c r="B22" t="s">
        <v>162</v>
      </c>
      <c r="C22" t="s">
        <v>0</v>
      </c>
      <c r="D22" t="s">
        <v>163</v>
      </c>
      <c r="E22" t="s">
        <v>123</v>
      </c>
      <c r="F22">
        <v>29.9133251718617</v>
      </c>
      <c r="G22">
        <v>31.1597137206893</v>
      </c>
      <c r="H22">
        <v>32.4061022695169</v>
      </c>
      <c r="I22">
        <v>49.209266409266398</v>
      </c>
      <c r="J22">
        <v>49.209266409266398</v>
      </c>
      <c r="K22">
        <v>41.007722007722002</v>
      </c>
      <c r="L22">
        <v>39.928571428571402</v>
      </c>
      <c r="M22">
        <v>16.380952380952401</v>
      </c>
      <c r="N22">
        <v>16.380952380952401</v>
      </c>
      <c r="O22">
        <v>16.380952380952401</v>
      </c>
      <c r="P22">
        <v>21.5</v>
      </c>
      <c r="Q22">
        <v>16.380952380952401</v>
      </c>
      <c r="R22">
        <v>20.476190476190499</v>
      </c>
      <c r="S22">
        <v>20.476190476190499</v>
      </c>
      <c r="T22">
        <v>17.404761904761902</v>
      </c>
      <c r="U22">
        <v>25.595238095238098</v>
      </c>
      <c r="V22">
        <v>16.380952380952401</v>
      </c>
      <c r="W22">
        <v>43</v>
      </c>
      <c r="X22">
        <v>22</v>
      </c>
      <c r="Y22">
        <v>22</v>
      </c>
      <c r="Z22">
        <v>25</v>
      </c>
      <c r="AA22">
        <v>33</v>
      </c>
      <c r="AB22">
        <v>30</v>
      </c>
      <c r="AC22">
        <v>22</v>
      </c>
      <c r="AD22">
        <v>15</v>
      </c>
      <c r="AE22">
        <v>13</v>
      </c>
    </row>
    <row r="23" spans="1:31" x14ac:dyDescent="0.3">
      <c r="A23" t="s">
        <v>295</v>
      </c>
      <c r="B23" t="s">
        <v>164</v>
      </c>
      <c r="C23" t="s">
        <v>0</v>
      </c>
      <c r="D23" t="s">
        <v>165</v>
      </c>
      <c r="E23" t="s">
        <v>123</v>
      </c>
      <c r="F23">
        <v>94.497034558857095</v>
      </c>
      <c r="G23">
        <v>98.8584361538812</v>
      </c>
      <c r="H23">
        <v>111.568806516523</v>
      </c>
      <c r="I23">
        <v>131.97773453783799</v>
      </c>
      <c r="J23">
        <v>145.58368655204799</v>
      </c>
      <c r="K23">
        <v>145.58368655204799</v>
      </c>
      <c r="L23">
        <v>129.67958634048</v>
      </c>
      <c r="M23">
        <v>129.67958634048</v>
      </c>
      <c r="N23">
        <v>140.00804896936799</v>
      </c>
      <c r="O23">
        <v>151.39081717825999</v>
      </c>
      <c r="P23">
        <v>159.29929270249701</v>
      </c>
      <c r="Q23">
        <v>164.90842272723299</v>
      </c>
      <c r="R23">
        <v>181.50994179373299</v>
      </c>
      <c r="S23">
        <v>180.423055914728</v>
      </c>
      <c r="T23">
        <v>144.338444731783</v>
      </c>
      <c r="U23">
        <v>209.45353258070699</v>
      </c>
      <c r="V23">
        <v>156.821619265555</v>
      </c>
      <c r="W23">
        <v>146.225563909774</v>
      </c>
      <c r="X23">
        <v>117.593984962406</v>
      </c>
      <c r="Y23">
        <v>117.593984962406</v>
      </c>
      <c r="Z23">
        <v>136</v>
      </c>
      <c r="AA23">
        <v>145</v>
      </c>
      <c r="AB23">
        <v>133.082191780822</v>
      </c>
      <c r="AC23">
        <v>122.157534246575</v>
      </c>
      <c r="AD23">
        <v>95.771506849315102</v>
      </c>
      <c r="AE23">
        <v>77.203561643835599</v>
      </c>
    </row>
    <row r="24" spans="1:31" x14ac:dyDescent="0.3">
      <c r="A24" t="s">
        <v>295</v>
      </c>
      <c r="B24" t="s">
        <v>166</v>
      </c>
      <c r="C24" t="s">
        <v>0</v>
      </c>
      <c r="D24" t="s">
        <v>167</v>
      </c>
      <c r="E24" t="s">
        <v>123</v>
      </c>
      <c r="F24">
        <v>213.06061957352401</v>
      </c>
      <c r="G24">
        <v>237.237711156335</v>
      </c>
      <c r="H24">
        <v>229.915559577436</v>
      </c>
      <c r="I24">
        <v>279.77676526892799</v>
      </c>
      <c r="J24">
        <v>279.77676526892799</v>
      </c>
      <c r="K24">
        <v>303.53139628232799</v>
      </c>
      <c r="L24">
        <v>334.00643606970999</v>
      </c>
      <c r="M24">
        <v>283.32959749361601</v>
      </c>
      <c r="N24">
        <v>300.32937334323299</v>
      </c>
      <c r="O24">
        <v>290.24368543245299</v>
      </c>
      <c r="P24">
        <v>300.25208837839898</v>
      </c>
      <c r="Q24">
        <v>256.88234227929701</v>
      </c>
      <c r="R24">
        <v>298.59827820499498</v>
      </c>
      <c r="S24">
        <v>324.65776430288599</v>
      </c>
      <c r="T24">
        <v>244.85972795907901</v>
      </c>
      <c r="U24">
        <v>325.03503711382098</v>
      </c>
      <c r="V24">
        <v>259.59894053315099</v>
      </c>
      <c r="W24">
        <v>280.70454545454498</v>
      </c>
      <c r="X24">
        <v>185.102272727273</v>
      </c>
      <c r="Y24">
        <v>171.88068181818201</v>
      </c>
      <c r="Z24">
        <v>179</v>
      </c>
      <c r="AA24">
        <v>145</v>
      </c>
      <c r="AB24">
        <v>106</v>
      </c>
      <c r="AC24">
        <v>94</v>
      </c>
      <c r="AD24">
        <v>68.273684210526298</v>
      </c>
      <c r="AE24">
        <v>48.484210526315799</v>
      </c>
    </row>
    <row r="25" spans="1:31" x14ac:dyDescent="0.3">
      <c r="A25" t="s">
        <v>295</v>
      </c>
      <c r="B25" t="s">
        <v>168</v>
      </c>
      <c r="C25" t="s">
        <v>0</v>
      </c>
      <c r="D25" t="s">
        <v>169</v>
      </c>
      <c r="E25" t="s">
        <v>123</v>
      </c>
      <c r="F25">
        <v>24.855034222456901</v>
      </c>
      <c r="G25">
        <v>27.6167046916188</v>
      </c>
      <c r="H25">
        <v>27.6167046916188</v>
      </c>
      <c r="I25">
        <v>30.246867043201501</v>
      </c>
      <c r="J25">
        <v>27.6167046916188</v>
      </c>
      <c r="K25">
        <v>47.701580830977903</v>
      </c>
      <c r="L25">
        <v>43.047768066979998</v>
      </c>
      <c r="M25">
        <v>35.321245593419498</v>
      </c>
      <c r="N25">
        <v>35.321245593419498</v>
      </c>
      <c r="O25">
        <v>37.4619271445358</v>
      </c>
      <c r="P25">
        <v>29.969541715628701</v>
      </c>
      <c r="Q25">
        <v>40.672949471210302</v>
      </c>
      <c r="R25">
        <v>32.110223266745002</v>
      </c>
      <c r="S25">
        <v>49.235675675675701</v>
      </c>
      <c r="T25">
        <v>33.180564042303203</v>
      </c>
      <c r="U25">
        <v>53.517038777908297</v>
      </c>
      <c r="V25">
        <v>48.270270270270302</v>
      </c>
      <c r="W25">
        <v>38</v>
      </c>
      <c r="X25">
        <v>17</v>
      </c>
      <c r="Y25">
        <v>20</v>
      </c>
      <c r="Z25">
        <v>24</v>
      </c>
      <c r="AA25">
        <v>26</v>
      </c>
      <c r="AB25">
        <v>15</v>
      </c>
      <c r="AC25">
        <v>15</v>
      </c>
      <c r="AD25">
        <v>13</v>
      </c>
      <c r="AE25">
        <v>10</v>
      </c>
    </row>
    <row r="26" spans="1:31" x14ac:dyDescent="0.3">
      <c r="A26" t="s">
        <v>295</v>
      </c>
      <c r="B26" t="s">
        <v>170</v>
      </c>
      <c r="C26" t="s">
        <v>0</v>
      </c>
      <c r="D26" t="s">
        <v>171</v>
      </c>
      <c r="E26" t="s">
        <v>123</v>
      </c>
      <c r="F26">
        <v>137.40458936171299</v>
      </c>
      <c r="G26">
        <v>158.778636595758</v>
      </c>
      <c r="H26">
        <v>154.368118912542</v>
      </c>
      <c r="I26">
        <v>189.13571326221401</v>
      </c>
      <c r="J26">
        <v>181.029896979548</v>
      </c>
      <c r="K26">
        <v>175.78265358883601</v>
      </c>
      <c r="L26">
        <v>195.04650603692801</v>
      </c>
      <c r="M26">
        <v>168.81218066354</v>
      </c>
      <c r="N26">
        <v>159.80886436148401</v>
      </c>
      <c r="O26">
        <v>157.58929680090799</v>
      </c>
      <c r="P26">
        <v>168.60952734642601</v>
      </c>
      <c r="Q26">
        <v>125.34787230359299</v>
      </c>
      <c r="R26">
        <v>165.677187740401</v>
      </c>
      <c r="S26">
        <v>171.09147492145999</v>
      </c>
      <c r="T26">
        <v>116.60374405475299</v>
      </c>
      <c r="U26">
        <v>141.43602288122801</v>
      </c>
      <c r="V26">
        <v>120.006322444679</v>
      </c>
      <c r="W26">
        <v>136.84931506849301</v>
      </c>
      <c r="X26">
        <v>93.260273972602704</v>
      </c>
      <c r="Y26">
        <v>81.095890410958901</v>
      </c>
      <c r="Z26">
        <v>74</v>
      </c>
      <c r="AA26">
        <v>60</v>
      </c>
      <c r="AB26">
        <v>49</v>
      </c>
      <c r="AC26">
        <v>38</v>
      </c>
      <c r="AD26">
        <v>24</v>
      </c>
      <c r="AE26">
        <v>15</v>
      </c>
    </row>
    <row r="27" spans="1:31" x14ac:dyDescent="0.3">
      <c r="A27" t="s">
        <v>295</v>
      </c>
      <c r="B27" t="s">
        <v>172</v>
      </c>
      <c r="C27" t="s">
        <v>0</v>
      </c>
      <c r="D27" t="s">
        <v>173</v>
      </c>
      <c r="E27" t="s">
        <v>123</v>
      </c>
      <c r="F27">
        <v>49.759867717319402</v>
      </c>
      <c r="G27">
        <v>49.759867717319402</v>
      </c>
      <c r="H27">
        <v>46.8328166751241</v>
      </c>
      <c r="I27">
        <v>59.229738736186398</v>
      </c>
      <c r="J27">
        <v>70.249225012686196</v>
      </c>
      <c r="K27">
        <v>78.354904821842297</v>
      </c>
      <c r="L27">
        <v>94.784159058680203</v>
      </c>
      <c r="M27">
        <v>78.196931223411099</v>
      </c>
      <c r="N27">
        <v>105.04065388219399</v>
      </c>
      <c r="O27">
        <v>94.652017783955102</v>
      </c>
      <c r="P27">
        <v>101.494332322554</v>
      </c>
      <c r="Q27">
        <v>90.217184286714897</v>
      </c>
      <c r="R27">
        <v>100.24131587412801</v>
      </c>
      <c r="S27">
        <v>103.510054435241</v>
      </c>
      <c r="T27">
        <v>94.700688100326403</v>
      </c>
      <c r="U27">
        <v>129.533125102745</v>
      </c>
      <c r="V27">
        <v>90.673187571921702</v>
      </c>
      <c r="W27">
        <v>105.60759493670901</v>
      </c>
      <c r="X27">
        <v>74.848101265822805</v>
      </c>
      <c r="Y27">
        <v>70.746835443037995</v>
      </c>
      <c r="Z27">
        <v>81</v>
      </c>
      <c r="AA27">
        <v>59</v>
      </c>
      <c r="AB27">
        <v>42</v>
      </c>
      <c r="AC27">
        <v>41</v>
      </c>
      <c r="AD27">
        <v>31.238095238095202</v>
      </c>
      <c r="AE27">
        <v>23.428571428571399</v>
      </c>
    </row>
    <row r="28" spans="1:31" x14ac:dyDescent="0.3">
      <c r="A28" t="s">
        <v>295</v>
      </c>
      <c r="B28" t="s">
        <v>174</v>
      </c>
      <c r="C28" t="s">
        <v>0</v>
      </c>
      <c r="D28" t="s">
        <v>175</v>
      </c>
      <c r="E28" t="s">
        <v>123</v>
      </c>
      <c r="F28">
        <v>765.25700418138399</v>
      </c>
      <c r="G28">
        <v>670.36513566289295</v>
      </c>
      <c r="H28">
        <v>1046.2431587498099</v>
      </c>
      <c r="I28">
        <v>1128.7676859774001</v>
      </c>
      <c r="J28">
        <v>1126.04776384252</v>
      </c>
      <c r="K28">
        <v>776.63013220520395</v>
      </c>
      <c r="L28">
        <v>1001.12477979577</v>
      </c>
      <c r="M28">
        <v>662.44151140155896</v>
      </c>
      <c r="N28">
        <v>522.266174517953</v>
      </c>
      <c r="O28">
        <v>1080.31932459174</v>
      </c>
      <c r="P28">
        <v>994.73847274650905</v>
      </c>
      <c r="Q28">
        <v>1099.3306611560999</v>
      </c>
      <c r="R28">
        <v>1168.3868931638799</v>
      </c>
      <c r="S28">
        <v>800.00660016254005</v>
      </c>
      <c r="T28">
        <v>1079.3385136271099</v>
      </c>
      <c r="U28">
        <v>739.13633325388605</v>
      </c>
      <c r="V28">
        <v>889.59945012726303</v>
      </c>
      <c r="W28">
        <v>885.26522625331802</v>
      </c>
      <c r="X28">
        <v>975.79175355151699</v>
      </c>
      <c r="Y28">
        <v>637.40377358490605</v>
      </c>
      <c r="Z28">
        <v>828</v>
      </c>
      <c r="AA28">
        <v>1222</v>
      </c>
      <c r="AB28">
        <v>1027.27479674797</v>
      </c>
      <c r="AC28">
        <v>1022.31690680227</v>
      </c>
      <c r="AD28">
        <v>1161.5890651202601</v>
      </c>
      <c r="AE28">
        <v>791.24142176392797</v>
      </c>
    </row>
    <row r="29" spans="1:31" x14ac:dyDescent="0.3">
      <c r="A29" t="s">
        <v>295</v>
      </c>
      <c r="B29" t="s">
        <v>176</v>
      </c>
      <c r="C29" t="s">
        <v>0</v>
      </c>
      <c r="D29" t="s">
        <v>177</v>
      </c>
      <c r="E29" t="s">
        <v>123</v>
      </c>
      <c r="F29">
        <v>607.658688459411</v>
      </c>
      <c r="G29">
        <v>510.95291143617902</v>
      </c>
      <c r="H29">
        <v>541.66592797059502</v>
      </c>
      <c r="I29">
        <v>599.65449446866296</v>
      </c>
      <c r="J29">
        <v>617.63128873538994</v>
      </c>
      <c r="K29">
        <v>515.72833968850398</v>
      </c>
      <c r="L29">
        <v>515.72833968850398</v>
      </c>
      <c r="M29">
        <v>473.65008603191097</v>
      </c>
      <c r="N29">
        <v>482.14605170064499</v>
      </c>
      <c r="O29">
        <v>549.37338788548402</v>
      </c>
      <c r="P29">
        <v>588.01752353522397</v>
      </c>
      <c r="Q29">
        <v>458.27700232816397</v>
      </c>
      <c r="R29">
        <v>434.267045486369</v>
      </c>
      <c r="S29">
        <v>541.275432292819</v>
      </c>
      <c r="T29">
        <v>427.15740111309498</v>
      </c>
      <c r="U29">
        <v>431.314650758965</v>
      </c>
      <c r="V29">
        <v>489.98991351137698</v>
      </c>
      <c r="W29">
        <v>384.48483896648497</v>
      </c>
      <c r="X29">
        <v>387.48082472466501</v>
      </c>
      <c r="Y29">
        <v>451.89056603773599</v>
      </c>
      <c r="Z29">
        <v>537</v>
      </c>
      <c r="AA29">
        <v>672</v>
      </c>
      <c r="AB29">
        <v>642.309278350515</v>
      </c>
      <c r="AC29">
        <v>605.04553395766095</v>
      </c>
      <c r="AD29">
        <v>594.32814124665595</v>
      </c>
      <c r="AE29">
        <v>521.25500912616496</v>
      </c>
    </row>
    <row r="30" spans="1:31" x14ac:dyDescent="0.3">
      <c r="A30" t="s">
        <v>295</v>
      </c>
      <c r="B30" t="s">
        <v>178</v>
      </c>
      <c r="C30" t="s">
        <v>0</v>
      </c>
      <c r="D30" t="s">
        <v>179</v>
      </c>
      <c r="E30" t="s">
        <v>123</v>
      </c>
      <c r="F30">
        <v>-10.4218534938117</v>
      </c>
      <c r="G30">
        <v>-10.4218534938117</v>
      </c>
      <c r="H30">
        <v>334.98814801537497</v>
      </c>
      <c r="I30">
        <v>267.42751312151802</v>
      </c>
      <c r="J30">
        <v>141.90031308488699</v>
      </c>
      <c r="K30">
        <v>27.849594156847001</v>
      </c>
      <c r="L30">
        <v>199.79056677738001</v>
      </c>
      <c r="M30">
        <v>81.5237370183564</v>
      </c>
      <c r="N30">
        <v>-53.2168838869826</v>
      </c>
      <c r="O30">
        <v>360.06317183107399</v>
      </c>
      <c r="P30">
        <v>101.26776707749001</v>
      </c>
      <c r="Q30">
        <v>230.35634928615701</v>
      </c>
      <c r="R30">
        <v>384.67273861377799</v>
      </c>
      <c r="S30">
        <v>-11.1499344525733</v>
      </c>
      <c r="T30">
        <v>98.119423182644695</v>
      </c>
      <c r="U30">
        <v>41.8936863027022</v>
      </c>
      <c r="V30">
        <v>214.980758658604</v>
      </c>
      <c r="W30">
        <v>332.24299065420598</v>
      </c>
      <c r="X30">
        <v>225</v>
      </c>
      <c r="Y30">
        <v>6</v>
      </c>
      <c r="Z30">
        <v>75</v>
      </c>
      <c r="AA30">
        <v>78</v>
      </c>
      <c r="AB30">
        <v>-65</v>
      </c>
      <c r="AC30">
        <v>143</v>
      </c>
      <c r="AD30">
        <v>117.180555555556</v>
      </c>
      <c r="AE30">
        <v>79.761554621848703</v>
      </c>
    </row>
    <row r="31" spans="1:31" x14ac:dyDescent="0.3">
      <c r="A31" t="s">
        <v>295</v>
      </c>
      <c r="B31" t="s">
        <v>180</v>
      </c>
      <c r="C31" t="s">
        <v>0</v>
      </c>
      <c r="D31" t="s">
        <v>181</v>
      </c>
      <c r="E31" t="s">
        <v>123</v>
      </c>
      <c r="F31">
        <v>104.162556743593</v>
      </c>
      <c r="G31">
        <v>142.03985010490001</v>
      </c>
      <c r="H31">
        <v>74.661972491036906</v>
      </c>
      <c r="I31">
        <v>144.11497015711799</v>
      </c>
      <c r="J31">
        <v>375.36922459528398</v>
      </c>
      <c r="K31">
        <v>191.74704979326199</v>
      </c>
      <c r="L31">
        <v>268.14626494526402</v>
      </c>
      <c r="M31">
        <v>58.169295570136697</v>
      </c>
      <c r="N31">
        <v>38.779530380091202</v>
      </c>
      <c r="O31">
        <v>119.108557595994</v>
      </c>
      <c r="P31">
        <v>302.56311757143402</v>
      </c>
      <c r="Q31">
        <v>378.20389696429203</v>
      </c>
      <c r="R31">
        <v>351.97807929158603</v>
      </c>
      <c r="S31">
        <v>246.10967262966301</v>
      </c>
      <c r="T31">
        <v>566.88183021439295</v>
      </c>
      <c r="U31">
        <v>161.57501440893299</v>
      </c>
      <c r="V31">
        <v>109.979631656501</v>
      </c>
      <c r="W31">
        <v>136.803932060525</v>
      </c>
      <c r="X31">
        <v>353.93310863365298</v>
      </c>
      <c r="Y31">
        <v>114.045112781955</v>
      </c>
      <c r="Z31">
        <v>158</v>
      </c>
      <c r="AA31">
        <v>316</v>
      </c>
      <c r="AB31">
        <v>355.12380952381</v>
      </c>
      <c r="AC31">
        <v>216.118204081633</v>
      </c>
      <c r="AD31">
        <v>363.61119644066201</v>
      </c>
      <c r="AE31">
        <v>126.72776283454699</v>
      </c>
    </row>
    <row r="32" spans="1:31" x14ac:dyDescent="0.3">
      <c r="A32" t="s">
        <v>295</v>
      </c>
      <c r="B32" t="s">
        <v>182</v>
      </c>
      <c r="C32" t="s">
        <v>0</v>
      </c>
      <c r="D32" t="s">
        <v>183</v>
      </c>
      <c r="E32" t="s">
        <v>123</v>
      </c>
      <c r="F32">
        <v>32.737154869256003</v>
      </c>
      <c r="G32">
        <v>17.023320532013098</v>
      </c>
      <c r="H32">
        <v>65.474309738512005</v>
      </c>
      <c r="I32">
        <v>92.652325101667898</v>
      </c>
      <c r="J32">
        <v>18.049154240584699</v>
      </c>
      <c r="K32">
        <v>22.862262038073901</v>
      </c>
      <c r="L32">
        <v>24.005375139977598</v>
      </c>
      <c r="M32">
        <v>17.458454647256399</v>
      </c>
      <c r="N32">
        <v>21.8230683090705</v>
      </c>
      <c r="O32">
        <v>25.0965285554311</v>
      </c>
      <c r="P32">
        <v>20.731914893616999</v>
      </c>
      <c r="Q32">
        <v>42.554983202687602</v>
      </c>
      <c r="R32">
        <v>22.914221724524101</v>
      </c>
      <c r="S32">
        <v>22.914221724524101</v>
      </c>
      <c r="T32">
        <v>40.3726763717805</v>
      </c>
      <c r="U32">
        <v>62.195744680851099</v>
      </c>
      <c r="V32">
        <v>39.676595744680903</v>
      </c>
      <c r="W32">
        <v>21.446808510638299</v>
      </c>
      <c r="X32">
        <v>27.5744680851064</v>
      </c>
      <c r="Y32">
        <v>44.936170212766001</v>
      </c>
      <c r="Z32">
        <v>48</v>
      </c>
      <c r="AA32">
        <v>139</v>
      </c>
      <c r="AB32">
        <v>75.907801418439703</v>
      </c>
      <c r="AC32">
        <v>48.304964539007102</v>
      </c>
      <c r="AD32">
        <v>80.186241134751796</v>
      </c>
      <c r="AE32">
        <v>58.932056737588702</v>
      </c>
    </row>
    <row r="33" spans="1:31" x14ac:dyDescent="0.3">
      <c r="A33" t="s">
        <v>295</v>
      </c>
      <c r="B33" t="s">
        <v>184</v>
      </c>
      <c r="C33" t="s">
        <v>0</v>
      </c>
      <c r="D33" t="s">
        <v>185</v>
      </c>
      <c r="E33" t="s">
        <v>123</v>
      </c>
      <c r="F33">
        <v>7.171875</v>
      </c>
      <c r="G33">
        <v>3.5859375</v>
      </c>
      <c r="H33">
        <v>3.5859375</v>
      </c>
      <c r="I33">
        <v>4.78125</v>
      </c>
      <c r="J33">
        <v>4.78125</v>
      </c>
      <c r="K33">
        <v>19.125</v>
      </c>
      <c r="L33">
        <v>9</v>
      </c>
      <c r="M33">
        <v>10</v>
      </c>
      <c r="N33">
        <v>7</v>
      </c>
      <c r="O33">
        <v>16</v>
      </c>
      <c r="P33">
        <v>2</v>
      </c>
      <c r="Q33">
        <v>29</v>
      </c>
      <c r="R33">
        <v>13</v>
      </c>
      <c r="S33">
        <v>10</v>
      </c>
      <c r="T33">
        <v>23</v>
      </c>
      <c r="U33">
        <v>39</v>
      </c>
      <c r="V33">
        <v>21</v>
      </c>
      <c r="W33">
        <v>10</v>
      </c>
      <c r="X33">
        <v>16</v>
      </c>
      <c r="Y33">
        <v>20</v>
      </c>
      <c r="Z33">
        <v>10</v>
      </c>
      <c r="AA33">
        <v>17</v>
      </c>
      <c r="AB33">
        <v>19</v>
      </c>
      <c r="AC33">
        <v>9</v>
      </c>
      <c r="AD33">
        <v>10</v>
      </c>
      <c r="AE33">
        <v>7</v>
      </c>
    </row>
    <row r="34" spans="1:31" x14ac:dyDescent="0.3">
      <c r="A34" t="s">
        <v>295</v>
      </c>
      <c r="B34" t="s">
        <v>186</v>
      </c>
      <c r="C34" t="s">
        <v>0</v>
      </c>
      <c r="D34" t="s">
        <v>187</v>
      </c>
      <c r="E34" t="s">
        <v>123</v>
      </c>
      <c r="F34">
        <v>11.9787045252884</v>
      </c>
      <c r="G34">
        <v>14.374445430346</v>
      </c>
      <c r="H34">
        <v>8.3850931677018608</v>
      </c>
      <c r="I34">
        <v>16.7701863354037</v>
      </c>
      <c r="J34">
        <v>17.9680567879326</v>
      </c>
      <c r="K34">
        <v>16.7701863354037</v>
      </c>
      <c r="L34">
        <v>15.6521739130435</v>
      </c>
      <c r="M34">
        <v>16.695652173913</v>
      </c>
      <c r="N34">
        <v>18.7826086956522</v>
      </c>
      <c r="O34">
        <v>19.826086956521699</v>
      </c>
      <c r="P34">
        <v>21.913043478260899</v>
      </c>
      <c r="Q34">
        <v>25.043478260869598</v>
      </c>
      <c r="R34">
        <v>16.695652173913</v>
      </c>
      <c r="S34">
        <v>13.5652173913043</v>
      </c>
      <c r="T34">
        <v>14.6086956521739</v>
      </c>
      <c r="U34">
        <v>22.956521739130402</v>
      </c>
      <c r="V34">
        <v>16.695652173913</v>
      </c>
      <c r="W34">
        <v>24</v>
      </c>
      <c r="X34">
        <v>15</v>
      </c>
      <c r="Y34">
        <v>15</v>
      </c>
      <c r="Z34">
        <v>13</v>
      </c>
      <c r="AA34">
        <v>14</v>
      </c>
      <c r="AB34">
        <v>10</v>
      </c>
      <c r="AC34">
        <v>11</v>
      </c>
      <c r="AD34">
        <v>9</v>
      </c>
      <c r="AE34">
        <v>6</v>
      </c>
    </row>
    <row r="35" spans="1:31" x14ac:dyDescent="0.3">
      <c r="A35" t="s">
        <v>295</v>
      </c>
      <c r="B35" t="s">
        <v>188</v>
      </c>
      <c r="C35" t="s">
        <v>0</v>
      </c>
      <c r="D35" t="s">
        <v>189</v>
      </c>
      <c r="E35" t="s">
        <v>123</v>
      </c>
      <c r="F35">
        <v>33.0351862021895</v>
      </c>
      <c r="G35">
        <v>41.293982752736902</v>
      </c>
      <c r="H35">
        <v>45.423381028010603</v>
      </c>
      <c r="I35">
        <v>50.614624574068898</v>
      </c>
      <c r="J35">
        <v>55.8058681201273</v>
      </c>
      <c r="K35">
        <v>68.783976985273199</v>
      </c>
      <c r="L35">
        <v>62.854323796887599</v>
      </c>
      <c r="M35">
        <v>54.997533322276603</v>
      </c>
      <c r="N35">
        <v>42.898075991375798</v>
      </c>
      <c r="O35">
        <v>96.795658647206807</v>
      </c>
      <c r="P35">
        <v>84.832150275080195</v>
      </c>
      <c r="Q35">
        <v>72.868641902953499</v>
      </c>
      <c r="R35">
        <v>75.043825243340194</v>
      </c>
      <c r="S35">
        <v>101.845191401676</v>
      </c>
      <c r="T35">
        <v>90.052590292008205</v>
      </c>
      <c r="U35">
        <v>135.60860655737699</v>
      </c>
      <c r="V35">
        <v>58.868852459016402</v>
      </c>
      <c r="W35">
        <v>63</v>
      </c>
      <c r="X35">
        <v>43</v>
      </c>
      <c r="Y35">
        <v>37</v>
      </c>
      <c r="Z35">
        <v>34</v>
      </c>
      <c r="AA35">
        <v>34</v>
      </c>
      <c r="AB35">
        <v>29</v>
      </c>
      <c r="AC35">
        <v>34</v>
      </c>
      <c r="AD35">
        <v>22</v>
      </c>
      <c r="AE35">
        <v>23</v>
      </c>
    </row>
    <row r="36" spans="1:31" x14ac:dyDescent="0.3">
      <c r="A36" t="s">
        <v>295</v>
      </c>
      <c r="B36" t="s">
        <v>190</v>
      </c>
      <c r="C36" t="s">
        <v>0</v>
      </c>
      <c r="D36" t="s">
        <v>191</v>
      </c>
      <c r="E36" t="s">
        <v>123</v>
      </c>
      <c r="F36">
        <v>5.86805555555555</v>
      </c>
      <c r="G36">
        <v>8.2152777777777803</v>
      </c>
      <c r="H36">
        <v>10.5625</v>
      </c>
      <c r="I36">
        <v>12.9097222222222</v>
      </c>
      <c r="J36">
        <v>12.9097222222222</v>
      </c>
      <c r="K36">
        <v>14.0833333333333</v>
      </c>
      <c r="L36">
        <v>13</v>
      </c>
      <c r="M36">
        <v>12</v>
      </c>
      <c r="N36">
        <v>10</v>
      </c>
      <c r="O36">
        <v>10</v>
      </c>
      <c r="P36">
        <v>14</v>
      </c>
      <c r="Q36">
        <v>13</v>
      </c>
      <c r="R36">
        <v>12</v>
      </c>
      <c r="S36">
        <v>10</v>
      </c>
      <c r="T36">
        <v>14</v>
      </c>
      <c r="U36">
        <v>15</v>
      </c>
      <c r="V36">
        <v>13</v>
      </c>
      <c r="W36">
        <v>13</v>
      </c>
      <c r="X36">
        <v>5</v>
      </c>
      <c r="Y36">
        <v>5</v>
      </c>
      <c r="Z36">
        <v>3</v>
      </c>
      <c r="AA36">
        <v>4</v>
      </c>
      <c r="AB36">
        <v>5</v>
      </c>
      <c r="AC36">
        <v>5</v>
      </c>
      <c r="AD36">
        <v>4</v>
      </c>
      <c r="AE36">
        <v>3</v>
      </c>
    </row>
    <row r="37" spans="1:31" x14ac:dyDescent="0.3">
      <c r="A37" t="s">
        <v>295</v>
      </c>
      <c r="B37" t="s">
        <v>192</v>
      </c>
      <c r="C37" t="s">
        <v>0</v>
      </c>
      <c r="D37" t="s">
        <v>193</v>
      </c>
      <c r="E37" t="s">
        <v>123</v>
      </c>
      <c r="F37">
        <v>11.085528151366001</v>
      </c>
      <c r="G37">
        <v>11.085528151366001</v>
      </c>
      <c r="H37">
        <v>16.628292227048998</v>
      </c>
      <c r="I37">
        <v>17.907391629129702</v>
      </c>
      <c r="J37">
        <v>17.907391629129702</v>
      </c>
      <c r="K37">
        <v>29.419286247855901</v>
      </c>
      <c r="L37">
        <v>23.535428998284701</v>
      </c>
      <c r="M37">
        <v>17.931755427264498</v>
      </c>
      <c r="N37">
        <v>14.5695512846524</v>
      </c>
      <c r="O37">
        <v>67.244082852242002</v>
      </c>
      <c r="P37">
        <v>51.811014656645497</v>
      </c>
      <c r="Q37">
        <v>36.3779464610489</v>
      </c>
      <c r="R37">
        <v>62.8346347963573</v>
      </c>
      <c r="S37">
        <v>75.834904064569102</v>
      </c>
      <c r="T37">
        <v>75.834904064569102</v>
      </c>
      <c r="U37">
        <v>105.741626794258</v>
      </c>
      <c r="V37">
        <v>40.181818181818201</v>
      </c>
      <c r="W37">
        <v>34</v>
      </c>
      <c r="X37">
        <v>27</v>
      </c>
      <c r="Y37">
        <v>25</v>
      </c>
      <c r="Z37">
        <v>20</v>
      </c>
      <c r="AA37">
        <v>21</v>
      </c>
      <c r="AB37">
        <v>17</v>
      </c>
      <c r="AC37">
        <v>19</v>
      </c>
      <c r="AD37">
        <v>15</v>
      </c>
      <c r="AE37">
        <v>18</v>
      </c>
    </row>
    <row r="38" spans="1:31" x14ac:dyDescent="0.3">
      <c r="A38" t="s">
        <v>295</v>
      </c>
      <c r="B38" t="s">
        <v>194</v>
      </c>
      <c r="C38" t="s">
        <v>0</v>
      </c>
      <c r="D38" t="s">
        <v>195</v>
      </c>
      <c r="E38" t="s">
        <v>123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>
        <v>0</v>
      </c>
      <c r="S38" t="e">
        <v>#NUM!</v>
      </c>
      <c r="T38">
        <v>0</v>
      </c>
      <c r="U38">
        <v>14.9333333333333</v>
      </c>
      <c r="V38">
        <v>5.3333333333333304</v>
      </c>
      <c r="W38">
        <v>16</v>
      </c>
      <c r="X38">
        <v>11</v>
      </c>
      <c r="Y38">
        <v>7</v>
      </c>
      <c r="Z38">
        <v>11</v>
      </c>
      <c r="AA38">
        <v>9</v>
      </c>
      <c r="AB38">
        <v>7</v>
      </c>
      <c r="AC38">
        <v>10</v>
      </c>
      <c r="AD38">
        <v>3</v>
      </c>
      <c r="AE38">
        <v>2</v>
      </c>
    </row>
    <row r="39" spans="1:31" x14ac:dyDescent="0.3">
      <c r="A39" t="s">
        <v>295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31" x14ac:dyDescent="0.3">
      <c r="A40" t="s">
        <v>295</v>
      </c>
      <c r="B40" t="s">
        <v>198</v>
      </c>
      <c r="C40" t="s">
        <v>0</v>
      </c>
      <c r="D40" t="s">
        <v>199</v>
      </c>
      <c r="E40" t="s">
        <v>123</v>
      </c>
      <c r="F40">
        <v>8.3404255319148994</v>
      </c>
      <c r="G40">
        <v>14.5957446808511</v>
      </c>
      <c r="H40">
        <v>9.3829787234042605</v>
      </c>
      <c r="I40">
        <v>8.3404255319148994</v>
      </c>
      <c r="J40">
        <v>10.4255319148936</v>
      </c>
      <c r="K40">
        <v>12.510638297872299</v>
      </c>
      <c r="L40">
        <v>8.3404255319148994</v>
      </c>
      <c r="M40">
        <v>17.723404255319199</v>
      </c>
      <c r="N40">
        <v>21.893617021276601</v>
      </c>
      <c r="O40">
        <v>20.851063829787201</v>
      </c>
      <c r="P40">
        <v>32.319148936170201</v>
      </c>
      <c r="Q40">
        <v>35.446808510638299</v>
      </c>
      <c r="R40">
        <v>33.361702127659598</v>
      </c>
      <c r="S40">
        <v>51.085106382978701</v>
      </c>
      <c r="T40">
        <v>57.340425531914903</v>
      </c>
      <c r="U40">
        <v>51.085106382978701</v>
      </c>
      <c r="V40">
        <v>36.489361702127702</v>
      </c>
      <c r="W40">
        <v>50.042553191489397</v>
      </c>
      <c r="X40">
        <v>53.106382978723403</v>
      </c>
      <c r="Y40">
        <v>50.042553191489397</v>
      </c>
      <c r="Z40">
        <v>48</v>
      </c>
      <c r="AA40">
        <v>54</v>
      </c>
      <c r="AB40">
        <v>38.716981132075503</v>
      </c>
      <c r="AC40">
        <v>40.809790922998502</v>
      </c>
      <c r="AD40">
        <v>30.3457419683835</v>
      </c>
      <c r="AE40">
        <v>23.020907700153</v>
      </c>
    </row>
    <row r="41" spans="1:31" x14ac:dyDescent="0.3">
      <c r="A41" t="s">
        <v>295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295</v>
      </c>
      <c r="B42" t="s">
        <v>202</v>
      </c>
      <c r="C42" t="s">
        <v>0</v>
      </c>
      <c r="D42" t="s">
        <v>203</v>
      </c>
      <c r="E42" t="s">
        <v>123</v>
      </c>
      <c r="F42">
        <v>31.972318339100301</v>
      </c>
      <c r="G42">
        <v>41.445597846981897</v>
      </c>
      <c r="H42">
        <v>63.944636678200702</v>
      </c>
      <c r="I42">
        <v>53.667820069204197</v>
      </c>
      <c r="J42">
        <v>63.944636678200702</v>
      </c>
      <c r="K42">
        <v>58.235294117647101</v>
      </c>
      <c r="L42">
        <v>54</v>
      </c>
      <c r="M42">
        <v>50</v>
      </c>
      <c r="N42">
        <v>53</v>
      </c>
      <c r="O42">
        <v>57</v>
      </c>
      <c r="P42">
        <v>51</v>
      </c>
      <c r="Q42">
        <v>51</v>
      </c>
      <c r="R42">
        <v>65</v>
      </c>
      <c r="S42">
        <v>70</v>
      </c>
      <c r="T42">
        <v>29</v>
      </c>
      <c r="U42">
        <v>42</v>
      </c>
      <c r="V42">
        <v>55</v>
      </c>
      <c r="W42">
        <v>35</v>
      </c>
      <c r="X42">
        <v>28</v>
      </c>
      <c r="Y42">
        <v>27</v>
      </c>
      <c r="Z42">
        <v>20</v>
      </c>
      <c r="AA42">
        <v>24</v>
      </c>
      <c r="AB42">
        <v>20</v>
      </c>
      <c r="AC42">
        <v>18</v>
      </c>
      <c r="AD42">
        <v>18</v>
      </c>
      <c r="AE42">
        <v>13</v>
      </c>
    </row>
    <row r="43" spans="1:31" x14ac:dyDescent="0.3">
      <c r="A43" t="s">
        <v>295</v>
      </c>
      <c r="B43" t="s">
        <v>204</v>
      </c>
      <c r="C43" t="s">
        <v>0</v>
      </c>
      <c r="D43" t="s">
        <v>205</v>
      </c>
      <c r="E43" t="s">
        <v>123</v>
      </c>
      <c r="F43">
        <v>119.712043291732</v>
      </c>
      <c r="G43">
        <v>170.35944622284899</v>
      </c>
      <c r="H43">
        <v>243.046143277932</v>
      </c>
      <c r="I43">
        <v>238.70603357653999</v>
      </c>
      <c r="J43">
        <v>247.38625297932299</v>
      </c>
      <c r="K43">
        <v>251.688622596355</v>
      </c>
      <c r="L43">
        <v>183.926301128105</v>
      </c>
      <c r="M43">
        <v>182.683555850213</v>
      </c>
      <c r="N43">
        <v>218.79542154153401</v>
      </c>
      <c r="O43">
        <v>225.106827932155</v>
      </c>
      <c r="P43">
        <v>223.012810928135</v>
      </c>
      <c r="Q43">
        <v>370.28542191841302</v>
      </c>
      <c r="R43">
        <v>271.12066505137398</v>
      </c>
      <c r="S43">
        <v>242.74757219716</v>
      </c>
      <c r="T43">
        <v>159.36905826857</v>
      </c>
      <c r="U43">
        <v>189.774997017179</v>
      </c>
      <c r="V43">
        <v>220.013870168268</v>
      </c>
      <c r="W43">
        <v>217.948012232416</v>
      </c>
      <c r="X43">
        <v>184.803844473569</v>
      </c>
      <c r="Y43">
        <v>210.91743119266101</v>
      </c>
      <c r="Z43">
        <v>220</v>
      </c>
      <c r="AA43">
        <v>235</v>
      </c>
      <c r="AB43">
        <v>321.73819742489297</v>
      </c>
      <c r="AC43">
        <v>232.98283261802601</v>
      </c>
      <c r="AD43">
        <v>222.94046914311099</v>
      </c>
      <c r="AE43">
        <v>171.49266857162399</v>
      </c>
    </row>
    <row r="44" spans="1:31" x14ac:dyDescent="0.3">
      <c r="A44" t="s">
        <v>295</v>
      </c>
      <c r="B44" t="s">
        <v>206</v>
      </c>
      <c r="C44" t="s">
        <v>0</v>
      </c>
      <c r="D44" t="s">
        <v>207</v>
      </c>
      <c r="E44" t="s">
        <v>123</v>
      </c>
      <c r="F44">
        <v>1629.72880171152</v>
      </c>
      <c r="G44">
        <v>1622.21853073589</v>
      </c>
      <c r="H44">
        <v>2113.3083223132098</v>
      </c>
      <c r="I44">
        <v>2318.5526000998302</v>
      </c>
      <c r="J44">
        <v>2372.7958822857199</v>
      </c>
      <c r="K44">
        <v>2059.7657002137598</v>
      </c>
      <c r="L44">
        <v>2236.7768150758802</v>
      </c>
      <c r="M44">
        <v>1819.8490494412799</v>
      </c>
      <c r="N44">
        <v>1745.5235313329099</v>
      </c>
      <c r="O44">
        <v>2361.1322767583601</v>
      </c>
      <c r="P44">
        <v>2272.8656495898199</v>
      </c>
      <c r="Q44">
        <v>2501.5816898001199</v>
      </c>
      <c r="R44">
        <v>2539.7155570226801</v>
      </c>
      <c r="S44">
        <v>2313.3613773136299</v>
      </c>
      <c r="T44">
        <v>2253.4861416655099</v>
      </c>
      <c r="U44">
        <v>2110.8877856253098</v>
      </c>
      <c r="V44">
        <v>2073.3656563734698</v>
      </c>
      <c r="W44">
        <v>2175.02199090455</v>
      </c>
      <c r="X44">
        <v>2019.00342430828</v>
      </c>
      <c r="Y44">
        <v>1701.2450928382</v>
      </c>
      <c r="Z44">
        <v>1933</v>
      </c>
      <c r="AA44">
        <v>2267</v>
      </c>
      <c r="AB44">
        <v>2104.50175901495</v>
      </c>
      <c r="AC44">
        <v>1960.8769944186699</v>
      </c>
      <c r="AD44">
        <v>2006.52494064502</v>
      </c>
      <c r="AE44">
        <v>1552.8672664727001</v>
      </c>
    </row>
    <row r="45" spans="1:31" x14ac:dyDescent="0.3">
      <c r="A45" t="s">
        <v>295</v>
      </c>
      <c r="B45" t="s">
        <v>208</v>
      </c>
      <c r="C45" t="s">
        <v>0</v>
      </c>
      <c r="D45" t="s">
        <v>209</v>
      </c>
      <c r="E45" t="s">
        <v>123</v>
      </c>
      <c r="F45">
        <v>1365.1122164487799</v>
      </c>
      <c r="G45">
        <v>1371.1659291603</v>
      </c>
      <c r="H45">
        <v>1818.3815120834099</v>
      </c>
      <c r="I45">
        <v>2041.9875912955299</v>
      </c>
      <c r="J45">
        <v>2065.4587130345599</v>
      </c>
      <c r="K45">
        <v>1739.1917361713899</v>
      </c>
      <c r="L45">
        <v>1912.6223727839899</v>
      </c>
      <c r="M45">
        <v>1479.4897734646099</v>
      </c>
      <c r="N45">
        <v>1416.5092528615601</v>
      </c>
      <c r="O45">
        <v>2044.2430516934901</v>
      </c>
      <c r="P45">
        <v>1982.1642802781801</v>
      </c>
      <c r="Q45">
        <v>2250.23047761102</v>
      </c>
      <c r="R45">
        <v>2265.46414622154</v>
      </c>
      <c r="S45">
        <v>1990.6657254286699</v>
      </c>
      <c r="T45">
        <v>1945.0032674996701</v>
      </c>
      <c r="U45">
        <v>1831.6706686719899</v>
      </c>
      <c r="V45">
        <v>1771.68613215408</v>
      </c>
      <c r="W45">
        <v>1878.5799788372101</v>
      </c>
      <c r="X45">
        <v>1713.9727517759</v>
      </c>
      <c r="Y45">
        <v>1405.5404570722701</v>
      </c>
      <c r="Z45">
        <v>1661</v>
      </c>
      <c r="AA45">
        <v>2050</v>
      </c>
      <c r="AB45">
        <v>1880.57851239669</v>
      </c>
      <c r="AC45">
        <v>1736.14848893402</v>
      </c>
      <c r="AD45">
        <v>1771.8431466162799</v>
      </c>
      <c r="AE45">
        <v>1314.4033093181099</v>
      </c>
    </row>
    <row r="46" spans="1:31" x14ac:dyDescent="0.3">
      <c r="A46" t="s">
        <v>295</v>
      </c>
      <c r="B46" t="s">
        <v>210</v>
      </c>
      <c r="C46" t="s">
        <v>0</v>
      </c>
      <c r="D46" t="s">
        <v>211</v>
      </c>
      <c r="E46" t="s">
        <v>123</v>
      </c>
      <c r="F46">
        <v>85.3046578342434</v>
      </c>
      <c r="G46">
        <v>133.07526622142001</v>
      </c>
      <c r="H46">
        <v>176.324727743381</v>
      </c>
      <c r="I46">
        <v>198.36531871130401</v>
      </c>
      <c r="J46">
        <v>182.62203944850199</v>
      </c>
      <c r="K46">
        <v>204.289061077985</v>
      </c>
      <c r="L46">
        <v>127.427830177357</v>
      </c>
      <c r="M46">
        <v>131.49467582131501</v>
      </c>
      <c r="N46">
        <v>164.907257382469</v>
      </c>
      <c r="O46">
        <v>167.035092961598</v>
      </c>
      <c r="P46">
        <v>171.26382949227099</v>
      </c>
      <c r="Q46">
        <v>320.18889861598501</v>
      </c>
      <c r="R46">
        <v>204.920895114231</v>
      </c>
      <c r="S46">
        <v>170.944373644514</v>
      </c>
      <c r="T46">
        <v>130.34508490394199</v>
      </c>
      <c r="U46">
        <v>147.30054310282799</v>
      </c>
      <c r="V46">
        <v>164.134890886009</v>
      </c>
      <c r="W46">
        <v>182.83380250593399</v>
      </c>
      <c r="X46">
        <v>156.714687862229</v>
      </c>
      <c r="Y46">
        <v>183.838383838384</v>
      </c>
      <c r="Z46">
        <v>200</v>
      </c>
      <c r="AA46">
        <v>211</v>
      </c>
      <c r="AB46">
        <v>301.86124401913901</v>
      </c>
      <c r="AC46">
        <v>215.03827751196201</v>
      </c>
      <c r="AD46">
        <v>204.98975987121599</v>
      </c>
      <c r="AE46">
        <v>158.53887832404399</v>
      </c>
    </row>
    <row r="47" spans="1:31" x14ac:dyDescent="0.3">
      <c r="A47" t="s">
        <v>295</v>
      </c>
      <c r="B47" t="s">
        <v>212</v>
      </c>
      <c r="C47" t="s">
        <v>0</v>
      </c>
      <c r="D47" t="s">
        <v>213</v>
      </c>
      <c r="E47" t="s">
        <v>123</v>
      </c>
      <c r="F47">
        <v>65.834774071628701</v>
      </c>
      <c r="G47">
        <v>65.834774071628701</v>
      </c>
      <c r="H47">
        <v>44.366912961315002</v>
      </c>
      <c r="I47">
        <v>49.744720592989502</v>
      </c>
      <c r="J47">
        <v>68.567047303850401</v>
      </c>
      <c r="K47">
        <v>75.035636672138196</v>
      </c>
      <c r="L47">
        <v>53.5968833372416</v>
      </c>
      <c r="M47">
        <v>74.123349296185197</v>
      </c>
      <c r="N47">
        <v>66.379118772703094</v>
      </c>
      <c r="O47">
        <v>67.485437418914799</v>
      </c>
      <c r="P47">
        <v>84.080217112090594</v>
      </c>
      <c r="Q47">
        <v>64.425101423550004</v>
      </c>
      <c r="R47">
        <v>49.137789221351703</v>
      </c>
      <c r="S47">
        <v>62.241199680378799</v>
      </c>
      <c r="T47">
        <v>58.965347065621998</v>
      </c>
      <c r="U47">
        <v>105.91923454380201</v>
      </c>
      <c r="V47">
        <v>100.515191965037</v>
      </c>
      <c r="W47">
        <v>103.72312362349599</v>
      </c>
      <c r="X47">
        <v>104.74001699235301</v>
      </c>
      <c r="Y47">
        <v>88.626168224299093</v>
      </c>
      <c r="Z47">
        <v>109</v>
      </c>
      <c r="AA47">
        <v>111</v>
      </c>
      <c r="AB47">
        <v>90</v>
      </c>
      <c r="AC47">
        <v>78.876404494382001</v>
      </c>
      <c r="AD47">
        <v>86.966292134831505</v>
      </c>
      <c r="AE47">
        <v>116.637144745539</v>
      </c>
    </row>
    <row r="48" spans="1:31" x14ac:dyDescent="0.3">
      <c r="A48" t="s">
        <v>295</v>
      </c>
      <c r="B48" t="s">
        <v>214</v>
      </c>
      <c r="C48" t="s">
        <v>0</v>
      </c>
      <c r="D48" t="s">
        <v>215</v>
      </c>
      <c r="E48" t="s">
        <v>123</v>
      </c>
      <c r="F48">
        <v>92.567284855599297</v>
      </c>
      <c r="G48">
        <v>88.542620296660203</v>
      </c>
      <c r="H48">
        <v>67.398113957159296</v>
      </c>
      <c r="I48">
        <v>78.843076704601401</v>
      </c>
      <c r="J48">
        <v>95.374689562017807</v>
      </c>
      <c r="K48">
        <v>104.045115885838</v>
      </c>
      <c r="L48">
        <v>78.891351605745001</v>
      </c>
      <c r="M48">
        <v>106.28418202440599</v>
      </c>
      <c r="N48">
        <v>105.2106044282</v>
      </c>
      <c r="O48">
        <v>117.019957986468</v>
      </c>
      <c r="P48">
        <v>135.270777121972</v>
      </c>
      <c r="Q48">
        <v>117.163665223755</v>
      </c>
      <c r="R48">
        <v>118.22878945306201</v>
      </c>
      <c r="S48">
        <v>124.619534828903</v>
      </c>
      <c r="T48">
        <v>119.29391368236899</v>
      </c>
      <c r="U48">
        <v>168.28962823048499</v>
      </c>
      <c r="V48">
        <v>160.88065088700401</v>
      </c>
      <c r="W48">
        <v>159.82914336486701</v>
      </c>
      <c r="X48">
        <v>153.75968222442901</v>
      </c>
      <c r="Y48">
        <v>133.66037735849099</v>
      </c>
      <c r="Z48">
        <v>161</v>
      </c>
      <c r="AA48">
        <v>152</v>
      </c>
      <c r="AB48">
        <v>120</v>
      </c>
      <c r="AC48">
        <v>107.899159663866</v>
      </c>
      <c r="AD48">
        <v>115.96638655462201</v>
      </c>
      <c r="AE48">
        <v>139.36311366651901</v>
      </c>
    </row>
    <row r="49" spans="1:31" x14ac:dyDescent="0.3">
      <c r="A49" t="s">
        <v>295</v>
      </c>
      <c r="B49" t="s">
        <v>216</v>
      </c>
      <c r="C49" t="s">
        <v>0</v>
      </c>
      <c r="D49" t="s">
        <v>217</v>
      </c>
      <c r="E49" t="s">
        <v>123</v>
      </c>
      <c r="F49">
        <v>20.524886877828099</v>
      </c>
      <c r="G49">
        <v>15.963800904977401</v>
      </c>
      <c r="H49">
        <v>14.823529411764699</v>
      </c>
      <c r="I49">
        <v>17.104072398189999</v>
      </c>
      <c r="J49">
        <v>17.104072398189999</v>
      </c>
      <c r="K49">
        <v>19.384615384615401</v>
      </c>
      <c r="L49">
        <v>14</v>
      </c>
      <c r="M49">
        <v>19</v>
      </c>
      <c r="N49">
        <v>17</v>
      </c>
      <c r="O49">
        <v>19</v>
      </c>
      <c r="P49">
        <v>19</v>
      </c>
      <c r="Q49">
        <v>18</v>
      </c>
      <c r="R49">
        <v>21</v>
      </c>
      <c r="S49">
        <v>22</v>
      </c>
      <c r="T49">
        <v>22</v>
      </c>
      <c r="U49">
        <v>18</v>
      </c>
      <c r="V49">
        <v>17</v>
      </c>
      <c r="W49">
        <v>18</v>
      </c>
      <c r="X49">
        <v>14</v>
      </c>
      <c r="Y49">
        <v>15</v>
      </c>
      <c r="Z49">
        <v>19</v>
      </c>
      <c r="AA49">
        <v>13</v>
      </c>
      <c r="AB49">
        <v>10</v>
      </c>
      <c r="AC49">
        <v>9</v>
      </c>
      <c r="AD49">
        <v>9</v>
      </c>
      <c r="AE49">
        <v>10</v>
      </c>
    </row>
    <row r="50" spans="1:31" x14ac:dyDescent="0.3">
      <c r="A50" t="s">
        <v>295</v>
      </c>
      <c r="B50" t="s">
        <v>218</v>
      </c>
      <c r="C50" t="s">
        <v>0</v>
      </c>
      <c r="D50" t="s">
        <v>219</v>
      </c>
      <c r="E50" t="s">
        <v>123</v>
      </c>
      <c r="F50">
        <v>6.8468468468468497</v>
      </c>
      <c r="G50">
        <v>7.9879879879879896</v>
      </c>
      <c r="H50">
        <v>7.9879879879879896</v>
      </c>
      <c r="I50">
        <v>11.4114114114114</v>
      </c>
      <c r="J50">
        <v>10.2702702702703</v>
      </c>
      <c r="K50">
        <v>10.2702702702703</v>
      </c>
      <c r="L50">
        <v>11.2972972972973</v>
      </c>
      <c r="M50">
        <v>13.351351351351401</v>
      </c>
      <c r="N50">
        <v>21.5675675675676</v>
      </c>
      <c r="O50">
        <v>29.7837837837838</v>
      </c>
      <c r="P50">
        <v>31.837837837837899</v>
      </c>
      <c r="Q50">
        <v>33.891891891891902</v>
      </c>
      <c r="R50">
        <v>46.216216216216203</v>
      </c>
      <c r="S50">
        <v>39.027027027027003</v>
      </c>
      <c r="T50">
        <v>36.972972972972997</v>
      </c>
      <c r="U50">
        <v>44.162162162162197</v>
      </c>
      <c r="V50">
        <v>43.135135135135101</v>
      </c>
      <c r="W50">
        <v>38</v>
      </c>
      <c r="X50">
        <v>35</v>
      </c>
      <c r="Y50">
        <v>30</v>
      </c>
      <c r="Z50">
        <v>33</v>
      </c>
      <c r="AA50">
        <v>28</v>
      </c>
      <c r="AB50">
        <v>20</v>
      </c>
      <c r="AC50">
        <v>20</v>
      </c>
      <c r="AD50">
        <v>20</v>
      </c>
      <c r="AE50">
        <v>13</v>
      </c>
    </row>
    <row r="51" spans="1:31" x14ac:dyDescent="0.3">
      <c r="A51" t="s">
        <v>295</v>
      </c>
      <c r="B51" t="s">
        <v>220</v>
      </c>
      <c r="C51" t="s">
        <v>0</v>
      </c>
      <c r="D51" t="s">
        <v>221</v>
      </c>
      <c r="E51" t="s">
        <v>123</v>
      </c>
      <c r="F51">
        <v>6.0869565217391299</v>
      </c>
      <c r="G51">
        <v>6.0869565217391299</v>
      </c>
      <c r="H51">
        <v>7.3043478260869596</v>
      </c>
      <c r="I51">
        <v>8.5217391304347903</v>
      </c>
      <c r="J51">
        <v>8.5217391304347903</v>
      </c>
      <c r="K51">
        <v>7.3043478260869596</v>
      </c>
      <c r="L51">
        <v>7.3043478260869596</v>
      </c>
      <c r="M51">
        <v>8.3478260869565304</v>
      </c>
      <c r="N51">
        <v>14.6086956521739</v>
      </c>
      <c r="O51">
        <v>19.826086956521699</v>
      </c>
      <c r="P51">
        <v>20.869565217391301</v>
      </c>
      <c r="Q51">
        <v>20.869565217391301</v>
      </c>
      <c r="R51">
        <v>29.2173913043478</v>
      </c>
      <c r="S51">
        <v>25.043478260869598</v>
      </c>
      <c r="T51">
        <v>26.086956521739101</v>
      </c>
      <c r="U51">
        <v>30.260869565217401</v>
      </c>
      <c r="V51">
        <v>29.2173913043478</v>
      </c>
      <c r="W51">
        <v>24</v>
      </c>
      <c r="X51">
        <v>24</v>
      </c>
      <c r="Y51">
        <v>20</v>
      </c>
      <c r="Z51">
        <v>22</v>
      </c>
      <c r="AA51">
        <v>18</v>
      </c>
      <c r="AB51">
        <v>16</v>
      </c>
      <c r="AC51">
        <v>12</v>
      </c>
      <c r="AD51">
        <v>11</v>
      </c>
      <c r="AE51">
        <v>8</v>
      </c>
    </row>
    <row r="52" spans="1:31" x14ac:dyDescent="0.3">
      <c r="A52" t="s">
        <v>295</v>
      </c>
      <c r="B52" t="s">
        <v>222</v>
      </c>
      <c r="C52" t="s">
        <v>0</v>
      </c>
      <c r="D52" t="s">
        <v>223</v>
      </c>
      <c r="E52" t="s">
        <v>123</v>
      </c>
      <c r="F52">
        <v>1</v>
      </c>
      <c r="G52">
        <v>2</v>
      </c>
      <c r="H52">
        <v>1</v>
      </c>
      <c r="I52">
        <v>3</v>
      </c>
      <c r="J52">
        <v>2</v>
      </c>
      <c r="K52">
        <v>3</v>
      </c>
      <c r="L52">
        <v>4</v>
      </c>
      <c r="M52">
        <v>5</v>
      </c>
      <c r="N52">
        <v>7</v>
      </c>
      <c r="O52">
        <v>10</v>
      </c>
      <c r="P52">
        <v>11</v>
      </c>
      <c r="Q52">
        <v>13</v>
      </c>
      <c r="R52">
        <v>17</v>
      </c>
      <c r="S52">
        <v>14</v>
      </c>
      <c r="T52">
        <v>11</v>
      </c>
      <c r="U52">
        <v>14</v>
      </c>
      <c r="V52">
        <v>14</v>
      </c>
      <c r="W52">
        <v>14</v>
      </c>
      <c r="X52">
        <v>11</v>
      </c>
      <c r="Y52">
        <v>10</v>
      </c>
      <c r="Z52">
        <v>11</v>
      </c>
      <c r="AA52">
        <v>10</v>
      </c>
      <c r="AB52">
        <v>4</v>
      </c>
      <c r="AC52">
        <v>8</v>
      </c>
      <c r="AD52">
        <v>9</v>
      </c>
      <c r="AE52">
        <v>5</v>
      </c>
    </row>
    <row r="53" spans="1:31" x14ac:dyDescent="0.3">
      <c r="A53" t="s">
        <v>295</v>
      </c>
      <c r="B53" t="s">
        <v>224</v>
      </c>
      <c r="C53" t="s">
        <v>0</v>
      </c>
      <c r="D53" t="s">
        <v>225</v>
      </c>
      <c r="E53" t="s">
        <v>123</v>
      </c>
      <c r="F53">
        <v>4.3333333333333304</v>
      </c>
      <c r="G53">
        <v>9.75</v>
      </c>
      <c r="H53">
        <v>10.8333333333333</v>
      </c>
      <c r="I53">
        <v>13</v>
      </c>
      <c r="J53">
        <v>14.0833333333333</v>
      </c>
      <c r="K53">
        <v>13</v>
      </c>
      <c r="L53">
        <v>13</v>
      </c>
      <c r="M53">
        <v>13</v>
      </c>
      <c r="N53">
        <v>21</v>
      </c>
      <c r="O53">
        <v>25</v>
      </c>
      <c r="P53">
        <v>28</v>
      </c>
      <c r="Q53">
        <v>28</v>
      </c>
      <c r="R53">
        <v>38</v>
      </c>
      <c r="S53">
        <v>28</v>
      </c>
      <c r="T53">
        <v>29</v>
      </c>
      <c r="U53">
        <v>19</v>
      </c>
      <c r="V53">
        <v>27</v>
      </c>
      <c r="W53">
        <v>26</v>
      </c>
      <c r="X53">
        <v>24</v>
      </c>
      <c r="Y53">
        <v>20</v>
      </c>
      <c r="Z53">
        <v>19</v>
      </c>
      <c r="AA53">
        <v>22</v>
      </c>
      <c r="AB53">
        <v>17</v>
      </c>
      <c r="AC53">
        <v>14</v>
      </c>
      <c r="AD53">
        <v>10</v>
      </c>
      <c r="AE53">
        <v>9</v>
      </c>
    </row>
    <row r="54" spans="1:31" x14ac:dyDescent="0.3">
      <c r="A54" t="s">
        <v>295</v>
      </c>
      <c r="B54" t="s">
        <v>226</v>
      </c>
      <c r="C54" t="s">
        <v>0</v>
      </c>
      <c r="D54" t="s">
        <v>227</v>
      </c>
      <c r="E54" t="s">
        <v>123</v>
      </c>
      <c r="F54">
        <v>14.130434782608701</v>
      </c>
      <c r="G54">
        <v>18.478260869565201</v>
      </c>
      <c r="H54">
        <v>19.565217391304401</v>
      </c>
      <c r="I54">
        <v>25</v>
      </c>
      <c r="J54">
        <v>27.173913043478301</v>
      </c>
      <c r="K54">
        <v>25</v>
      </c>
      <c r="L54">
        <v>26</v>
      </c>
      <c r="M54">
        <v>28</v>
      </c>
      <c r="N54">
        <v>34</v>
      </c>
      <c r="O54">
        <v>42</v>
      </c>
      <c r="P54">
        <v>47</v>
      </c>
      <c r="Q54">
        <v>42</v>
      </c>
      <c r="R54">
        <v>54</v>
      </c>
      <c r="S54">
        <v>43</v>
      </c>
      <c r="T54">
        <v>45</v>
      </c>
      <c r="U54">
        <v>35</v>
      </c>
      <c r="V54">
        <v>37</v>
      </c>
      <c r="W54">
        <v>35</v>
      </c>
      <c r="X54">
        <v>27</v>
      </c>
      <c r="Y54">
        <v>23</v>
      </c>
      <c r="Z54">
        <v>25</v>
      </c>
      <c r="AA54">
        <v>27</v>
      </c>
      <c r="AB54">
        <v>20</v>
      </c>
      <c r="AC54">
        <v>16</v>
      </c>
      <c r="AD54">
        <v>12</v>
      </c>
      <c r="AE54">
        <v>10</v>
      </c>
    </row>
    <row r="55" spans="1:31" x14ac:dyDescent="0.3">
      <c r="A55" t="s">
        <v>295</v>
      </c>
      <c r="B55" t="s">
        <v>228</v>
      </c>
      <c r="C55" t="s">
        <v>0</v>
      </c>
      <c r="D55" t="s">
        <v>229</v>
      </c>
      <c r="E55" t="s">
        <v>123</v>
      </c>
      <c r="F55">
        <v>9.8181818181818201</v>
      </c>
      <c r="G55">
        <v>8.7272727272727302</v>
      </c>
      <c r="H55">
        <v>8.7272727272727302</v>
      </c>
      <c r="I55">
        <v>12</v>
      </c>
      <c r="J55">
        <v>13.090909090909101</v>
      </c>
      <c r="K55">
        <v>12</v>
      </c>
      <c r="L55">
        <v>13</v>
      </c>
      <c r="M55">
        <v>15</v>
      </c>
      <c r="N55">
        <v>13</v>
      </c>
      <c r="O55">
        <v>17</v>
      </c>
      <c r="P55">
        <v>19</v>
      </c>
      <c r="Q55">
        <v>14</v>
      </c>
      <c r="R55">
        <v>16</v>
      </c>
      <c r="S55">
        <v>15</v>
      </c>
      <c r="T55">
        <v>16</v>
      </c>
      <c r="U55">
        <v>16</v>
      </c>
      <c r="V55">
        <v>10</v>
      </c>
      <c r="W55">
        <v>9</v>
      </c>
      <c r="X55">
        <v>3</v>
      </c>
      <c r="Y55">
        <v>3</v>
      </c>
      <c r="Z55">
        <v>6</v>
      </c>
      <c r="AA55">
        <v>5</v>
      </c>
      <c r="AB55">
        <v>3</v>
      </c>
      <c r="AC55">
        <v>2</v>
      </c>
      <c r="AD55">
        <v>2</v>
      </c>
      <c r="AE55">
        <v>1</v>
      </c>
    </row>
    <row r="56" spans="1:31" x14ac:dyDescent="0.3">
      <c r="A56" t="s">
        <v>295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295</v>
      </c>
      <c r="B57" t="s">
        <v>232</v>
      </c>
      <c r="C57" t="s">
        <v>0</v>
      </c>
      <c r="D57" t="s">
        <v>233</v>
      </c>
      <c r="E57" t="s">
        <v>123</v>
      </c>
      <c r="F57">
        <v>1730.1742474282401</v>
      </c>
      <c r="G57">
        <v>1727.1963227338699</v>
      </c>
      <c r="H57">
        <v>2183.4920489768601</v>
      </c>
      <c r="I57">
        <v>2398.3308164967698</v>
      </c>
      <c r="J57">
        <v>2472.8903237453801</v>
      </c>
      <c r="K57">
        <v>2174.2060735432701</v>
      </c>
      <c r="L57">
        <v>2318.1687846946902</v>
      </c>
      <c r="M57">
        <v>1942.5930842830401</v>
      </c>
      <c r="N57">
        <v>1871.9329432265499</v>
      </c>
      <c r="O57">
        <v>2496.6503392174</v>
      </c>
      <c r="P57">
        <v>2439.4331432547201</v>
      </c>
      <c r="Q57">
        <v>2652.1297858576099</v>
      </c>
      <c r="R57">
        <v>2689.0856927097202</v>
      </c>
      <c r="S57">
        <v>2488.05275909075</v>
      </c>
      <c r="T57">
        <v>2429.4081283657802</v>
      </c>
      <c r="U57">
        <v>2330.20460070948</v>
      </c>
      <c r="V57">
        <v>2270.26364635039</v>
      </c>
      <c r="W57">
        <v>2384.51736201015</v>
      </c>
      <c r="X57">
        <v>2225.6178817386199</v>
      </c>
      <c r="Y57">
        <v>1884.87804878049</v>
      </c>
      <c r="Z57">
        <v>2142</v>
      </c>
      <c r="AA57">
        <v>2473</v>
      </c>
      <c r="AB57">
        <v>2263.5082694634898</v>
      </c>
      <c r="AC57">
        <v>2109.6776103737402</v>
      </c>
      <c r="AD57">
        <v>2153.4221037085399</v>
      </c>
      <c r="AE57">
        <v>1714.2503181217901</v>
      </c>
    </row>
    <row r="58" spans="1:31" x14ac:dyDescent="0.3">
      <c r="A58" t="s">
        <v>295</v>
      </c>
      <c r="B58" t="s">
        <v>234</v>
      </c>
      <c r="C58" t="s">
        <v>0</v>
      </c>
      <c r="D58" t="s">
        <v>235</v>
      </c>
      <c r="E58" t="s">
        <v>123</v>
      </c>
      <c r="F58">
        <v>1730.1742474282401</v>
      </c>
      <c r="G58">
        <v>1727.1963227338699</v>
      </c>
      <c r="H58">
        <v>2183.4920489768601</v>
      </c>
      <c r="I58">
        <v>2398.3308164967698</v>
      </c>
      <c r="J58">
        <v>2472.8903237453801</v>
      </c>
      <c r="K58">
        <v>2174.2060735432701</v>
      </c>
      <c r="L58">
        <v>2318.1687846946902</v>
      </c>
      <c r="M58">
        <v>1942.5930842830401</v>
      </c>
      <c r="N58">
        <v>1871.9329432265499</v>
      </c>
      <c r="O58">
        <v>2496.6503392174</v>
      </c>
      <c r="P58">
        <v>2439.4331432547201</v>
      </c>
      <c r="Q58">
        <v>2652.1297858576099</v>
      </c>
      <c r="R58">
        <v>2689.0856927097202</v>
      </c>
      <c r="S58">
        <v>2488.05275909075</v>
      </c>
      <c r="T58">
        <v>2429.4081283657802</v>
      </c>
      <c r="U58">
        <v>2330.20460070948</v>
      </c>
      <c r="V58">
        <v>2270.26364635039</v>
      </c>
      <c r="W58">
        <v>2384.51736201015</v>
      </c>
      <c r="X58">
        <v>2225.6178817386199</v>
      </c>
      <c r="Y58">
        <v>1884.87804878049</v>
      </c>
      <c r="Z58">
        <v>2142</v>
      </c>
      <c r="AA58">
        <v>2473</v>
      </c>
      <c r="AB58">
        <v>2263.5082694634898</v>
      </c>
      <c r="AC58">
        <v>2109.6776103737402</v>
      </c>
      <c r="AD58">
        <v>2153.4221037085399</v>
      </c>
      <c r="AE58">
        <v>1714.2503181217901</v>
      </c>
    </row>
    <row r="59" spans="1:31" x14ac:dyDescent="0.3">
      <c r="A59" t="s">
        <v>295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296</v>
      </c>
      <c r="B2" t="s">
        <v>121</v>
      </c>
      <c r="C2" t="s">
        <v>0</v>
      </c>
      <c r="D2" t="s">
        <v>122</v>
      </c>
      <c r="E2" t="s">
        <v>123</v>
      </c>
      <c r="F2">
        <v>192.39161195969101</v>
      </c>
      <c r="G2">
        <v>174.83496295956701</v>
      </c>
      <c r="H2">
        <v>248.891693994842</v>
      </c>
      <c r="I2">
        <v>271.37223409760202</v>
      </c>
      <c r="J2">
        <v>312.64891695387098</v>
      </c>
      <c r="K2">
        <v>307.83893361611899</v>
      </c>
      <c r="L2">
        <v>327.14236509699799</v>
      </c>
      <c r="M2">
        <v>364.96820106133902</v>
      </c>
      <c r="N2">
        <v>389.99459199125903</v>
      </c>
      <c r="O2">
        <v>396.40546199659502</v>
      </c>
      <c r="P2">
        <v>385.42470127646698</v>
      </c>
      <c r="Q2">
        <v>430.83393332340802</v>
      </c>
      <c r="R2">
        <v>495.28940366312997</v>
      </c>
      <c r="S2">
        <v>415.95242824798299</v>
      </c>
      <c r="T2">
        <v>408.26992957321801</v>
      </c>
      <c r="U2">
        <v>373.52355258826401</v>
      </c>
      <c r="V2">
        <v>416.83063114922197</v>
      </c>
      <c r="W2">
        <v>391.43993280510699</v>
      </c>
      <c r="X2">
        <v>395.58215431627201</v>
      </c>
      <c r="Y2">
        <v>381.30857142857099</v>
      </c>
      <c r="Z2">
        <v>354</v>
      </c>
      <c r="AA2">
        <v>314</v>
      </c>
      <c r="AB2">
        <v>347.10543130990402</v>
      </c>
      <c r="AC2">
        <v>437.35284345047899</v>
      </c>
      <c r="AD2">
        <v>430.48856115417101</v>
      </c>
      <c r="AE2">
        <v>334.824436453244</v>
      </c>
    </row>
    <row r="3" spans="1:31" x14ac:dyDescent="0.3">
      <c r="A3" t="s">
        <v>296</v>
      </c>
      <c r="B3" t="s">
        <v>124</v>
      </c>
      <c r="C3" t="s">
        <v>0</v>
      </c>
      <c r="D3" t="s">
        <v>125</v>
      </c>
      <c r="E3" t="s">
        <v>123</v>
      </c>
      <c r="F3">
        <v>41.189768067320401</v>
      </c>
      <c r="G3">
        <v>42.3030050421129</v>
      </c>
      <c r="H3">
        <v>24.4912134454338</v>
      </c>
      <c r="I3">
        <v>44.5294789916978</v>
      </c>
      <c r="J3">
        <v>47.869189916075101</v>
      </c>
      <c r="K3">
        <v>35.623583193358201</v>
      </c>
      <c r="L3">
        <v>63.454507563169301</v>
      </c>
      <c r="M3">
        <v>59.001559663999601</v>
      </c>
      <c r="N3">
        <v>96.851616806942701</v>
      </c>
      <c r="O3">
        <v>56.775085714414701</v>
      </c>
      <c r="P3">
        <v>63.454507563169301</v>
      </c>
      <c r="Q3">
        <v>82.379536134640901</v>
      </c>
      <c r="R3">
        <v>75.700114285886201</v>
      </c>
      <c r="S3">
        <v>389.47160248535698</v>
      </c>
      <c r="T3">
        <v>155.36298896956899</v>
      </c>
      <c r="U3">
        <v>112.030454631117</v>
      </c>
      <c r="V3">
        <v>188.12661249376299</v>
      </c>
      <c r="W3">
        <v>166.41969566756001</v>
      </c>
      <c r="X3">
        <v>154.16793893129801</v>
      </c>
      <c r="Y3">
        <v>134.015267175573</v>
      </c>
      <c r="Z3">
        <v>132</v>
      </c>
      <c r="AA3">
        <v>102</v>
      </c>
      <c r="AB3">
        <v>103</v>
      </c>
      <c r="AC3">
        <v>116</v>
      </c>
      <c r="AD3">
        <v>86.280991735537199</v>
      </c>
      <c r="AE3">
        <v>199.466808850973</v>
      </c>
    </row>
    <row r="4" spans="1:31" x14ac:dyDescent="0.3">
      <c r="A4" t="s">
        <v>296</v>
      </c>
      <c r="B4" t="s">
        <v>126</v>
      </c>
      <c r="C4" t="s">
        <v>0</v>
      </c>
      <c r="D4" t="s">
        <v>127</v>
      </c>
      <c r="E4" t="s">
        <v>123</v>
      </c>
      <c r="F4">
        <v>2534.69768567148</v>
      </c>
      <c r="G4">
        <v>3092.9791818272402</v>
      </c>
      <c r="H4">
        <v>3075.9580699775602</v>
      </c>
      <c r="I4">
        <v>3210.8788933625001</v>
      </c>
      <c r="J4">
        <v>2745.8064567233</v>
      </c>
      <c r="K4">
        <v>2823.1531174760698</v>
      </c>
      <c r="L4">
        <v>3659.2140489025401</v>
      </c>
      <c r="M4">
        <v>2833.87081705228</v>
      </c>
      <c r="N4">
        <v>2693.1003611563601</v>
      </c>
      <c r="O4">
        <v>2463.4829781785902</v>
      </c>
      <c r="P4">
        <v>2470.3546182850901</v>
      </c>
      <c r="Q4">
        <v>2147.3954136010302</v>
      </c>
      <c r="R4">
        <v>2824.8072159988301</v>
      </c>
      <c r="S4">
        <v>2410.9890026092598</v>
      </c>
      <c r="T4">
        <v>1834.63551002841</v>
      </c>
      <c r="U4">
        <v>1449.1271170596899</v>
      </c>
      <c r="V4">
        <v>1519.5041514422801</v>
      </c>
      <c r="W4">
        <v>1787.34541819171</v>
      </c>
      <c r="X4">
        <v>1596.8318091466299</v>
      </c>
      <c r="Y4">
        <v>1483.2071823204401</v>
      </c>
      <c r="Z4">
        <v>1835</v>
      </c>
      <c r="AA4">
        <v>2088</v>
      </c>
      <c r="AB4">
        <v>2926</v>
      </c>
      <c r="AC4">
        <v>2215.61290322581</v>
      </c>
      <c r="AD4">
        <v>2091.8136900078698</v>
      </c>
      <c r="AE4">
        <v>1895.18904348316</v>
      </c>
    </row>
    <row r="5" spans="1:31" x14ac:dyDescent="0.3">
      <c r="A5" t="s">
        <v>296</v>
      </c>
      <c r="B5" t="s">
        <v>128</v>
      </c>
      <c r="C5" t="s">
        <v>0</v>
      </c>
      <c r="D5" t="s">
        <v>129</v>
      </c>
      <c r="E5" t="s">
        <v>123</v>
      </c>
      <c r="F5">
        <v>213.768018070279</v>
      </c>
      <c r="G5">
        <v>224.516130710684</v>
      </c>
      <c r="H5">
        <v>208.14516284636301</v>
      </c>
      <c r="I5">
        <v>247.954346997307</v>
      </c>
      <c r="J5">
        <v>227.57453765506301</v>
      </c>
      <c r="K5">
        <v>212.855786463442</v>
      </c>
      <c r="L5">
        <v>263.80530981905298</v>
      </c>
      <c r="M5">
        <v>289.846177311921</v>
      </c>
      <c r="N5">
        <v>297.77165872279397</v>
      </c>
      <c r="O5">
        <v>221.91347950443901</v>
      </c>
      <c r="P5">
        <v>235.50001906593599</v>
      </c>
      <c r="Q5">
        <v>209.459151573068</v>
      </c>
      <c r="R5">
        <v>258.14425166843</v>
      </c>
      <c r="S5">
        <v>263.70770536817997</v>
      </c>
      <c r="T5">
        <v>237.662499899718</v>
      </c>
      <c r="U5">
        <v>181.487727196148</v>
      </c>
      <c r="V5">
        <v>171.76517038206899</v>
      </c>
      <c r="W5">
        <v>170.71782178217799</v>
      </c>
      <c r="X5">
        <v>209</v>
      </c>
      <c r="Y5">
        <v>222.38423645320199</v>
      </c>
      <c r="Z5">
        <v>209</v>
      </c>
      <c r="AA5">
        <v>200</v>
      </c>
      <c r="AB5">
        <v>345</v>
      </c>
      <c r="AC5">
        <v>234.6</v>
      </c>
      <c r="AD5">
        <v>200.80987654321001</v>
      </c>
      <c r="AE5">
        <v>205.637037037037</v>
      </c>
    </row>
    <row r="6" spans="1:31" x14ac:dyDescent="0.3">
      <c r="A6" t="s">
        <v>296</v>
      </c>
      <c r="B6" t="s">
        <v>130</v>
      </c>
      <c r="C6" t="s">
        <v>0</v>
      </c>
      <c r="D6" t="s">
        <v>131</v>
      </c>
      <c r="E6" t="s">
        <v>123</v>
      </c>
      <c r="F6">
        <v>35.945945945946001</v>
      </c>
      <c r="G6">
        <v>27.729729729729701</v>
      </c>
      <c r="H6">
        <v>38</v>
      </c>
      <c r="I6">
        <v>35</v>
      </c>
      <c r="J6">
        <v>25</v>
      </c>
      <c r="K6">
        <v>29</v>
      </c>
      <c r="L6">
        <v>37</v>
      </c>
      <c r="M6">
        <v>36</v>
      </c>
      <c r="N6">
        <v>26</v>
      </c>
      <c r="O6">
        <v>24</v>
      </c>
      <c r="P6">
        <v>28</v>
      </c>
      <c r="Q6">
        <v>24</v>
      </c>
      <c r="R6">
        <v>30</v>
      </c>
      <c r="S6">
        <v>16</v>
      </c>
      <c r="T6">
        <v>11</v>
      </c>
      <c r="U6">
        <v>13</v>
      </c>
      <c r="V6">
        <v>15</v>
      </c>
      <c r="W6">
        <v>11</v>
      </c>
      <c r="X6">
        <v>7</v>
      </c>
      <c r="Y6">
        <v>11</v>
      </c>
      <c r="Z6">
        <v>16</v>
      </c>
      <c r="AA6">
        <v>34</v>
      </c>
      <c r="AB6">
        <v>23</v>
      </c>
      <c r="AC6">
        <v>21</v>
      </c>
      <c r="AD6">
        <v>31</v>
      </c>
      <c r="AE6">
        <v>37</v>
      </c>
    </row>
    <row r="7" spans="1:31" x14ac:dyDescent="0.3">
      <c r="A7" t="s">
        <v>296</v>
      </c>
      <c r="B7" t="s">
        <v>132</v>
      </c>
      <c r="C7" t="s">
        <v>0</v>
      </c>
      <c r="D7" t="s">
        <v>133</v>
      </c>
      <c r="E7" t="s">
        <v>123</v>
      </c>
      <c r="F7">
        <v>825.15445198969201</v>
      </c>
      <c r="G7">
        <v>1594.1670662649001</v>
      </c>
      <c r="H7">
        <v>1110.9708433158701</v>
      </c>
      <c r="I7">
        <v>1279.33699988033</v>
      </c>
      <c r="J7">
        <v>938.50506841839797</v>
      </c>
      <c r="K7">
        <v>902.12890297582499</v>
      </c>
      <c r="L7">
        <v>1622.1658242164201</v>
      </c>
      <c r="M7">
        <v>773.75769409300597</v>
      </c>
      <c r="N7">
        <v>1003.2821476924599</v>
      </c>
      <c r="O7">
        <v>714.60190708283699</v>
      </c>
      <c r="P7">
        <v>738.03147780686402</v>
      </c>
      <c r="Q7">
        <v>672.50531856232999</v>
      </c>
      <c r="R7">
        <v>613.03205909763403</v>
      </c>
      <c r="S7">
        <v>791.36865810785503</v>
      </c>
      <c r="T7">
        <v>269.56333224193702</v>
      </c>
      <c r="U7">
        <v>305.003929708008</v>
      </c>
      <c r="V7">
        <v>370.28547255779301</v>
      </c>
      <c r="W7">
        <v>385.97553495430901</v>
      </c>
      <c r="X7">
        <v>463.99186648762702</v>
      </c>
      <c r="Y7">
        <v>329.25187032418899</v>
      </c>
      <c r="Z7">
        <v>405</v>
      </c>
      <c r="AA7">
        <v>739</v>
      </c>
      <c r="AB7">
        <v>917.24119241192398</v>
      </c>
      <c r="AC7">
        <v>492.445108724406</v>
      </c>
      <c r="AD7">
        <v>515.00733482134103</v>
      </c>
      <c r="AE7">
        <v>442.128938384359</v>
      </c>
    </row>
    <row r="8" spans="1:31" x14ac:dyDescent="0.3">
      <c r="A8" t="s">
        <v>296</v>
      </c>
      <c r="B8" t="s">
        <v>134</v>
      </c>
      <c r="C8" t="s">
        <v>0</v>
      </c>
      <c r="D8" t="s">
        <v>135</v>
      </c>
      <c r="E8" t="s">
        <v>123</v>
      </c>
      <c r="F8">
        <v>32.781607599599099</v>
      </c>
      <c r="G8">
        <v>31.520776538076099</v>
      </c>
      <c r="H8">
        <v>126.083106152304</v>
      </c>
      <c r="I8">
        <v>22.3885889429326</v>
      </c>
      <c r="J8">
        <v>53.025605391155999</v>
      </c>
      <c r="K8">
        <v>28.280322875283201</v>
      </c>
      <c r="L8">
        <v>101.33782363643201</v>
      </c>
      <c r="M8">
        <v>16.4968550105819</v>
      </c>
      <c r="N8">
        <v>62.452379682917098</v>
      </c>
      <c r="O8">
        <v>28.280322875283201</v>
      </c>
      <c r="P8">
        <v>155.54177581405801</v>
      </c>
      <c r="Q8">
        <v>193.84684000707199</v>
      </c>
      <c r="R8">
        <v>638.89165611798296</v>
      </c>
      <c r="S8">
        <v>39.299135262090303</v>
      </c>
      <c r="T8">
        <v>30.565994092736901</v>
      </c>
      <c r="U8">
        <v>87.331411693533994</v>
      </c>
      <c r="V8">
        <v>31.657636738906099</v>
      </c>
      <c r="W8">
        <v>71.757309941520504</v>
      </c>
      <c r="X8">
        <v>56.157894736842103</v>
      </c>
      <c r="Y8">
        <v>62.284210526315803</v>
      </c>
      <c r="Z8">
        <v>194</v>
      </c>
      <c r="AA8">
        <v>65</v>
      </c>
      <c r="AB8">
        <v>465</v>
      </c>
      <c r="AC8">
        <v>129.882729211087</v>
      </c>
      <c r="AD8">
        <v>46.525156732329798</v>
      </c>
      <c r="AE8">
        <v>56.969579672240599</v>
      </c>
    </row>
    <row r="9" spans="1:31" x14ac:dyDescent="0.3">
      <c r="A9" t="s">
        <v>296</v>
      </c>
      <c r="B9" t="s">
        <v>136</v>
      </c>
      <c r="C9" t="s">
        <v>0</v>
      </c>
      <c r="D9" t="s">
        <v>137</v>
      </c>
      <c r="E9" t="s">
        <v>123</v>
      </c>
      <c r="F9">
        <v>281.49367323166803</v>
      </c>
      <c r="G9">
        <v>149.101671666089</v>
      </c>
      <c r="H9">
        <v>250.98781397125001</v>
      </c>
      <c r="I9">
        <v>206.340943216749</v>
      </c>
      <c r="J9">
        <v>214.73853974301201</v>
      </c>
      <c r="K9">
        <v>147.930994045186</v>
      </c>
      <c r="L9">
        <v>180.80454827744899</v>
      </c>
      <c r="M9">
        <v>276.455986721003</v>
      </c>
      <c r="N9">
        <v>173.80566253767699</v>
      </c>
      <c r="O9">
        <v>177.30510540756299</v>
      </c>
      <c r="P9">
        <v>151.975804635054</v>
      </c>
      <c r="Q9">
        <v>139.50017888143</v>
      </c>
      <c r="R9">
        <v>264.25643641766902</v>
      </c>
      <c r="S9">
        <v>204.04610913262999</v>
      </c>
      <c r="T9">
        <v>201.87540584398499</v>
      </c>
      <c r="U9">
        <v>77.313985216845495</v>
      </c>
      <c r="V9">
        <v>123.487615276906</v>
      </c>
      <c r="W9">
        <v>145.46422477533801</v>
      </c>
      <c r="X9">
        <v>182.604026845638</v>
      </c>
      <c r="Y9">
        <v>122.41610738255</v>
      </c>
      <c r="Z9">
        <v>152</v>
      </c>
      <c r="AA9">
        <v>177</v>
      </c>
      <c r="AB9">
        <v>239.352272727273</v>
      </c>
      <c r="AC9">
        <v>199.29331494864999</v>
      </c>
      <c r="AD9">
        <v>169.54804406079199</v>
      </c>
      <c r="AE9">
        <v>157.719110754225</v>
      </c>
    </row>
    <row r="10" spans="1:31" x14ac:dyDescent="0.3">
      <c r="A10" t="s">
        <v>296</v>
      </c>
      <c r="B10" t="s">
        <v>138</v>
      </c>
      <c r="C10" t="s">
        <v>0</v>
      </c>
      <c r="D10" t="s">
        <v>139</v>
      </c>
      <c r="E10" t="s">
        <v>123</v>
      </c>
      <c r="F10">
        <v>301.74690774899898</v>
      </c>
      <c r="G10">
        <v>165.96079926194901</v>
      </c>
      <c r="H10">
        <v>267.24569881152098</v>
      </c>
      <c r="I10">
        <v>231.61293896998501</v>
      </c>
      <c r="J10">
        <v>232.79463763819999</v>
      </c>
      <c r="K10">
        <v>172.832382488966</v>
      </c>
      <c r="L10">
        <v>190.23161562543899</v>
      </c>
      <c r="M10">
        <v>317.05269270906598</v>
      </c>
      <c r="N10">
        <v>192.537453390596</v>
      </c>
      <c r="O10">
        <v>192.537453390596</v>
      </c>
      <c r="P10">
        <v>166.33413133152101</v>
      </c>
      <c r="Q10">
        <v>152.84758014247899</v>
      </c>
      <c r="R10">
        <v>282.09369570413401</v>
      </c>
      <c r="S10">
        <v>219.037457840857</v>
      </c>
      <c r="T10">
        <v>234.14348941608799</v>
      </c>
      <c r="U10">
        <v>102.638241935819</v>
      </c>
      <c r="V10">
        <v>143.26587936874799</v>
      </c>
      <c r="W10">
        <v>171.50076070419499</v>
      </c>
      <c r="X10">
        <v>219.767441860465</v>
      </c>
      <c r="Y10">
        <v>149.56395348837199</v>
      </c>
      <c r="Z10">
        <v>175</v>
      </c>
      <c r="AA10">
        <v>198</v>
      </c>
      <c r="AB10">
        <v>257.299492385787</v>
      </c>
      <c r="AC10">
        <v>226.263366845089</v>
      </c>
      <c r="AD10">
        <v>196.49187120757699</v>
      </c>
      <c r="AE10">
        <v>172.79435910214099</v>
      </c>
    </row>
    <row r="11" spans="1:31" x14ac:dyDescent="0.3">
      <c r="A11" t="s">
        <v>296</v>
      </c>
      <c r="B11" t="s">
        <v>140</v>
      </c>
      <c r="C11" t="s">
        <v>0</v>
      </c>
      <c r="D11" t="s">
        <v>141</v>
      </c>
      <c r="E11" t="s">
        <v>123</v>
      </c>
      <c r="F11">
        <v>21.84</v>
      </c>
      <c r="G11">
        <v>16.64</v>
      </c>
      <c r="H11">
        <v>17.68</v>
      </c>
      <c r="I11">
        <v>24.96</v>
      </c>
      <c r="J11">
        <v>18.72</v>
      </c>
      <c r="K11">
        <v>23.92</v>
      </c>
      <c r="L11">
        <v>10.4</v>
      </c>
      <c r="M11">
        <v>39.520000000000003</v>
      </c>
      <c r="N11">
        <v>18.72</v>
      </c>
      <c r="O11">
        <v>15.6</v>
      </c>
      <c r="P11">
        <v>14.56</v>
      </c>
      <c r="Q11">
        <v>13.52</v>
      </c>
      <c r="R11">
        <v>18.72</v>
      </c>
      <c r="S11">
        <v>15.6</v>
      </c>
      <c r="T11">
        <v>32.24</v>
      </c>
      <c r="U11">
        <v>24.96</v>
      </c>
      <c r="V11">
        <v>19.760000000000002</v>
      </c>
      <c r="W11">
        <v>26</v>
      </c>
      <c r="X11">
        <v>37</v>
      </c>
      <c r="Y11">
        <v>27</v>
      </c>
      <c r="Z11">
        <v>23</v>
      </c>
      <c r="AA11">
        <v>21</v>
      </c>
      <c r="AB11">
        <v>18</v>
      </c>
      <c r="AC11">
        <v>27</v>
      </c>
      <c r="AD11">
        <v>27</v>
      </c>
      <c r="AE11">
        <v>15</v>
      </c>
    </row>
    <row r="12" spans="1:31" x14ac:dyDescent="0.3">
      <c r="A12" t="s">
        <v>296</v>
      </c>
      <c r="B12" t="s">
        <v>142</v>
      </c>
      <c r="C12" t="s">
        <v>0</v>
      </c>
      <c r="D12" t="s">
        <v>143</v>
      </c>
      <c r="E12" t="s">
        <v>123</v>
      </c>
      <c r="F12">
        <v>131.19062230093499</v>
      </c>
      <c r="G12">
        <v>128.826827304521</v>
      </c>
      <c r="H12">
        <v>152.038868260291</v>
      </c>
      <c r="I12">
        <v>214.442881352201</v>
      </c>
      <c r="J12">
        <v>202.02776716865301</v>
      </c>
      <c r="K12">
        <v>221.214761815955</v>
      </c>
      <c r="L12">
        <v>196.63534383640501</v>
      </c>
      <c r="M12">
        <v>186.58012739022499</v>
      </c>
      <c r="N12">
        <v>194.40085129280899</v>
      </c>
      <c r="O12">
        <v>172.055925856854</v>
      </c>
      <c r="P12">
        <v>199.987082651798</v>
      </c>
      <c r="Q12">
        <v>169.98902025402799</v>
      </c>
      <c r="R12">
        <v>178.87733503855301</v>
      </c>
      <c r="S12">
        <v>176.682521111699</v>
      </c>
      <c r="T12">
        <v>157.52417544898501</v>
      </c>
      <c r="U12">
        <v>98.320458501715294</v>
      </c>
      <c r="V12">
        <v>130.03673543775301</v>
      </c>
      <c r="W12">
        <v>100.107645535413</v>
      </c>
      <c r="X12">
        <v>109.301204819277</v>
      </c>
      <c r="Y12">
        <v>117.39759036144601</v>
      </c>
      <c r="Z12">
        <v>168</v>
      </c>
      <c r="AA12">
        <v>192</v>
      </c>
      <c r="AB12">
        <v>192</v>
      </c>
      <c r="AC12">
        <v>238</v>
      </c>
      <c r="AD12">
        <v>227.09166666666701</v>
      </c>
      <c r="AE12">
        <v>241.71130185979999</v>
      </c>
    </row>
    <row r="13" spans="1:31" x14ac:dyDescent="0.3">
      <c r="A13" t="s">
        <v>296</v>
      </c>
      <c r="B13" t="s">
        <v>144</v>
      </c>
      <c r="C13" t="s">
        <v>0</v>
      </c>
      <c r="D13" t="s">
        <v>145</v>
      </c>
      <c r="E13" t="s">
        <v>123</v>
      </c>
      <c r="F13">
        <v>408.57151090037001</v>
      </c>
      <c r="G13">
        <v>399.85199694822802</v>
      </c>
      <c r="H13">
        <v>549.03225269038001</v>
      </c>
      <c r="I13">
        <v>480.99999529179001</v>
      </c>
      <c r="J13">
        <v>308.45454243527502</v>
      </c>
      <c r="K13">
        <v>453.818177376037</v>
      </c>
      <c r="L13">
        <v>412.88097065397199</v>
      </c>
      <c r="M13">
        <v>612.32347342750097</v>
      </c>
      <c r="N13">
        <v>368.56041448207702</v>
      </c>
      <c r="O13">
        <v>643.81439491805804</v>
      </c>
      <c r="P13">
        <v>334.04373452660502</v>
      </c>
      <c r="Q13">
        <v>267.69258177816897</v>
      </c>
      <c r="R13">
        <v>361.100206058212</v>
      </c>
      <c r="S13">
        <v>441.09779016956901</v>
      </c>
      <c r="T13">
        <v>454.071254586321</v>
      </c>
      <c r="U13">
        <v>333.34172101395802</v>
      </c>
      <c r="V13">
        <v>264.11740195355202</v>
      </c>
      <c r="W13">
        <v>539.71816920943104</v>
      </c>
      <c r="X13">
        <v>215.06796116504901</v>
      </c>
      <c r="Y13">
        <v>270.60194174757299</v>
      </c>
      <c r="Z13">
        <v>312</v>
      </c>
      <c r="AA13">
        <v>267</v>
      </c>
      <c r="AB13">
        <v>296.77695167286203</v>
      </c>
      <c r="AC13">
        <v>369.98193308550202</v>
      </c>
      <c r="AD13">
        <v>414.14423279066801</v>
      </c>
      <c r="AE13">
        <v>307.70529445661799</v>
      </c>
    </row>
    <row r="14" spans="1:31" x14ac:dyDescent="0.3">
      <c r="A14" t="s">
        <v>296</v>
      </c>
      <c r="B14" t="s">
        <v>146</v>
      </c>
      <c r="C14" t="s">
        <v>0</v>
      </c>
      <c r="D14" t="s">
        <v>147</v>
      </c>
      <c r="E14" t="s">
        <v>123</v>
      </c>
      <c r="F14">
        <v>271.81954468186399</v>
      </c>
      <c r="G14">
        <v>172.52473383917399</v>
      </c>
      <c r="H14">
        <v>244.91273405141499</v>
      </c>
      <c r="I14">
        <v>309.36345353862902</v>
      </c>
      <c r="J14">
        <v>411.325940098177</v>
      </c>
      <c r="K14">
        <v>454.07610802972903</v>
      </c>
      <c r="L14">
        <v>475.64472316114097</v>
      </c>
      <c r="M14">
        <v>268.89179124074002</v>
      </c>
      <c r="N14">
        <v>218.050906342281</v>
      </c>
      <c r="O14">
        <v>224.82969099540901</v>
      </c>
      <c r="P14">
        <v>306.08002486998703</v>
      </c>
      <c r="Q14">
        <v>160.74706342092901</v>
      </c>
      <c r="R14">
        <v>151.998923915028</v>
      </c>
      <c r="S14">
        <v>71.148432470863995</v>
      </c>
      <c r="T14">
        <v>77.426235335940305</v>
      </c>
      <c r="U14">
        <v>105.299680056879</v>
      </c>
      <c r="V14">
        <v>100.137931034483</v>
      </c>
      <c r="W14">
        <v>88</v>
      </c>
      <c r="X14">
        <v>50</v>
      </c>
      <c r="Y14">
        <v>89</v>
      </c>
      <c r="Z14">
        <v>120</v>
      </c>
      <c r="AA14">
        <v>101</v>
      </c>
      <c r="AB14">
        <v>113</v>
      </c>
      <c r="AC14">
        <v>108.04385964912299</v>
      </c>
      <c r="AD14">
        <v>103.13277511961699</v>
      </c>
      <c r="AE14">
        <v>130.37539496253501</v>
      </c>
    </row>
    <row r="15" spans="1:31" x14ac:dyDescent="0.3">
      <c r="A15" t="s">
        <v>296</v>
      </c>
      <c r="B15" t="s">
        <v>148</v>
      </c>
      <c r="C15" t="s">
        <v>0</v>
      </c>
      <c r="D15" t="s">
        <v>149</v>
      </c>
      <c r="E15" t="s">
        <v>123</v>
      </c>
      <c r="F15">
        <v>324.52769522373302</v>
      </c>
      <c r="G15">
        <v>236.354132747851</v>
      </c>
      <c r="H15">
        <v>315.13884366380103</v>
      </c>
      <c r="I15">
        <v>390.72565118463899</v>
      </c>
      <c r="J15">
        <v>465.643548904407</v>
      </c>
      <c r="K15">
        <v>510.48329805816502</v>
      </c>
      <c r="L15">
        <v>535.38492235368506</v>
      </c>
      <c r="M15">
        <v>313.34107034594598</v>
      </c>
      <c r="N15">
        <v>271.63740270997499</v>
      </c>
      <c r="O15">
        <v>262.62039349138701</v>
      </c>
      <c r="P15">
        <v>363.88503674442097</v>
      </c>
      <c r="Q15">
        <v>197.38006538561001</v>
      </c>
      <c r="R15">
        <v>200.66973314203699</v>
      </c>
      <c r="S15">
        <v>132.70095256166999</v>
      </c>
      <c r="T15">
        <v>126.381859582543</v>
      </c>
      <c r="U15">
        <v>152.49381404174599</v>
      </c>
      <c r="V15">
        <v>142.04903225806399</v>
      </c>
      <c r="W15">
        <v>126.72</v>
      </c>
      <c r="X15">
        <v>91.52</v>
      </c>
      <c r="Y15">
        <v>114.65142857142899</v>
      </c>
      <c r="Z15">
        <v>176</v>
      </c>
      <c r="AA15">
        <v>188</v>
      </c>
      <c r="AB15">
        <v>167</v>
      </c>
      <c r="AC15">
        <v>159.04761904761901</v>
      </c>
      <c r="AD15">
        <v>160.035492457853</v>
      </c>
      <c r="AE15">
        <v>169.79375419308801</v>
      </c>
    </row>
    <row r="16" spans="1:31" x14ac:dyDescent="0.3">
      <c r="A16" t="s">
        <v>296</v>
      </c>
      <c r="B16" t="s">
        <v>150</v>
      </c>
      <c r="C16" t="s">
        <v>0</v>
      </c>
      <c r="D16" t="s">
        <v>151</v>
      </c>
      <c r="E16" t="s">
        <v>123</v>
      </c>
      <c r="F16">
        <v>53.1501121665056</v>
      </c>
      <c r="G16">
        <v>62.393609934593499</v>
      </c>
      <c r="H16">
        <v>69.200185563821904</v>
      </c>
      <c r="I16">
        <v>80.361505816051306</v>
      </c>
      <c r="J16">
        <v>54.6904692359238</v>
      </c>
      <c r="K16">
        <v>56.922733286369699</v>
      </c>
      <c r="L16">
        <v>60.271129362038501</v>
      </c>
      <c r="M16">
        <v>44.645281008917401</v>
      </c>
      <c r="N16">
        <v>53.574337210700797</v>
      </c>
      <c r="O16">
        <v>37.948488857579797</v>
      </c>
      <c r="P16">
        <v>58.038865311592602</v>
      </c>
      <c r="Q16">
        <v>36.832356832356801</v>
      </c>
      <c r="R16">
        <v>49.109809109809099</v>
      </c>
      <c r="S16">
        <v>62.205758205758201</v>
      </c>
      <c r="T16">
        <v>49.335601335601297</v>
      </c>
      <c r="U16">
        <v>47.190575190575203</v>
      </c>
      <c r="V16">
        <v>41.828009828009797</v>
      </c>
      <c r="W16">
        <v>38.690909090909102</v>
      </c>
      <c r="X16">
        <v>41.7454545454545</v>
      </c>
      <c r="Y16">
        <v>25.454545454545499</v>
      </c>
      <c r="Z16">
        <v>56</v>
      </c>
      <c r="AA16">
        <v>87</v>
      </c>
      <c r="AB16">
        <v>54</v>
      </c>
      <c r="AC16">
        <v>51</v>
      </c>
      <c r="AD16">
        <v>57</v>
      </c>
      <c r="AE16">
        <v>39.310344827586199</v>
      </c>
    </row>
    <row r="17" spans="1:31" x14ac:dyDescent="0.3">
      <c r="A17" t="s">
        <v>296</v>
      </c>
      <c r="B17" t="s">
        <v>152</v>
      </c>
      <c r="C17" t="s">
        <v>0</v>
      </c>
      <c r="D17" t="s">
        <v>153</v>
      </c>
      <c r="E17" t="s">
        <v>123</v>
      </c>
      <c r="F17">
        <v>129.37716685066701</v>
      </c>
      <c r="G17">
        <v>178.492572784716</v>
      </c>
      <c r="H17">
        <v>155.00670794462201</v>
      </c>
      <c r="I17">
        <v>149.26571876148799</v>
      </c>
      <c r="J17">
        <v>126.301762028951</v>
      </c>
      <c r="K17">
        <v>140.080136068473</v>
      </c>
      <c r="L17">
        <v>132.04275121208499</v>
      </c>
      <c r="M17">
        <v>105.634200969668</v>
      </c>
      <c r="N17">
        <v>149.26571876148799</v>
      </c>
      <c r="O17">
        <v>88.411233420265702</v>
      </c>
      <c r="P17">
        <v>106.78239880629501</v>
      </c>
      <c r="Q17">
        <v>127.44995986557799</v>
      </c>
      <c r="R17">
        <v>137.78374039521901</v>
      </c>
      <c r="S17">
        <v>198.27416300775499</v>
      </c>
      <c r="T17">
        <v>220.062532569046</v>
      </c>
      <c r="U17">
        <v>80.510682647212107</v>
      </c>
      <c r="V17">
        <v>122.37623762376199</v>
      </c>
      <c r="W17">
        <v>122.37623762376199</v>
      </c>
      <c r="X17">
        <v>89.742574257425801</v>
      </c>
      <c r="Y17">
        <v>131.55445544554499</v>
      </c>
      <c r="Z17">
        <v>103</v>
      </c>
      <c r="AA17">
        <v>92</v>
      </c>
      <c r="AB17">
        <v>75</v>
      </c>
      <c r="AC17">
        <v>114</v>
      </c>
      <c r="AD17">
        <v>151</v>
      </c>
      <c r="AE17">
        <v>109</v>
      </c>
    </row>
    <row r="18" spans="1:31" x14ac:dyDescent="0.3">
      <c r="A18" t="s">
        <v>296</v>
      </c>
      <c r="B18" t="s">
        <v>154</v>
      </c>
      <c r="C18" t="s">
        <v>0</v>
      </c>
      <c r="D18" t="s">
        <v>155</v>
      </c>
      <c r="E18" t="s">
        <v>123</v>
      </c>
      <c r="F18">
        <v>35.661175333306502</v>
      </c>
      <c r="G18">
        <v>41.954323921536997</v>
      </c>
      <c r="H18">
        <v>40.905465823498602</v>
      </c>
      <c r="I18">
        <v>41.954323921536997</v>
      </c>
      <c r="J18">
        <v>37.758891529383298</v>
      </c>
      <c r="K18">
        <v>28.3191686470375</v>
      </c>
      <c r="L18">
        <v>51.394046803882901</v>
      </c>
      <c r="M18">
        <v>38.807749627421799</v>
      </c>
      <c r="N18">
        <v>38.807749627421799</v>
      </c>
      <c r="O18">
        <v>38.807749627421799</v>
      </c>
      <c r="P18">
        <v>45.1008982156523</v>
      </c>
      <c r="Q18">
        <v>39.856607725460201</v>
      </c>
      <c r="R18">
        <v>37.758891529383298</v>
      </c>
      <c r="S18">
        <v>46.149756313690702</v>
      </c>
      <c r="T18">
        <v>47.198614411729203</v>
      </c>
      <c r="U18">
        <v>45.1008982156523</v>
      </c>
      <c r="V18">
        <v>63.980343980344003</v>
      </c>
      <c r="W18">
        <v>45.405405405405403</v>
      </c>
      <c r="X18">
        <v>112</v>
      </c>
      <c r="Y18">
        <v>40</v>
      </c>
      <c r="Z18">
        <v>33</v>
      </c>
      <c r="AA18">
        <v>49</v>
      </c>
      <c r="AB18">
        <v>113</v>
      </c>
      <c r="AC18">
        <v>147.69298245613999</v>
      </c>
      <c r="AD18">
        <v>71.401243174160598</v>
      </c>
      <c r="AE18">
        <v>70.436361509644897</v>
      </c>
    </row>
    <row r="19" spans="1:31" x14ac:dyDescent="0.3">
      <c r="A19" t="s">
        <v>296</v>
      </c>
      <c r="B19" t="s">
        <v>156</v>
      </c>
      <c r="C19" t="s">
        <v>0</v>
      </c>
      <c r="D19" t="s">
        <v>157</v>
      </c>
      <c r="E19" t="s">
        <v>123</v>
      </c>
      <c r="F19">
        <v>83.549941536209701</v>
      </c>
      <c r="G19">
        <v>84.649282872212396</v>
      </c>
      <c r="H19">
        <v>109.60996884735199</v>
      </c>
      <c r="I19">
        <v>113.866666666667</v>
      </c>
      <c r="J19">
        <v>114.920987654321</v>
      </c>
      <c r="K19">
        <v>109.649382716049</v>
      </c>
      <c r="L19">
        <v>117.02962962962999</v>
      </c>
      <c r="M19">
        <v>128.62716049382701</v>
      </c>
      <c r="N19">
        <v>83.291358024691306</v>
      </c>
      <c r="O19">
        <v>70.639506172839504</v>
      </c>
      <c r="P19">
        <v>86.454320987654299</v>
      </c>
      <c r="Q19">
        <v>87.508641975308606</v>
      </c>
      <c r="R19">
        <v>87.508641975308606</v>
      </c>
      <c r="S19">
        <v>84.383333333333297</v>
      </c>
      <c r="T19">
        <v>44.733333333333299</v>
      </c>
      <c r="U19">
        <v>47.783333333333303</v>
      </c>
      <c r="V19">
        <v>61</v>
      </c>
      <c r="W19">
        <v>41</v>
      </c>
      <c r="X19">
        <v>23</v>
      </c>
      <c r="Y19">
        <v>35</v>
      </c>
      <c r="Z19">
        <v>44</v>
      </c>
      <c r="AA19">
        <v>64</v>
      </c>
      <c r="AB19">
        <v>75</v>
      </c>
      <c r="AC19">
        <v>84</v>
      </c>
      <c r="AD19">
        <v>82</v>
      </c>
      <c r="AE19">
        <v>85</v>
      </c>
    </row>
    <row r="20" spans="1:31" x14ac:dyDescent="0.3">
      <c r="A20" t="s">
        <v>296</v>
      </c>
      <c r="B20" t="s">
        <v>158</v>
      </c>
      <c r="C20" t="s">
        <v>0</v>
      </c>
      <c r="D20" t="s">
        <v>159</v>
      </c>
      <c r="E20" t="s">
        <v>123</v>
      </c>
      <c r="F20">
        <v>267.29932136465999</v>
      </c>
      <c r="G20">
        <v>253.867194662918</v>
      </c>
      <c r="H20">
        <v>374.257823059766</v>
      </c>
      <c r="I20">
        <v>227.092035009146</v>
      </c>
      <c r="J20">
        <v>212.03620948367799</v>
      </c>
      <c r="K20">
        <v>313.065226943548</v>
      </c>
      <c r="L20">
        <v>284.82797118001201</v>
      </c>
      <c r="M20">
        <v>383.84542038851401</v>
      </c>
      <c r="N20">
        <v>300.71966055915402</v>
      </c>
      <c r="O20">
        <v>371.62104394302003</v>
      </c>
      <c r="P20">
        <v>383.68666225285801</v>
      </c>
      <c r="Q20">
        <v>333.79551731595399</v>
      </c>
      <c r="R20">
        <v>375.22403896864398</v>
      </c>
      <c r="S20">
        <v>553.62810657643399</v>
      </c>
      <c r="T20">
        <v>854.99824523699294</v>
      </c>
      <c r="U20">
        <v>651.16490068951396</v>
      </c>
      <c r="V20">
        <v>555.63143296609496</v>
      </c>
      <c r="W20">
        <v>644.489639008842</v>
      </c>
      <c r="X20">
        <v>726.36291562560098</v>
      </c>
      <c r="Y20">
        <v>980.22727272727298</v>
      </c>
      <c r="Z20">
        <v>1135</v>
      </c>
      <c r="AA20">
        <v>1292</v>
      </c>
      <c r="AB20">
        <v>1300.06869633099</v>
      </c>
      <c r="AC20">
        <v>950.97617601989202</v>
      </c>
      <c r="AD20">
        <v>729.61115801108599</v>
      </c>
      <c r="AE20">
        <v>1150.9908642420901</v>
      </c>
    </row>
    <row r="21" spans="1:31" x14ac:dyDescent="0.3">
      <c r="A21" t="s">
        <v>296</v>
      </c>
      <c r="B21" t="s">
        <v>160</v>
      </c>
      <c r="C21" t="s">
        <v>0</v>
      </c>
      <c r="D21" t="s">
        <v>161</v>
      </c>
      <c r="E21" t="s">
        <v>123</v>
      </c>
      <c r="F21">
        <v>304.59038821407103</v>
      </c>
      <c r="G21">
        <v>300.65171940095797</v>
      </c>
      <c r="H21">
        <v>420.141505316723</v>
      </c>
      <c r="I21">
        <v>268.84054655683201</v>
      </c>
      <c r="J21">
        <v>266.362753501008</v>
      </c>
      <c r="K21">
        <v>358.84982068885802</v>
      </c>
      <c r="L21">
        <v>327.222378865434</v>
      </c>
      <c r="M21">
        <v>447.20391778275899</v>
      </c>
      <c r="N21">
        <v>361.15655148851602</v>
      </c>
      <c r="O21">
        <v>410.84587568659998</v>
      </c>
      <c r="P21">
        <v>440.79091035763503</v>
      </c>
      <c r="Q21">
        <v>394.70285270630097</v>
      </c>
      <c r="R21">
        <v>486.60381542597702</v>
      </c>
      <c r="S21">
        <v>637.30145093614897</v>
      </c>
      <c r="T21">
        <v>969.32213691337301</v>
      </c>
      <c r="U21">
        <v>726.16641357869105</v>
      </c>
      <c r="V21">
        <v>658.15687031301297</v>
      </c>
      <c r="W21">
        <v>811.19171983294905</v>
      </c>
      <c r="X21">
        <v>834.24884882044898</v>
      </c>
      <c r="Y21">
        <v>1065.0645973154401</v>
      </c>
      <c r="Z21">
        <v>1229</v>
      </c>
      <c r="AA21">
        <v>1404</v>
      </c>
      <c r="AB21">
        <v>1427.1816223977</v>
      </c>
      <c r="AC21">
        <v>1068.12960495682</v>
      </c>
      <c r="AD21">
        <v>833.85582543097405</v>
      </c>
      <c r="AE21">
        <v>1294.28500922697</v>
      </c>
    </row>
    <row r="22" spans="1:31" x14ac:dyDescent="0.3">
      <c r="A22" t="s">
        <v>296</v>
      </c>
      <c r="B22" t="s">
        <v>162</v>
      </c>
      <c r="C22" t="s">
        <v>0</v>
      </c>
      <c r="D22" t="s">
        <v>163</v>
      </c>
      <c r="E22" t="s">
        <v>123</v>
      </c>
      <c r="F22">
        <v>37.870050373255197</v>
      </c>
      <c r="G22">
        <v>45.903091361521497</v>
      </c>
      <c r="H22">
        <v>47.050668645559497</v>
      </c>
      <c r="I22">
        <v>41.312782225369297</v>
      </c>
      <c r="J22">
        <v>52.788555065749698</v>
      </c>
      <c r="K22">
        <v>45.903091361521497</v>
      </c>
      <c r="L22">
        <v>42.460359509407297</v>
      </c>
      <c r="M22">
        <v>63.116750622091999</v>
      </c>
      <c r="N22">
        <v>59.674018769977899</v>
      </c>
      <c r="O22">
        <v>40.165204941331297</v>
      </c>
      <c r="P22">
        <v>57.378864201901798</v>
      </c>
      <c r="Q22">
        <v>60.821596054015899</v>
      </c>
      <c r="R22">
        <v>110.16741926765199</v>
      </c>
      <c r="S22">
        <v>82.909501098335696</v>
      </c>
      <c r="T22">
        <v>113.455106766144</v>
      </c>
      <c r="U22">
        <v>74.556213017751503</v>
      </c>
      <c r="V22">
        <v>101.569333676357</v>
      </c>
      <c r="W22">
        <v>165.05016722408001</v>
      </c>
      <c r="X22">
        <v>107.282608695652</v>
      </c>
      <c r="Y22">
        <v>84.804347826086996</v>
      </c>
      <c r="Z22">
        <v>94</v>
      </c>
      <c r="AA22">
        <v>112</v>
      </c>
      <c r="AB22">
        <v>127</v>
      </c>
      <c r="AC22">
        <v>117</v>
      </c>
      <c r="AD22">
        <v>104.110169491525</v>
      </c>
      <c r="AE22">
        <v>142.77966101694901</v>
      </c>
    </row>
    <row r="23" spans="1:31" x14ac:dyDescent="0.3">
      <c r="A23" t="s">
        <v>296</v>
      </c>
      <c r="B23" t="s">
        <v>164</v>
      </c>
      <c r="C23" t="s">
        <v>0</v>
      </c>
      <c r="D23" t="s">
        <v>165</v>
      </c>
      <c r="E23" t="s">
        <v>123</v>
      </c>
      <c r="F23">
        <v>173.85705268648701</v>
      </c>
      <c r="G23">
        <v>206.05280318398499</v>
      </c>
      <c r="H23">
        <v>239.97613053744601</v>
      </c>
      <c r="I23">
        <v>206.91819418790001</v>
      </c>
      <c r="J23">
        <v>303.72202772609802</v>
      </c>
      <c r="K23">
        <v>354.54404033365199</v>
      </c>
      <c r="L23">
        <v>331.86277176011902</v>
      </c>
      <c r="M23">
        <v>334.25027371522799</v>
      </c>
      <c r="N23">
        <v>403.48783041338203</v>
      </c>
      <c r="O23">
        <v>397.51907552560999</v>
      </c>
      <c r="P23">
        <v>465.15664957026598</v>
      </c>
      <c r="Q23">
        <v>496.791988457917</v>
      </c>
      <c r="R23">
        <v>565.27499621262905</v>
      </c>
      <c r="S23">
        <v>610.67861036625402</v>
      </c>
      <c r="T23">
        <v>410.42003903894198</v>
      </c>
      <c r="U23">
        <v>337.48066870576099</v>
      </c>
      <c r="V23">
        <v>492.15930852923498</v>
      </c>
      <c r="W23">
        <v>502.74337968040197</v>
      </c>
      <c r="X23">
        <v>478.85268188567198</v>
      </c>
      <c r="Y23">
        <v>460.39583333333297</v>
      </c>
      <c r="Z23">
        <v>441</v>
      </c>
      <c r="AA23">
        <v>566</v>
      </c>
      <c r="AB23">
        <v>637.25177304964495</v>
      </c>
      <c r="AC23">
        <v>756.11221347740104</v>
      </c>
      <c r="AD23">
        <v>843.31781608029905</v>
      </c>
      <c r="AE23">
        <v>826.74393992611897</v>
      </c>
    </row>
    <row r="24" spans="1:31" x14ac:dyDescent="0.3">
      <c r="A24" t="s">
        <v>296</v>
      </c>
      <c r="B24" t="s">
        <v>166</v>
      </c>
      <c r="C24" t="s">
        <v>0</v>
      </c>
      <c r="D24" t="s">
        <v>167</v>
      </c>
      <c r="E24" t="s">
        <v>123</v>
      </c>
      <c r="F24">
        <v>303.885329610783</v>
      </c>
      <c r="G24">
        <v>371.56284843239899</v>
      </c>
      <c r="H24">
        <v>564.46481504016003</v>
      </c>
      <c r="I24">
        <v>546.86457581841796</v>
      </c>
      <c r="J24">
        <v>541.893079674614</v>
      </c>
      <c r="K24">
        <v>522.097898681934</v>
      </c>
      <c r="L24">
        <v>529.39996719496799</v>
      </c>
      <c r="M24">
        <v>522.13131775979696</v>
      </c>
      <c r="N24">
        <v>524.55420090485404</v>
      </c>
      <c r="O24">
        <v>403.41004365200098</v>
      </c>
      <c r="P24">
        <v>429.902643533625</v>
      </c>
      <c r="Q24">
        <v>371.71140172934901</v>
      </c>
      <c r="R24">
        <v>518.74913975519996</v>
      </c>
      <c r="S24">
        <v>547.50463530703996</v>
      </c>
      <c r="T24">
        <v>518.51253649241096</v>
      </c>
      <c r="U24">
        <v>410.626700874032</v>
      </c>
      <c r="V24">
        <v>601.157490079583</v>
      </c>
      <c r="W24">
        <v>717.54499703992894</v>
      </c>
      <c r="X24">
        <v>554.37149917079</v>
      </c>
      <c r="Y24">
        <v>643.15352697095398</v>
      </c>
      <c r="Z24">
        <v>496</v>
      </c>
      <c r="AA24">
        <v>770</v>
      </c>
      <c r="AB24">
        <v>803.0859375</v>
      </c>
      <c r="AC24">
        <v>888.66882551115202</v>
      </c>
      <c r="AD24">
        <v>833.49648157697902</v>
      </c>
      <c r="AE24">
        <v>801.32644193716601</v>
      </c>
    </row>
    <row r="25" spans="1:31" x14ac:dyDescent="0.3">
      <c r="A25" t="s">
        <v>296</v>
      </c>
      <c r="B25" t="s">
        <v>168</v>
      </c>
      <c r="C25" t="s">
        <v>0</v>
      </c>
      <c r="D25" t="s">
        <v>169</v>
      </c>
      <c r="E25" t="s">
        <v>123</v>
      </c>
      <c r="F25">
        <v>40.554821584720102</v>
      </c>
      <c r="G25">
        <v>45.624174282810102</v>
      </c>
      <c r="H25">
        <v>72.752061694210695</v>
      </c>
      <c r="I25">
        <v>82.452336586772105</v>
      </c>
      <c r="J25">
        <v>76.4775295877307</v>
      </c>
      <c r="K25">
        <v>70.502722588689196</v>
      </c>
      <c r="L25">
        <v>71.677767965167305</v>
      </c>
      <c r="M25">
        <v>70.502722588689196</v>
      </c>
      <c r="N25">
        <v>68.152631835732905</v>
      </c>
      <c r="O25">
        <v>63.452450329820302</v>
      </c>
      <c r="P25">
        <v>50.526951188560602</v>
      </c>
      <c r="Q25">
        <v>68.152631835732905</v>
      </c>
      <c r="R25">
        <v>49.3519058120824</v>
      </c>
      <c r="S25">
        <v>43.613312113003097</v>
      </c>
      <c r="T25">
        <v>67.097403250773993</v>
      </c>
      <c r="U25">
        <v>73.697147832817294</v>
      </c>
      <c r="V25">
        <v>125.39514705882399</v>
      </c>
      <c r="W25">
        <v>91.099038461538498</v>
      </c>
      <c r="X25">
        <v>68.0625</v>
      </c>
      <c r="Y25">
        <v>90.75</v>
      </c>
      <c r="Z25">
        <v>66</v>
      </c>
      <c r="AA25">
        <v>120</v>
      </c>
      <c r="AB25">
        <v>93</v>
      </c>
      <c r="AC25">
        <v>110.808510638298</v>
      </c>
      <c r="AD25">
        <v>124.536998681981</v>
      </c>
      <c r="AE25">
        <v>127.433207953655</v>
      </c>
    </row>
    <row r="26" spans="1:31" x14ac:dyDescent="0.3">
      <c r="A26" t="s">
        <v>296</v>
      </c>
      <c r="B26" t="s">
        <v>170</v>
      </c>
      <c r="C26" t="s">
        <v>0</v>
      </c>
      <c r="D26" t="s">
        <v>171</v>
      </c>
      <c r="E26" t="s">
        <v>123</v>
      </c>
      <c r="F26">
        <v>110.065529190098</v>
      </c>
      <c r="G26">
        <v>157.04471847855501</v>
      </c>
      <c r="H26">
        <v>276.13696332479202</v>
      </c>
      <c r="I26">
        <v>226.508661160429</v>
      </c>
      <c r="J26">
        <v>202.599413593495</v>
      </c>
      <c r="K26">
        <v>215.10555023506799</v>
      </c>
      <c r="L26">
        <v>217.56389938061201</v>
      </c>
      <c r="M26">
        <v>220.00843757589999</v>
      </c>
      <c r="N26">
        <v>195.563055623022</v>
      </c>
      <c r="O26">
        <v>144.227753521979</v>
      </c>
      <c r="P26">
        <v>156.34773280953999</v>
      </c>
      <c r="Q26">
        <v>108.607967066169</v>
      </c>
      <c r="R26">
        <v>256.17313971042</v>
      </c>
      <c r="S26">
        <v>289.63719850142098</v>
      </c>
      <c r="T26">
        <v>230.36781039109201</v>
      </c>
      <c r="U26">
        <v>168.642464066206</v>
      </c>
      <c r="V26">
        <v>258.43910077678299</v>
      </c>
      <c r="W26">
        <v>316.10732987573499</v>
      </c>
      <c r="X26">
        <v>252.257836092888</v>
      </c>
      <c r="Y26">
        <v>300.84848484848499</v>
      </c>
      <c r="Z26">
        <v>204</v>
      </c>
      <c r="AA26">
        <v>357</v>
      </c>
      <c r="AB26">
        <v>434.21629213483101</v>
      </c>
      <c r="AC26">
        <v>460.10992423461499</v>
      </c>
      <c r="AD26">
        <v>401.98040489876399</v>
      </c>
      <c r="AE26">
        <v>354.172055772455</v>
      </c>
    </row>
    <row r="27" spans="1:31" x14ac:dyDescent="0.3">
      <c r="A27" t="s">
        <v>296</v>
      </c>
      <c r="B27" t="s">
        <v>172</v>
      </c>
      <c r="C27" t="s">
        <v>0</v>
      </c>
      <c r="D27" t="s">
        <v>173</v>
      </c>
      <c r="E27" t="s">
        <v>123</v>
      </c>
      <c r="F27">
        <v>153.46154340822099</v>
      </c>
      <c r="G27">
        <v>169.474921850817</v>
      </c>
      <c r="H27">
        <v>216.40643867104399</v>
      </c>
      <c r="I27">
        <v>237.79544714434499</v>
      </c>
      <c r="J27">
        <v>262.695493965742</v>
      </c>
      <c r="K27">
        <v>236.67377050687099</v>
      </c>
      <c r="L27">
        <v>240.33367417450299</v>
      </c>
      <c r="M27">
        <v>231.83702912793001</v>
      </c>
      <c r="N27">
        <v>260.96838357332399</v>
      </c>
      <c r="O27">
        <v>195.42283607118699</v>
      </c>
      <c r="P27">
        <v>223.168053538084</v>
      </c>
      <c r="Q27">
        <v>194.67851478854101</v>
      </c>
      <c r="R27">
        <v>213.442708985027</v>
      </c>
      <c r="S27">
        <v>214.59025043118299</v>
      </c>
      <c r="T27">
        <v>221.261449926453</v>
      </c>
      <c r="U27">
        <v>168.42289472013599</v>
      </c>
      <c r="V27">
        <v>217.637376943552</v>
      </c>
      <c r="W27">
        <v>310.45331711065597</v>
      </c>
      <c r="X27">
        <v>234.14660953800299</v>
      </c>
      <c r="Y27">
        <v>251.68181818181799</v>
      </c>
      <c r="Z27">
        <v>226</v>
      </c>
      <c r="AA27">
        <v>293</v>
      </c>
      <c r="AB27">
        <v>275.94178082191797</v>
      </c>
      <c r="AC27">
        <v>317.781328816577</v>
      </c>
      <c r="AD27">
        <v>306.92544491290499</v>
      </c>
      <c r="AE27">
        <v>319.632549320127</v>
      </c>
    </row>
    <row r="28" spans="1:31" x14ac:dyDescent="0.3">
      <c r="A28" t="s">
        <v>296</v>
      </c>
      <c r="B28" t="s">
        <v>174</v>
      </c>
      <c r="C28" t="s">
        <v>0</v>
      </c>
      <c r="D28" t="s">
        <v>175</v>
      </c>
      <c r="E28" t="s">
        <v>123</v>
      </c>
      <c r="F28">
        <v>187.30279648740299</v>
      </c>
      <c r="G28">
        <v>199.386847873687</v>
      </c>
      <c r="H28">
        <v>219.44351304441301</v>
      </c>
      <c r="I28">
        <v>277.19180595083702</v>
      </c>
      <c r="J28">
        <v>225.43399986043201</v>
      </c>
      <c r="K28">
        <v>231.18486720381</v>
      </c>
      <c r="L28">
        <v>233.46255062453699</v>
      </c>
      <c r="M28">
        <v>260.79475167326399</v>
      </c>
      <c r="N28">
        <v>304.07073666708101</v>
      </c>
      <c r="O28">
        <v>252.82285970071899</v>
      </c>
      <c r="P28">
        <v>229.01442896656999</v>
      </c>
      <c r="Q28">
        <v>188.79726095292901</v>
      </c>
      <c r="R28">
        <v>202.12412643195901</v>
      </c>
      <c r="S28">
        <v>198.82862437056801</v>
      </c>
      <c r="T28">
        <v>259.34168396161101</v>
      </c>
      <c r="U28">
        <v>219.690269471612</v>
      </c>
      <c r="V28">
        <v>281.84654083431298</v>
      </c>
      <c r="W28">
        <v>200.42420681551101</v>
      </c>
      <c r="X28">
        <v>160.339365452409</v>
      </c>
      <c r="Y28">
        <v>256.745945945946</v>
      </c>
      <c r="Z28">
        <v>187</v>
      </c>
      <c r="AA28">
        <v>269</v>
      </c>
      <c r="AB28">
        <v>210.783582089552</v>
      </c>
      <c r="AC28">
        <v>247.921641791045</v>
      </c>
      <c r="AD28">
        <v>320.89857667308598</v>
      </c>
      <c r="AE28">
        <v>266.25640417457299</v>
      </c>
    </row>
    <row r="29" spans="1:31" x14ac:dyDescent="0.3">
      <c r="A29" t="s">
        <v>296</v>
      </c>
      <c r="B29" t="s">
        <v>176</v>
      </c>
      <c r="C29" t="s">
        <v>0</v>
      </c>
      <c r="D29" t="s">
        <v>177</v>
      </c>
      <c r="E29" t="s">
        <v>123</v>
      </c>
      <c r="F29">
        <v>110.55295403116899</v>
      </c>
      <c r="G29">
        <v>112.98268928460099</v>
      </c>
      <c r="H29">
        <v>128.44347834459899</v>
      </c>
      <c r="I29">
        <v>171.64719378778301</v>
      </c>
      <c r="J29">
        <v>109.01916362196999</v>
      </c>
      <c r="K29">
        <v>119.45716864960499</v>
      </c>
      <c r="L29">
        <v>121.754421892867</v>
      </c>
      <c r="M29">
        <v>143.57832770385301</v>
      </c>
      <c r="N29">
        <v>175.739873109516</v>
      </c>
      <c r="O29">
        <v>156.213220541792</v>
      </c>
      <c r="P29">
        <v>132.26812834195499</v>
      </c>
      <c r="Q29">
        <v>91.915140034239997</v>
      </c>
      <c r="R29">
        <v>81.948438102816397</v>
      </c>
      <c r="S29">
        <v>104.89400077160499</v>
      </c>
      <c r="T29">
        <v>89.909143518518505</v>
      </c>
      <c r="U29">
        <v>85.678124999999994</v>
      </c>
      <c r="V29">
        <v>114.2375</v>
      </c>
      <c r="W29">
        <v>77.1875</v>
      </c>
      <c r="X29">
        <v>65</v>
      </c>
      <c r="Y29">
        <v>95</v>
      </c>
      <c r="Z29">
        <v>32</v>
      </c>
      <c r="AA29">
        <v>70</v>
      </c>
      <c r="AB29">
        <v>67</v>
      </c>
      <c r="AC29">
        <v>72</v>
      </c>
      <c r="AD29">
        <v>107</v>
      </c>
      <c r="AE29">
        <v>77.2777777777778</v>
      </c>
    </row>
    <row r="30" spans="1:31" x14ac:dyDescent="0.3">
      <c r="A30" t="s">
        <v>296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7.5198938992042503</v>
      </c>
      <c r="M30">
        <v>7.5198938992042503</v>
      </c>
      <c r="N30">
        <v>7.5198938992042503</v>
      </c>
      <c r="O30">
        <v>8.5941644562334201</v>
      </c>
      <c r="P30">
        <v>10.7427055702918</v>
      </c>
      <c r="Q30">
        <v>21.485411140583601</v>
      </c>
      <c r="R30">
        <v>20.411140583554399</v>
      </c>
      <c r="S30">
        <v>17.188328912466801</v>
      </c>
      <c r="T30">
        <v>7.5198938992042397</v>
      </c>
      <c r="U30">
        <v>4.29708222811671</v>
      </c>
      <c r="V30">
        <v>27.931034482758601</v>
      </c>
      <c r="W30">
        <v>30</v>
      </c>
      <c r="X30">
        <v>24</v>
      </c>
      <c r="Y30">
        <v>10</v>
      </c>
      <c r="Z30">
        <v>18</v>
      </c>
      <c r="AA30">
        <v>21</v>
      </c>
      <c r="AB30">
        <v>8</v>
      </c>
      <c r="AC30">
        <v>23</v>
      </c>
      <c r="AD30">
        <v>24</v>
      </c>
      <c r="AE30">
        <v>13</v>
      </c>
    </row>
    <row r="31" spans="1:31" x14ac:dyDescent="0.3">
      <c r="A31" t="s">
        <v>296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>
        <v>0</v>
      </c>
      <c r="X31">
        <v>1</v>
      </c>
      <c r="Y31">
        <v>1</v>
      </c>
      <c r="Z31">
        <v>1</v>
      </c>
      <c r="AA31">
        <v>2</v>
      </c>
      <c r="AB31">
        <v>4</v>
      </c>
      <c r="AC31">
        <v>4</v>
      </c>
      <c r="AD31">
        <v>5</v>
      </c>
      <c r="AE31">
        <v>4</v>
      </c>
    </row>
    <row r="32" spans="1:31" x14ac:dyDescent="0.3">
      <c r="A32" t="s">
        <v>296</v>
      </c>
      <c r="B32" t="s">
        <v>182</v>
      </c>
      <c r="C32" t="s">
        <v>0</v>
      </c>
      <c r="D32" t="s">
        <v>183</v>
      </c>
      <c r="E32" t="s">
        <v>123</v>
      </c>
      <c r="F32">
        <v>63.505148744022797</v>
      </c>
      <c r="G32">
        <v>65.995546733984497</v>
      </c>
      <c r="H32">
        <v>59.995951576349597</v>
      </c>
      <c r="I32">
        <v>66.918561373620705</v>
      </c>
      <c r="J32">
        <v>72.687402871346606</v>
      </c>
      <c r="K32">
        <v>74.994939470437004</v>
      </c>
      <c r="L32">
        <v>62.495782892030803</v>
      </c>
      <c r="M32">
        <v>73.858652508763697</v>
      </c>
      <c r="N32">
        <v>95.448104780556207</v>
      </c>
      <c r="O32">
        <v>77.267513393783602</v>
      </c>
      <c r="P32">
        <v>76.131226432110296</v>
      </c>
      <c r="Q32">
        <v>61.576727261265702</v>
      </c>
      <c r="R32">
        <v>83.968264447180502</v>
      </c>
      <c r="S32">
        <v>60.7665071657227</v>
      </c>
      <c r="T32">
        <v>142.15022211981599</v>
      </c>
      <c r="U32">
        <v>122.766100921659</v>
      </c>
      <c r="V32">
        <v>135.68884838709701</v>
      </c>
      <c r="W32">
        <v>90.459232258064503</v>
      </c>
      <c r="X32">
        <v>64.465199999999996</v>
      </c>
      <c r="Y32">
        <v>143.256</v>
      </c>
      <c r="Z32">
        <v>127</v>
      </c>
      <c r="AA32">
        <v>165</v>
      </c>
      <c r="AB32">
        <v>121.737804878049</v>
      </c>
      <c r="AC32">
        <v>136.829268292683</v>
      </c>
      <c r="AD32">
        <v>174.78191205269701</v>
      </c>
      <c r="AE32">
        <v>160.87880541214199</v>
      </c>
    </row>
    <row r="33" spans="1:31" x14ac:dyDescent="0.3">
      <c r="A33" t="s">
        <v>296</v>
      </c>
      <c r="B33" t="s">
        <v>184</v>
      </c>
      <c r="C33" t="s">
        <v>0</v>
      </c>
      <c r="D33" t="s">
        <v>185</v>
      </c>
      <c r="E33" t="s">
        <v>123</v>
      </c>
      <c r="F33">
        <v>6</v>
      </c>
      <c r="G33">
        <v>9</v>
      </c>
      <c r="H33">
        <v>18</v>
      </c>
      <c r="I33">
        <v>19</v>
      </c>
      <c r="J33">
        <v>25</v>
      </c>
      <c r="K33">
        <v>26</v>
      </c>
      <c r="L33">
        <v>24</v>
      </c>
      <c r="M33">
        <v>27</v>
      </c>
      <c r="N33">
        <v>18</v>
      </c>
      <c r="O33">
        <v>4</v>
      </c>
      <c r="P33">
        <v>1</v>
      </c>
      <c r="Q33">
        <v>1</v>
      </c>
      <c r="R33">
        <v>2</v>
      </c>
      <c r="S33">
        <v>2</v>
      </c>
      <c r="T33">
        <v>4</v>
      </c>
      <c r="U33">
        <v>5</v>
      </c>
      <c r="V33">
        <v>2</v>
      </c>
      <c r="W33">
        <v>2</v>
      </c>
      <c r="X33">
        <v>5</v>
      </c>
      <c r="Y33">
        <v>7</v>
      </c>
      <c r="Z33">
        <v>9</v>
      </c>
      <c r="AA33">
        <v>11</v>
      </c>
      <c r="AB33">
        <v>10</v>
      </c>
      <c r="AC33">
        <v>12</v>
      </c>
      <c r="AD33">
        <v>10</v>
      </c>
      <c r="AE33">
        <v>11</v>
      </c>
    </row>
    <row r="34" spans="1:31" x14ac:dyDescent="0.3">
      <c r="A34" t="s">
        <v>296</v>
      </c>
      <c r="B34" t="s">
        <v>186</v>
      </c>
      <c r="C34" t="s">
        <v>0</v>
      </c>
      <c r="D34" t="s">
        <v>187</v>
      </c>
      <c r="E34" t="s">
        <v>123</v>
      </c>
      <c r="F34">
        <v>42.223126057969402</v>
      </c>
      <c r="G34">
        <v>57.125405843135098</v>
      </c>
      <c r="H34">
        <v>80.218655013764206</v>
      </c>
      <c r="I34">
        <v>100.273318767205</v>
      </c>
      <c r="J34">
        <v>80.218655013764206</v>
      </c>
      <c r="K34">
        <v>82.578027220051396</v>
      </c>
      <c r="L34">
        <v>77.859282807477001</v>
      </c>
      <c r="M34">
        <v>77.859282807477001</v>
      </c>
      <c r="N34">
        <v>88.476457735769401</v>
      </c>
      <c r="O34">
        <v>74.320224498046301</v>
      </c>
      <c r="P34">
        <v>87.296771632625806</v>
      </c>
      <c r="Q34">
        <v>105.920082914253</v>
      </c>
      <c r="R34">
        <v>101.31486191798101</v>
      </c>
      <c r="S34">
        <v>110.421815798249</v>
      </c>
      <c r="T34">
        <v>87.233234480616503</v>
      </c>
      <c r="U34">
        <v>65.424925860462395</v>
      </c>
      <c r="V34">
        <v>92.685311635654998</v>
      </c>
      <c r="W34">
        <v>103.33879573170699</v>
      </c>
      <c r="X34">
        <v>85.59375</v>
      </c>
      <c r="Y34">
        <v>94.875</v>
      </c>
      <c r="Z34">
        <v>99</v>
      </c>
      <c r="AA34">
        <v>131</v>
      </c>
      <c r="AB34">
        <v>118</v>
      </c>
      <c r="AC34">
        <v>159.64705882352899</v>
      </c>
      <c r="AD34">
        <v>159.64705882352899</v>
      </c>
      <c r="AE34">
        <v>142.89397240377599</v>
      </c>
    </row>
    <row r="35" spans="1:31" x14ac:dyDescent="0.3">
      <c r="A35" t="s">
        <v>296</v>
      </c>
      <c r="B35" t="s">
        <v>188</v>
      </c>
      <c r="C35" t="s">
        <v>0</v>
      </c>
      <c r="D35" t="s">
        <v>189</v>
      </c>
      <c r="E35" t="s">
        <v>123</v>
      </c>
      <c r="F35">
        <v>160.63808415938499</v>
      </c>
      <c r="G35">
        <v>238.407315379404</v>
      </c>
      <c r="H35">
        <v>321.60153480867598</v>
      </c>
      <c r="I35">
        <v>304.675138239798</v>
      </c>
      <c r="J35">
        <v>287.88202038406098</v>
      </c>
      <c r="K35">
        <v>414.50232810485198</v>
      </c>
      <c r="L35">
        <v>479.08484381523903</v>
      </c>
      <c r="M35">
        <v>431.17635943371499</v>
      </c>
      <c r="N35">
        <v>238.37392228855799</v>
      </c>
      <c r="O35">
        <v>245.384920002927</v>
      </c>
      <c r="P35">
        <v>229.10345611647699</v>
      </c>
      <c r="Q35">
        <v>192.262699354029</v>
      </c>
      <c r="R35">
        <v>191.125050245425</v>
      </c>
      <c r="S35">
        <v>238.068045042547</v>
      </c>
      <c r="T35">
        <v>211.85871898281701</v>
      </c>
      <c r="U35">
        <v>245.366985760711</v>
      </c>
      <c r="V35">
        <v>283.03297041696101</v>
      </c>
      <c r="W35">
        <v>335.64132923052199</v>
      </c>
      <c r="X35">
        <v>288.13517186250999</v>
      </c>
      <c r="Y35">
        <v>275.87410071942401</v>
      </c>
      <c r="Z35">
        <v>283</v>
      </c>
      <c r="AA35">
        <v>310</v>
      </c>
      <c r="AB35">
        <v>278</v>
      </c>
      <c r="AC35">
        <v>310.76428571428602</v>
      </c>
      <c r="AD35">
        <v>292.01977324262998</v>
      </c>
      <c r="AE35">
        <v>376.161063837965</v>
      </c>
    </row>
    <row r="36" spans="1:31" x14ac:dyDescent="0.3">
      <c r="A36" t="s">
        <v>296</v>
      </c>
      <c r="B36" t="s">
        <v>190</v>
      </c>
      <c r="C36" t="s">
        <v>0</v>
      </c>
      <c r="D36" t="s">
        <v>191</v>
      </c>
      <c r="E36" t="s">
        <v>123</v>
      </c>
      <c r="F36">
        <v>32.185263157894703</v>
      </c>
      <c r="G36">
        <v>46.132210526315802</v>
      </c>
      <c r="H36">
        <v>80.463157894736796</v>
      </c>
      <c r="I36">
        <v>64.788516746411503</v>
      </c>
      <c r="J36">
        <v>14.629665071770299</v>
      </c>
      <c r="K36">
        <v>59.563636363636398</v>
      </c>
      <c r="L36">
        <v>58.518660287081303</v>
      </c>
      <c r="M36">
        <v>45.978947368420997</v>
      </c>
      <c r="N36">
        <v>39.709090909090897</v>
      </c>
      <c r="O36">
        <v>30.3043062200957</v>
      </c>
      <c r="P36">
        <v>40.754066985645899</v>
      </c>
      <c r="Q36">
        <v>28.214354066985599</v>
      </c>
      <c r="R36">
        <v>25.079425837320599</v>
      </c>
      <c r="S36">
        <v>25.079425837320599</v>
      </c>
      <c r="T36">
        <v>29.259330143540701</v>
      </c>
      <c r="U36">
        <v>47.023923444976099</v>
      </c>
      <c r="V36">
        <v>39.709090909090897</v>
      </c>
      <c r="W36">
        <v>56</v>
      </c>
      <c r="X36">
        <v>40</v>
      </c>
      <c r="Y36">
        <v>39</v>
      </c>
      <c r="Z36">
        <v>46</v>
      </c>
      <c r="AA36">
        <v>48</v>
      </c>
      <c r="AB36">
        <v>49</v>
      </c>
      <c r="AC36">
        <v>32</v>
      </c>
      <c r="AD36">
        <v>22</v>
      </c>
      <c r="AE36">
        <v>15</v>
      </c>
    </row>
    <row r="37" spans="1:31" x14ac:dyDescent="0.3">
      <c r="A37" t="s">
        <v>296</v>
      </c>
      <c r="B37" t="s">
        <v>192</v>
      </c>
      <c r="C37" t="s">
        <v>0</v>
      </c>
      <c r="D37" t="s">
        <v>193</v>
      </c>
      <c r="E37" t="s">
        <v>123</v>
      </c>
      <c r="F37">
        <v>92.190665804474406</v>
      </c>
      <c r="G37">
        <v>158.99549609757199</v>
      </c>
      <c r="H37">
        <v>182.26312967282601</v>
      </c>
      <c r="I37">
        <v>164.66531025614</v>
      </c>
      <c r="J37">
        <v>185.87220627397599</v>
      </c>
      <c r="K37">
        <v>247.829608365301</v>
      </c>
      <c r="L37">
        <v>259.97811857928599</v>
      </c>
      <c r="M37">
        <v>281.74372850685398</v>
      </c>
      <c r="N37">
        <v>105.20044798324599</v>
      </c>
      <c r="O37">
        <v>142.68566508072499</v>
      </c>
      <c r="P37">
        <v>103.117371402877</v>
      </c>
      <c r="Q37">
        <v>91.264799977258605</v>
      </c>
      <c r="R37">
        <v>92.434861515428594</v>
      </c>
      <c r="S37">
        <v>159.763958174815</v>
      </c>
      <c r="T37">
        <v>156.43554237950599</v>
      </c>
      <c r="U37">
        <v>147.68390364498799</v>
      </c>
      <c r="V37">
        <v>184.60487955623501</v>
      </c>
      <c r="W37">
        <v>171.87350855235701</v>
      </c>
      <c r="X37">
        <v>156.24864413850599</v>
      </c>
      <c r="Y37">
        <v>157.276595744681</v>
      </c>
      <c r="Z37">
        <v>144</v>
      </c>
      <c r="AA37">
        <v>185</v>
      </c>
      <c r="AB37">
        <v>178</v>
      </c>
      <c r="AC37">
        <v>181.955555555556</v>
      </c>
      <c r="AD37">
        <v>190.807447447447</v>
      </c>
      <c r="AE37">
        <v>265.94405887752998</v>
      </c>
    </row>
    <row r="38" spans="1:31" x14ac:dyDescent="0.3">
      <c r="A38" t="s">
        <v>296</v>
      </c>
      <c r="B38" t="s">
        <v>194</v>
      </c>
      <c r="C38" t="s">
        <v>0</v>
      </c>
      <c r="D38" t="s">
        <v>195</v>
      </c>
      <c r="E38" t="s">
        <v>123</v>
      </c>
      <c r="F38">
        <v>34.4467656439015</v>
      </c>
      <c r="G38">
        <v>31.895153373982801</v>
      </c>
      <c r="H38">
        <v>52.749676733894702</v>
      </c>
      <c r="I38">
        <v>70.732521074995105</v>
      </c>
      <c r="J38">
        <v>90.773402046243802</v>
      </c>
      <c r="K38">
        <v>106.098781612493</v>
      </c>
      <c r="L38">
        <v>159.14817241873899</v>
      </c>
      <c r="M38">
        <v>105.335481025352</v>
      </c>
      <c r="N38">
        <v>90.451119576117904</v>
      </c>
      <c r="O38">
        <v>72.131905484752195</v>
      </c>
      <c r="P38">
        <v>82.436463411145397</v>
      </c>
      <c r="Q38">
        <v>71.143797190440594</v>
      </c>
      <c r="R38">
        <v>72.255419021541201</v>
      </c>
      <c r="S38">
        <v>53.644174728113903</v>
      </c>
      <c r="T38">
        <v>26.822087364057001</v>
      </c>
      <c r="U38">
        <v>50.425524244427102</v>
      </c>
      <c r="V38">
        <v>59.0085922009253</v>
      </c>
      <c r="W38">
        <v>107.479935794543</v>
      </c>
      <c r="X38">
        <v>91.978021978021999</v>
      </c>
      <c r="Y38">
        <v>79.714285714285694</v>
      </c>
      <c r="Z38">
        <v>93</v>
      </c>
      <c r="AA38">
        <v>77</v>
      </c>
      <c r="AB38">
        <v>51</v>
      </c>
      <c r="AC38">
        <v>97</v>
      </c>
      <c r="AD38">
        <v>79.183673469387799</v>
      </c>
      <c r="AE38">
        <v>95.020408163265301</v>
      </c>
    </row>
    <row r="39" spans="1:31" x14ac:dyDescent="0.3">
      <c r="A39" t="s">
        <v>296</v>
      </c>
      <c r="B39" t="s">
        <v>196</v>
      </c>
      <c r="C39" t="s">
        <v>0</v>
      </c>
      <c r="D39" t="s">
        <v>197</v>
      </c>
      <c r="E39" t="s">
        <v>123</v>
      </c>
      <c r="F39">
        <v>10.4721633085896</v>
      </c>
      <c r="G39">
        <v>39.794220572640498</v>
      </c>
      <c r="H39">
        <v>5.2360816542948001</v>
      </c>
      <c r="I39">
        <v>11.5193796394486</v>
      </c>
      <c r="J39">
        <v>14.661028632025401</v>
      </c>
      <c r="K39">
        <v>10.4721633085896</v>
      </c>
      <c r="L39">
        <v>6.2832979851537596</v>
      </c>
      <c r="M39">
        <v>120.42987804878</v>
      </c>
      <c r="N39">
        <v>10.564024390243899</v>
      </c>
      <c r="O39">
        <v>4.2256097560975601</v>
      </c>
      <c r="P39">
        <v>9.5076219512195106</v>
      </c>
      <c r="Q39">
        <v>63.384146341463399</v>
      </c>
      <c r="R39">
        <v>34.861280487804898</v>
      </c>
      <c r="S39">
        <v>43.3125</v>
      </c>
      <c r="T39">
        <v>26.8125</v>
      </c>
      <c r="U39">
        <v>-56.71875</v>
      </c>
      <c r="V39">
        <v>-33</v>
      </c>
      <c r="W39">
        <v>23</v>
      </c>
      <c r="X39">
        <v>19</v>
      </c>
      <c r="Y39">
        <v>10</v>
      </c>
      <c r="Z39">
        <v>9</v>
      </c>
      <c r="AA39">
        <v>9</v>
      </c>
      <c r="AB39">
        <v>57</v>
      </c>
      <c r="AC39">
        <v>34</v>
      </c>
      <c r="AD39">
        <v>53</v>
      </c>
      <c r="AE39">
        <v>42</v>
      </c>
    </row>
    <row r="40" spans="1:31" x14ac:dyDescent="0.3">
      <c r="A40" t="s">
        <v>296</v>
      </c>
      <c r="B40" t="s">
        <v>198</v>
      </c>
      <c r="C40" t="s">
        <v>0</v>
      </c>
      <c r="D40" t="s">
        <v>199</v>
      </c>
      <c r="E40" t="s">
        <v>123</v>
      </c>
      <c r="F40">
        <v>26.108575407002999</v>
      </c>
      <c r="G40">
        <v>31.784352669394998</v>
      </c>
      <c r="H40">
        <v>37.460129931787002</v>
      </c>
      <c r="I40">
        <v>21.567953597089499</v>
      </c>
      <c r="J40">
        <v>24.973419954524601</v>
      </c>
      <c r="K40">
        <v>61.298394433833202</v>
      </c>
      <c r="L40">
        <v>45.4062180991357</v>
      </c>
      <c r="M40">
        <v>72.649948958617102</v>
      </c>
      <c r="N40">
        <v>115.785856152796</v>
      </c>
      <c r="O40">
        <v>88.542125293314598</v>
      </c>
      <c r="P40">
        <v>128.27256613005801</v>
      </c>
      <c r="Q40">
        <v>127.147368181549</v>
      </c>
      <c r="R40">
        <v>94.802862240628698</v>
      </c>
      <c r="S40">
        <v>170.865623805784</v>
      </c>
      <c r="T40">
        <v>162.268611287254</v>
      </c>
      <c r="U40">
        <v>85.404532256449599</v>
      </c>
      <c r="V40">
        <v>81.134305643627101</v>
      </c>
      <c r="W40">
        <v>86.335222672064802</v>
      </c>
      <c r="X40">
        <v>97.641025641025607</v>
      </c>
      <c r="Y40">
        <v>104.760683760684</v>
      </c>
      <c r="Z40">
        <v>119</v>
      </c>
      <c r="AA40">
        <v>132</v>
      </c>
      <c r="AB40">
        <v>164</v>
      </c>
      <c r="AC40">
        <v>294</v>
      </c>
      <c r="AD40">
        <v>259</v>
      </c>
      <c r="AE40">
        <v>238.922480620155</v>
      </c>
    </row>
    <row r="41" spans="1:31" x14ac:dyDescent="0.3">
      <c r="A41" t="s">
        <v>296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296</v>
      </c>
      <c r="B42" t="s">
        <v>202</v>
      </c>
      <c r="C42" t="s">
        <v>0</v>
      </c>
      <c r="D42" t="s">
        <v>203</v>
      </c>
      <c r="E42" t="s">
        <v>123</v>
      </c>
      <c r="F42">
        <v>110.828645821865</v>
      </c>
      <c r="G42">
        <v>129.30008679217599</v>
      </c>
      <c r="H42">
        <v>151.98431254518999</v>
      </c>
      <c r="I42">
        <v>164.277161353992</v>
      </c>
      <c r="J42">
        <v>166.51222477377399</v>
      </c>
      <c r="K42">
        <v>174.33494674301201</v>
      </c>
      <c r="L42">
        <v>173.217415033121</v>
      </c>
      <c r="M42">
        <v>198.920644360616</v>
      </c>
      <c r="N42">
        <v>178.805073582576</v>
      </c>
      <c r="O42">
        <v>187.745327261705</v>
      </c>
      <c r="P42">
        <v>170.98235161333801</v>
      </c>
      <c r="Q42">
        <v>138.784376309528</v>
      </c>
      <c r="R42">
        <v>233.157752200007</v>
      </c>
      <c r="S42">
        <v>168.57414947793899</v>
      </c>
      <c r="T42">
        <v>110.262336765445</v>
      </c>
      <c r="U42">
        <v>164.333290371576</v>
      </c>
      <c r="V42">
        <v>194.019304116119</v>
      </c>
      <c r="W42">
        <v>216.96782395781</v>
      </c>
      <c r="X42">
        <v>180.97790055248601</v>
      </c>
      <c r="Y42">
        <v>200.18784530386699</v>
      </c>
      <c r="Z42">
        <v>183</v>
      </c>
      <c r="AA42">
        <v>182</v>
      </c>
      <c r="AB42">
        <v>198</v>
      </c>
      <c r="AC42">
        <v>236</v>
      </c>
      <c r="AD42">
        <v>275</v>
      </c>
      <c r="AE42">
        <v>264.92673992674003</v>
      </c>
    </row>
    <row r="43" spans="1:31" x14ac:dyDescent="0.3">
      <c r="A43" t="s">
        <v>296</v>
      </c>
      <c r="B43" t="s">
        <v>204</v>
      </c>
      <c r="C43" t="s">
        <v>0</v>
      </c>
      <c r="D43" t="s">
        <v>205</v>
      </c>
      <c r="E43" t="s">
        <v>123</v>
      </c>
      <c r="F43">
        <v>167.08674509620499</v>
      </c>
      <c r="G43">
        <v>244.05929058996199</v>
      </c>
      <c r="H43">
        <v>226.62648411924999</v>
      </c>
      <c r="I43">
        <v>256.30376180153303</v>
      </c>
      <c r="J43">
        <v>266.1615987939</v>
      </c>
      <c r="K43">
        <v>321.72395275087501</v>
      </c>
      <c r="L43">
        <v>301.37394369133199</v>
      </c>
      <c r="M43">
        <v>414.91976050461602</v>
      </c>
      <c r="N43">
        <v>411.52804584108998</v>
      </c>
      <c r="O43">
        <v>397.96118718698801</v>
      </c>
      <c r="P43">
        <v>403.61404495953099</v>
      </c>
      <c r="Q43">
        <v>355.404589589365</v>
      </c>
      <c r="R43">
        <v>469.40228813689703</v>
      </c>
      <c r="S43">
        <v>495.84748746855303</v>
      </c>
      <c r="T43">
        <v>309.099732447929</v>
      </c>
      <c r="U43">
        <v>334.680399960861</v>
      </c>
      <c r="V43">
        <v>427.41031969523999</v>
      </c>
      <c r="W43">
        <v>461.98027202353097</v>
      </c>
      <c r="X43">
        <v>412.48238573529602</v>
      </c>
      <c r="Y43">
        <v>486.83106267030001</v>
      </c>
      <c r="Z43">
        <v>373</v>
      </c>
      <c r="AA43">
        <v>437</v>
      </c>
      <c r="AB43">
        <v>453.036697247706</v>
      </c>
      <c r="AC43">
        <v>565.04577029791199</v>
      </c>
      <c r="AD43">
        <v>640.78382769234099</v>
      </c>
      <c r="AE43">
        <v>590.80068980682302</v>
      </c>
    </row>
    <row r="44" spans="1:31" x14ac:dyDescent="0.3">
      <c r="A44" t="s">
        <v>296</v>
      </c>
      <c r="B44" t="s">
        <v>206</v>
      </c>
      <c r="C44" t="s">
        <v>0</v>
      </c>
      <c r="D44" t="s">
        <v>207</v>
      </c>
      <c r="E44" t="s">
        <v>123</v>
      </c>
      <c r="F44">
        <v>4160.4034292009201</v>
      </c>
      <c r="G44">
        <v>5019.4099791590697</v>
      </c>
      <c r="H44">
        <v>5513.52457566461</v>
      </c>
      <c r="I44">
        <v>5599.3337359000998</v>
      </c>
      <c r="J44">
        <v>5136.4371931282003</v>
      </c>
      <c r="K44">
        <v>5587.82802874971</v>
      </c>
      <c r="L44">
        <v>6455.8735485041798</v>
      </c>
      <c r="M44">
        <v>5999.5021455917504</v>
      </c>
      <c r="N44">
        <v>5671.0791291407004</v>
      </c>
      <c r="O44">
        <v>5237.7831956782702</v>
      </c>
      <c r="P44">
        <v>5346.3023978809897</v>
      </c>
      <c r="Q44">
        <v>4975.7779108406803</v>
      </c>
      <c r="R44">
        <v>6133.3333954850305</v>
      </c>
      <c r="S44">
        <v>6265.5704392758598</v>
      </c>
      <c r="T44">
        <v>5339.1945698403997</v>
      </c>
      <c r="U44">
        <v>4339.7819618613803</v>
      </c>
      <c r="V44">
        <v>5085.8670274952001</v>
      </c>
      <c r="W44">
        <v>5651.1973097897398</v>
      </c>
      <c r="X44">
        <v>5123.8211656007597</v>
      </c>
      <c r="Y44">
        <v>5439.7151680290599</v>
      </c>
      <c r="Z44">
        <v>5612</v>
      </c>
      <c r="AA44">
        <v>6604</v>
      </c>
      <c r="AB44">
        <v>7561.4647032032799</v>
      </c>
      <c r="AC44">
        <v>7017.1588722278002</v>
      </c>
      <c r="AD44">
        <v>6814.7218374956501</v>
      </c>
      <c r="AE44">
        <v>6997.55583801382</v>
      </c>
    </row>
    <row r="45" spans="1:31" x14ac:dyDescent="0.3">
      <c r="A45" t="s">
        <v>296</v>
      </c>
      <c r="B45" t="s">
        <v>208</v>
      </c>
      <c r="C45" t="s">
        <v>0</v>
      </c>
      <c r="D45" t="s">
        <v>209</v>
      </c>
      <c r="E45" t="s">
        <v>123</v>
      </c>
      <c r="F45">
        <v>3989.5575378427602</v>
      </c>
      <c r="G45">
        <v>4910.0345789368703</v>
      </c>
      <c r="H45">
        <v>5303.5132595497998</v>
      </c>
      <c r="I45">
        <v>5358.7949457770901</v>
      </c>
      <c r="J45">
        <v>4831.0879053650497</v>
      </c>
      <c r="K45">
        <v>5294.7418687929003</v>
      </c>
      <c r="L45">
        <v>6149.7789583266403</v>
      </c>
      <c r="M45">
        <v>5645.8129334184496</v>
      </c>
      <c r="N45">
        <v>5286.3854047923896</v>
      </c>
      <c r="O45">
        <v>4842.9358564875101</v>
      </c>
      <c r="P45">
        <v>4963.5453701548204</v>
      </c>
      <c r="Q45">
        <v>4544.85018640014</v>
      </c>
      <c r="R45">
        <v>5638.26215992383</v>
      </c>
      <c r="S45">
        <v>5848.7453382529902</v>
      </c>
      <c r="T45">
        <v>4930.5903438121604</v>
      </c>
      <c r="U45">
        <v>3966.2613638585199</v>
      </c>
      <c r="V45">
        <v>4668.9115729197301</v>
      </c>
      <c r="W45">
        <v>5259.2337258176303</v>
      </c>
      <c r="X45">
        <v>4727.83090783645</v>
      </c>
      <c r="Y45">
        <v>5058.0838021338504</v>
      </c>
      <c r="Z45">
        <v>5258</v>
      </c>
      <c r="AA45">
        <v>6290</v>
      </c>
      <c r="AB45">
        <v>7214.3512910423997</v>
      </c>
      <c r="AC45">
        <v>6579.1692907115003</v>
      </c>
      <c r="AD45">
        <v>6383.5723658525103</v>
      </c>
      <c r="AE45">
        <v>6664.5670390119703</v>
      </c>
    </row>
    <row r="46" spans="1:31" x14ac:dyDescent="0.3">
      <c r="A46" t="s">
        <v>296</v>
      </c>
      <c r="B46" t="s">
        <v>210</v>
      </c>
      <c r="C46" t="s">
        <v>0</v>
      </c>
      <c r="D46" t="s">
        <v>211</v>
      </c>
      <c r="E46" t="s">
        <v>123</v>
      </c>
      <c r="F46">
        <v>63.228470983527899</v>
      </c>
      <c r="G46">
        <v>114.11967933612399</v>
      </c>
      <c r="H46">
        <v>84.838972138039196</v>
      </c>
      <c r="I46">
        <v>100.929122026288</v>
      </c>
      <c r="J46">
        <v>107.464101150292</v>
      </c>
      <c r="K46">
        <v>147.40008468587399</v>
      </c>
      <c r="L46">
        <v>130.650075062479</v>
      </c>
      <c r="M46">
        <v>215.72454254502401</v>
      </c>
      <c r="N46">
        <v>232.84553798510501</v>
      </c>
      <c r="O46">
        <v>210.017544064997</v>
      </c>
      <c r="P46">
        <v>232.84553798510501</v>
      </c>
      <c r="Q46">
        <v>217.02108394728199</v>
      </c>
      <c r="R46">
        <v>236.13693071984099</v>
      </c>
      <c r="S46">
        <v>328.15273001442699</v>
      </c>
      <c r="T46">
        <v>199.274265091269</v>
      </c>
      <c r="U46">
        <v>170.347355642536</v>
      </c>
      <c r="V46">
        <v>233.55800962309999</v>
      </c>
      <c r="W46">
        <v>245.130703793614</v>
      </c>
      <c r="X46">
        <v>231.684715821813</v>
      </c>
      <c r="Y46">
        <v>287.04301075268802</v>
      </c>
      <c r="Z46">
        <v>190</v>
      </c>
      <c r="AA46">
        <v>255</v>
      </c>
      <c r="AB46">
        <v>255</v>
      </c>
      <c r="AC46">
        <v>329</v>
      </c>
      <c r="AD46">
        <v>365.77643504531699</v>
      </c>
      <c r="AE46">
        <v>326.01812688821798</v>
      </c>
    </row>
    <row r="47" spans="1:31" x14ac:dyDescent="0.3">
      <c r="A47" t="s">
        <v>296</v>
      </c>
      <c r="B47" t="s">
        <v>212</v>
      </c>
      <c r="C47" t="s">
        <v>0</v>
      </c>
      <c r="D47" t="s">
        <v>213</v>
      </c>
      <c r="E47" t="s">
        <v>123</v>
      </c>
      <c r="F47">
        <v>655.54855764153399</v>
      </c>
      <c r="G47">
        <v>752.40438057235497</v>
      </c>
      <c r="H47">
        <v>800.28465933605003</v>
      </c>
      <c r="I47">
        <v>955.92622756554397</v>
      </c>
      <c r="J47">
        <v>821.07429102615004</v>
      </c>
      <c r="K47">
        <v>761.65444101767901</v>
      </c>
      <c r="L47">
        <v>577.33194764205098</v>
      </c>
      <c r="M47">
        <v>673.36995805287097</v>
      </c>
      <c r="N47">
        <v>771.56974360224694</v>
      </c>
      <c r="O47">
        <v>820.24922269387196</v>
      </c>
      <c r="P47">
        <v>923.07930017444505</v>
      </c>
      <c r="Q47">
        <v>645.67723069196904</v>
      </c>
      <c r="R47">
        <v>679.28125013318697</v>
      </c>
      <c r="S47">
        <v>853.69130084305903</v>
      </c>
      <c r="T47">
        <v>714.82418257258803</v>
      </c>
      <c r="U47">
        <v>599.27415622963395</v>
      </c>
      <c r="V47">
        <v>668.11732671929099</v>
      </c>
      <c r="W47">
        <v>889.72602950631403</v>
      </c>
      <c r="X47">
        <v>865.97120833017402</v>
      </c>
      <c r="Y47">
        <v>774.25504587156001</v>
      </c>
      <c r="Z47">
        <v>571</v>
      </c>
      <c r="AA47">
        <v>628</v>
      </c>
      <c r="AB47">
        <v>797.72972972973002</v>
      </c>
      <c r="AC47">
        <v>921.53259141494402</v>
      </c>
      <c r="AD47">
        <v>999.40858505564404</v>
      </c>
      <c r="AE47">
        <v>1237.6912230689099</v>
      </c>
    </row>
    <row r="48" spans="1:31" x14ac:dyDescent="0.3">
      <c r="A48" t="s">
        <v>296</v>
      </c>
      <c r="B48" t="s">
        <v>214</v>
      </c>
      <c r="C48" t="s">
        <v>0</v>
      </c>
      <c r="D48" t="s">
        <v>215</v>
      </c>
      <c r="E48" t="s">
        <v>123</v>
      </c>
      <c r="F48">
        <v>883.110592025958</v>
      </c>
      <c r="G48">
        <v>1011.64960002974</v>
      </c>
      <c r="H48">
        <v>1098.2634356487199</v>
      </c>
      <c r="I48">
        <v>1249.70936395575</v>
      </c>
      <c r="J48">
        <v>1117.75247459396</v>
      </c>
      <c r="K48">
        <v>1110.0286174151299</v>
      </c>
      <c r="L48">
        <v>955.948398770994</v>
      </c>
      <c r="M48">
        <v>1105.0718975315399</v>
      </c>
      <c r="N48">
        <v>1167.42705162423</v>
      </c>
      <c r="O48">
        <v>1180.46430803831</v>
      </c>
      <c r="P48">
        <v>1287.0340025139899</v>
      </c>
      <c r="Q48">
        <v>1049.94879152457</v>
      </c>
      <c r="R48">
        <v>1100.2247358848799</v>
      </c>
      <c r="S48">
        <v>1230.1280671238601</v>
      </c>
      <c r="T48">
        <v>1111.0115936557499</v>
      </c>
      <c r="U48">
        <v>979.45897709353005</v>
      </c>
      <c r="V48">
        <v>1109.46590543665</v>
      </c>
      <c r="W48">
        <v>1358.6392743246499</v>
      </c>
      <c r="X48">
        <v>1313.0331160139899</v>
      </c>
      <c r="Y48">
        <v>1203.1777557100299</v>
      </c>
      <c r="Z48">
        <v>1040</v>
      </c>
      <c r="AA48">
        <v>1101</v>
      </c>
      <c r="AB48">
        <v>1287.33848953594</v>
      </c>
      <c r="AC48">
        <v>1418.5768880800699</v>
      </c>
      <c r="AD48">
        <v>1553.6318104290201</v>
      </c>
      <c r="AE48">
        <v>1801.65732294962</v>
      </c>
    </row>
    <row r="49" spans="1:31" x14ac:dyDescent="0.3">
      <c r="A49" t="s">
        <v>296</v>
      </c>
      <c r="B49" t="s">
        <v>216</v>
      </c>
      <c r="C49" t="s">
        <v>0</v>
      </c>
      <c r="D49" t="s">
        <v>217</v>
      </c>
      <c r="E49" t="s">
        <v>123</v>
      </c>
      <c r="F49">
        <v>154.19071170306799</v>
      </c>
      <c r="G49">
        <v>151.78148183270699</v>
      </c>
      <c r="H49">
        <v>171.939959888614</v>
      </c>
      <c r="I49">
        <v>167.29293394567799</v>
      </c>
      <c r="J49">
        <v>171.939959888614</v>
      </c>
      <c r="K49">
        <v>190.528063660356</v>
      </c>
      <c r="L49">
        <v>213.48325205316999</v>
      </c>
      <c r="M49">
        <v>238.733959285265</v>
      </c>
      <c r="N49">
        <v>220.28109286708099</v>
      </c>
      <c r="O49">
        <v>201.828226448896</v>
      </c>
      <c r="P49">
        <v>169.53571021707199</v>
      </c>
      <c r="Q49">
        <v>158.157474632034</v>
      </c>
      <c r="R49">
        <v>154.74400395652299</v>
      </c>
      <c r="S49">
        <v>138.04501072380401</v>
      </c>
      <c r="T49">
        <v>167.39316260996699</v>
      </c>
      <c r="U49">
        <v>137.34823598766599</v>
      </c>
      <c r="V49">
        <v>180.26955973381101</v>
      </c>
      <c r="W49">
        <v>168.673272265554</v>
      </c>
      <c r="X49">
        <v>155.05369127516801</v>
      </c>
      <c r="Y49">
        <v>153</v>
      </c>
      <c r="Z49">
        <v>153</v>
      </c>
      <c r="AA49">
        <v>165</v>
      </c>
      <c r="AB49">
        <v>182.10365853658499</v>
      </c>
      <c r="AC49">
        <v>159.96951219512201</v>
      </c>
      <c r="AD49">
        <v>207.256097560976</v>
      </c>
      <c r="AE49">
        <v>198.157049375372</v>
      </c>
    </row>
    <row r="50" spans="1:31" x14ac:dyDescent="0.3">
      <c r="A50" t="s">
        <v>296</v>
      </c>
      <c r="B50" t="s">
        <v>218</v>
      </c>
      <c r="C50" t="s">
        <v>0</v>
      </c>
      <c r="D50" t="s">
        <v>219</v>
      </c>
      <c r="E50" t="s">
        <v>123</v>
      </c>
      <c r="F50">
        <v>69.5419028244564</v>
      </c>
      <c r="G50">
        <v>102.544839758097</v>
      </c>
      <c r="H50">
        <v>121.189356077751</v>
      </c>
      <c r="I50">
        <v>118.90276445364201</v>
      </c>
      <c r="J50">
        <v>120.046060265696</v>
      </c>
      <c r="K50">
        <v>156.63152625143201</v>
      </c>
      <c r="L50">
        <v>170.25165896894799</v>
      </c>
      <c r="M50">
        <v>198.62693546377301</v>
      </c>
      <c r="N50">
        <v>182.645457897722</v>
      </c>
      <c r="O50">
        <v>167.80551444353199</v>
      </c>
      <c r="P50">
        <v>205.47614013493799</v>
      </c>
      <c r="Q50">
        <v>249.75000458390201</v>
      </c>
      <c r="R50">
        <v>270.09163391652697</v>
      </c>
      <c r="S50">
        <v>245.63889339733601</v>
      </c>
      <c r="T50">
        <v>232.71053058695</v>
      </c>
      <c r="U50">
        <v>244.452805066108</v>
      </c>
      <c r="V50">
        <v>262.52105587534197</v>
      </c>
      <c r="W50">
        <v>305.06399378399402</v>
      </c>
      <c r="X50">
        <v>296.81902097902099</v>
      </c>
      <c r="Y50">
        <v>279.538461538462</v>
      </c>
      <c r="Z50">
        <v>316</v>
      </c>
      <c r="AA50">
        <v>308</v>
      </c>
      <c r="AB50">
        <v>306.993464052288</v>
      </c>
      <c r="AC50">
        <v>336.18300653594798</v>
      </c>
      <c r="AD50">
        <v>346.18845315904099</v>
      </c>
      <c r="AE50">
        <v>363.19771241830102</v>
      </c>
    </row>
    <row r="51" spans="1:31" x14ac:dyDescent="0.3">
      <c r="A51" t="s">
        <v>296</v>
      </c>
      <c r="B51" t="s">
        <v>220</v>
      </c>
      <c r="C51" t="s">
        <v>0</v>
      </c>
      <c r="D51" t="s">
        <v>221</v>
      </c>
      <c r="E51" t="s">
        <v>123</v>
      </c>
      <c r="F51">
        <v>56.578161830021998</v>
      </c>
      <c r="G51">
        <v>85.469138083650193</v>
      </c>
      <c r="H51">
        <v>105.64935124229</v>
      </c>
      <c r="I51">
        <v>105.64935124229</v>
      </c>
      <c r="J51">
        <v>106.810333124073</v>
      </c>
      <c r="K51">
        <v>138.156843932225</v>
      </c>
      <c r="L51">
        <v>143.91337909606801</v>
      </c>
      <c r="M51">
        <v>173.84736194805001</v>
      </c>
      <c r="N51">
        <v>159.939572992206</v>
      </c>
      <c r="O51">
        <v>143.71381921038801</v>
      </c>
      <c r="P51">
        <v>180.80125642597201</v>
      </c>
      <c r="Q51">
        <v>215.34926720800499</v>
      </c>
      <c r="R51">
        <v>232.531389591622</v>
      </c>
      <c r="S51">
        <v>208.941248618559</v>
      </c>
      <c r="T51">
        <v>192.617713570234</v>
      </c>
      <c r="U51">
        <v>206.60670952784901</v>
      </c>
      <c r="V51">
        <v>222.66422581239701</v>
      </c>
      <c r="W51">
        <v>259.25224413837799</v>
      </c>
      <c r="X51">
        <v>249.919163349396</v>
      </c>
      <c r="Y51">
        <v>226.457364341085</v>
      </c>
      <c r="Z51">
        <v>262</v>
      </c>
      <c r="AA51">
        <v>245</v>
      </c>
      <c r="AB51">
        <v>267.18106995884801</v>
      </c>
      <c r="AC51">
        <v>281.29629629629602</v>
      </c>
      <c r="AD51">
        <v>274.28891524976899</v>
      </c>
      <c r="AE51">
        <v>301.31738500065899</v>
      </c>
    </row>
    <row r="52" spans="1:31" x14ac:dyDescent="0.3">
      <c r="A52" t="s">
        <v>296</v>
      </c>
      <c r="B52" t="s">
        <v>222</v>
      </c>
      <c r="C52" t="s">
        <v>0</v>
      </c>
      <c r="D52" t="s">
        <v>223</v>
      </c>
      <c r="E52" t="s">
        <v>123</v>
      </c>
      <c r="F52">
        <v>12.6593406593407</v>
      </c>
      <c r="G52">
        <v>16.879120879120901</v>
      </c>
      <c r="H52">
        <v>15.8241758241758</v>
      </c>
      <c r="I52">
        <v>13.714285714285699</v>
      </c>
      <c r="J52">
        <v>13.714285714285699</v>
      </c>
      <c r="K52">
        <v>18.989010989011</v>
      </c>
      <c r="L52">
        <v>26.373626373626401</v>
      </c>
      <c r="M52">
        <v>25.3186813186813</v>
      </c>
      <c r="N52">
        <v>23.208791208791201</v>
      </c>
      <c r="O52">
        <v>24.263736263736298</v>
      </c>
      <c r="P52">
        <v>25.3186813186813</v>
      </c>
      <c r="Q52">
        <v>34.813186813186803</v>
      </c>
      <c r="R52">
        <v>37.978021978021999</v>
      </c>
      <c r="S52">
        <v>36.923076923076898</v>
      </c>
      <c r="T52">
        <v>40</v>
      </c>
      <c r="U52">
        <v>37.948717948717999</v>
      </c>
      <c r="V52">
        <v>40</v>
      </c>
      <c r="W52">
        <v>46</v>
      </c>
      <c r="X52">
        <v>47</v>
      </c>
      <c r="Y52">
        <v>53</v>
      </c>
      <c r="Z52">
        <v>54</v>
      </c>
      <c r="AA52">
        <v>63</v>
      </c>
      <c r="AB52">
        <v>40</v>
      </c>
      <c r="AC52">
        <v>55</v>
      </c>
      <c r="AD52">
        <v>72</v>
      </c>
      <c r="AE52">
        <v>62</v>
      </c>
    </row>
    <row r="53" spans="1:31" x14ac:dyDescent="0.3">
      <c r="A53" t="s">
        <v>296</v>
      </c>
      <c r="B53" t="s">
        <v>224</v>
      </c>
      <c r="C53" t="s">
        <v>0</v>
      </c>
      <c r="D53" t="s">
        <v>225</v>
      </c>
      <c r="E53" t="s">
        <v>123</v>
      </c>
      <c r="F53">
        <v>22.579931972789101</v>
      </c>
      <c r="G53">
        <v>47.2125850340136</v>
      </c>
      <c r="H53">
        <v>71.845238095238102</v>
      </c>
      <c r="I53">
        <v>57.678571428571402</v>
      </c>
      <c r="J53">
        <v>-12.1428571428571</v>
      </c>
      <c r="K53">
        <v>57.678571428571402</v>
      </c>
      <c r="L53">
        <v>58.690476190476197</v>
      </c>
      <c r="M53">
        <v>50.595238095238102</v>
      </c>
      <c r="N53">
        <v>53.630952380952401</v>
      </c>
      <c r="O53">
        <v>54.642857142857103</v>
      </c>
      <c r="P53">
        <v>54.642857142857103</v>
      </c>
      <c r="Q53">
        <v>59.702380952380899</v>
      </c>
      <c r="R53">
        <v>63.75</v>
      </c>
      <c r="S53">
        <v>57.678571428571402</v>
      </c>
      <c r="T53">
        <v>59.702380952380999</v>
      </c>
      <c r="U53">
        <v>51.607142857142897</v>
      </c>
      <c r="V53">
        <v>66.785714285714306</v>
      </c>
      <c r="W53">
        <v>80.952380952381006</v>
      </c>
      <c r="X53">
        <v>79.940476190476204</v>
      </c>
      <c r="Y53">
        <v>85</v>
      </c>
      <c r="Z53">
        <v>85</v>
      </c>
      <c r="AA53">
        <v>119</v>
      </c>
      <c r="AB53">
        <v>114.041666666667</v>
      </c>
      <c r="AC53">
        <v>134.86666666666699</v>
      </c>
      <c r="AD53">
        <v>133.875</v>
      </c>
      <c r="AE53">
        <v>125.941666666667</v>
      </c>
    </row>
    <row r="54" spans="1:31" x14ac:dyDescent="0.3">
      <c r="A54" t="s">
        <v>296</v>
      </c>
      <c r="B54" t="s">
        <v>226</v>
      </c>
      <c r="C54" t="s">
        <v>0</v>
      </c>
      <c r="D54" t="s">
        <v>227</v>
      </c>
      <c r="E54" t="s">
        <v>123</v>
      </c>
      <c r="F54">
        <v>61.5119584211849</v>
      </c>
      <c r="G54">
        <v>92.789225415007706</v>
      </c>
      <c r="H54">
        <v>130.321945807595</v>
      </c>
      <c r="I54">
        <v>114.807428449548</v>
      </c>
      <c r="J54">
        <v>41.372046288125397</v>
      </c>
      <c r="K54">
        <v>114.807428449548</v>
      </c>
      <c r="L54">
        <v>116.87603076395401</v>
      </c>
      <c r="M54">
        <v>107.56732034912601</v>
      </c>
      <c r="N54">
        <v>124.116138864376</v>
      </c>
      <c r="O54">
        <v>111.704524977939</v>
      </c>
      <c r="P54">
        <v>113.77312729234499</v>
      </c>
      <c r="Q54">
        <v>122.04753654997</v>
      </c>
      <c r="R54">
        <v>142.733559694033</v>
      </c>
      <c r="S54">
        <v>143.76041983571599</v>
      </c>
      <c r="T54">
        <v>144.77281715850299</v>
      </c>
      <c r="U54">
        <v>121.48767873440799</v>
      </c>
      <c r="V54">
        <v>153.88439306358401</v>
      </c>
      <c r="W54">
        <v>145.83815028901699</v>
      </c>
      <c r="X54">
        <v>140.80924855491301</v>
      </c>
      <c r="Y54">
        <v>148.85549132948</v>
      </c>
      <c r="Z54">
        <v>174</v>
      </c>
      <c r="AA54">
        <v>204</v>
      </c>
      <c r="AB54">
        <v>199.02439024390199</v>
      </c>
      <c r="AC54">
        <v>215.941463414634</v>
      </c>
      <c r="AD54">
        <v>229.87317073170701</v>
      </c>
      <c r="AE54">
        <v>223.90243902438999</v>
      </c>
    </row>
    <row r="55" spans="1:31" x14ac:dyDescent="0.3">
      <c r="A55" t="s">
        <v>296</v>
      </c>
      <c r="B55" t="s">
        <v>228</v>
      </c>
      <c r="C55" t="s">
        <v>0</v>
      </c>
      <c r="D55" t="s">
        <v>229</v>
      </c>
      <c r="E55" t="s">
        <v>123</v>
      </c>
      <c r="F55">
        <v>38.843261417764097</v>
      </c>
      <c r="G55">
        <v>45.142168674698802</v>
      </c>
      <c r="H55">
        <v>57.739983188568203</v>
      </c>
      <c r="I55">
        <v>56.690165312412397</v>
      </c>
      <c r="J55">
        <v>54.590529560100897</v>
      </c>
      <c r="K55">
        <v>56.690165312412397</v>
      </c>
      <c r="L55">
        <v>57.739983188568203</v>
      </c>
      <c r="M55">
        <v>56.690165312412503</v>
      </c>
      <c r="N55">
        <v>70.337797702437697</v>
      </c>
      <c r="O55">
        <v>56.690165312412397</v>
      </c>
      <c r="P55">
        <v>58.789801064724003</v>
      </c>
      <c r="Q55">
        <v>61.939254693191401</v>
      </c>
      <c r="R55">
        <v>78.736340711683994</v>
      </c>
      <c r="S55">
        <v>85.988372093023301</v>
      </c>
      <c r="T55">
        <v>84.976744186046503</v>
      </c>
      <c r="U55">
        <v>69.802325581395394</v>
      </c>
      <c r="V55">
        <v>87</v>
      </c>
      <c r="W55">
        <v>65</v>
      </c>
      <c r="X55">
        <v>61</v>
      </c>
      <c r="Y55">
        <v>64</v>
      </c>
      <c r="Z55">
        <v>89</v>
      </c>
      <c r="AA55">
        <v>85</v>
      </c>
      <c r="AB55">
        <v>85</v>
      </c>
      <c r="AC55">
        <v>81</v>
      </c>
      <c r="AD55">
        <v>96</v>
      </c>
      <c r="AE55">
        <v>98</v>
      </c>
    </row>
    <row r="56" spans="1:31" x14ac:dyDescent="0.3">
      <c r="A56" t="s">
        <v>296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296</v>
      </c>
      <c r="B57" t="s">
        <v>232</v>
      </c>
      <c r="C57" t="s">
        <v>0</v>
      </c>
      <c r="D57" t="s">
        <v>233</v>
      </c>
      <c r="E57" t="s">
        <v>123</v>
      </c>
      <c r="F57">
        <v>5074.8385153951303</v>
      </c>
      <c r="G57">
        <v>6069.0633971991101</v>
      </c>
      <c r="H57">
        <v>6656.0156926790496</v>
      </c>
      <c r="I57">
        <v>6879.74731260103</v>
      </c>
      <c r="J57">
        <v>6286.8030032767801</v>
      </c>
      <c r="K57">
        <v>6763.99269918556</v>
      </c>
      <c r="L57">
        <v>7447.2128020780901</v>
      </c>
      <c r="M57">
        <v>7174.0149725007004</v>
      </c>
      <c r="N57">
        <v>6952.1739554737896</v>
      </c>
      <c r="O57">
        <v>6502.4094418047198</v>
      </c>
      <c r="P57">
        <v>6756.8163557647104</v>
      </c>
      <c r="Q57">
        <v>6151.2147540258302</v>
      </c>
      <c r="R57">
        <v>7328.8147506570103</v>
      </c>
      <c r="S57">
        <v>7667.6027584173598</v>
      </c>
      <c r="T57">
        <v>6612.5283734362201</v>
      </c>
      <c r="U57">
        <v>5402.4703470390596</v>
      </c>
      <c r="V57">
        <v>6274.4290610511698</v>
      </c>
      <c r="W57">
        <v>7091.73099529109</v>
      </c>
      <c r="X57">
        <v>6528.9611271435397</v>
      </c>
      <c r="Y57">
        <v>6745.46447427968</v>
      </c>
      <c r="Z57">
        <v>6771</v>
      </c>
      <c r="AA57">
        <v>7837</v>
      </c>
      <c r="AB57">
        <v>9012.8507290867201</v>
      </c>
      <c r="AC57">
        <v>8728.5179354416396</v>
      </c>
      <c r="AD57">
        <v>8624.5834397259005</v>
      </c>
      <c r="AE57">
        <v>9033.5499276000992</v>
      </c>
    </row>
    <row r="58" spans="1:31" x14ac:dyDescent="0.3">
      <c r="A58" t="s">
        <v>296</v>
      </c>
      <c r="B58" t="s">
        <v>234</v>
      </c>
      <c r="C58" t="s">
        <v>0</v>
      </c>
      <c r="D58" t="s">
        <v>235</v>
      </c>
      <c r="E58" t="s">
        <v>123</v>
      </c>
      <c r="F58">
        <v>5074.8385153951303</v>
      </c>
      <c r="G58">
        <v>6069.0633971991101</v>
      </c>
      <c r="H58">
        <v>6656.0156926790496</v>
      </c>
      <c r="I58">
        <v>6879.74731260103</v>
      </c>
      <c r="J58">
        <v>6286.8030032767801</v>
      </c>
      <c r="K58">
        <v>6763.99269918556</v>
      </c>
      <c r="L58">
        <v>7447.2128020780901</v>
      </c>
      <c r="M58">
        <v>7174.0149725007004</v>
      </c>
      <c r="N58">
        <v>6952.1739554737896</v>
      </c>
      <c r="O58">
        <v>6502.4094418047198</v>
      </c>
      <c r="P58">
        <v>6756.8163557647104</v>
      </c>
      <c r="Q58">
        <v>6151.2147540258302</v>
      </c>
      <c r="R58">
        <v>7328.8147506570103</v>
      </c>
      <c r="S58">
        <v>7667.6027584173598</v>
      </c>
      <c r="T58">
        <v>6612.5283734362201</v>
      </c>
      <c r="U58">
        <v>5402.4703470390596</v>
      </c>
      <c r="V58">
        <v>6274.4290610511698</v>
      </c>
      <c r="W58">
        <v>7091.73099529109</v>
      </c>
      <c r="X58">
        <v>6528.9611271435397</v>
      </c>
      <c r="Y58">
        <v>6745.46447427968</v>
      </c>
      <c r="Z58">
        <v>6771</v>
      </c>
      <c r="AA58">
        <v>7837</v>
      </c>
      <c r="AB58">
        <v>9012.8507290867201</v>
      </c>
      <c r="AC58">
        <v>8728.5179354416396</v>
      </c>
      <c r="AD58">
        <v>8624.5834397259005</v>
      </c>
      <c r="AE58">
        <v>9033.5499276000992</v>
      </c>
    </row>
    <row r="59" spans="1:31" x14ac:dyDescent="0.3">
      <c r="A59" t="s">
        <v>296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297</v>
      </c>
      <c r="B2" t="s">
        <v>121</v>
      </c>
      <c r="C2" t="s">
        <v>0</v>
      </c>
      <c r="D2" t="s">
        <v>122</v>
      </c>
      <c r="E2" t="s">
        <v>123</v>
      </c>
      <c r="F2">
        <v>604.50446401637805</v>
      </c>
      <c r="G2">
        <v>713.99379295812003</v>
      </c>
      <c r="H2">
        <v>895.59656203659802</v>
      </c>
      <c r="I2">
        <v>997.09750573407996</v>
      </c>
      <c r="J2">
        <v>1007.42247990588</v>
      </c>
      <c r="K2">
        <v>968.11553343556602</v>
      </c>
      <c r="L2">
        <v>1033.86904509954</v>
      </c>
      <c r="M2">
        <v>1011.95923752127</v>
      </c>
      <c r="N2">
        <v>951.40316612704896</v>
      </c>
      <c r="O2">
        <v>854.80729529634698</v>
      </c>
      <c r="P2">
        <v>959.39852024952495</v>
      </c>
      <c r="Q2">
        <v>971.89068848194097</v>
      </c>
      <c r="R2">
        <v>1052.98095451479</v>
      </c>
      <c r="S2">
        <v>1006.91303775477</v>
      </c>
      <c r="T2">
        <v>961.682719481292</v>
      </c>
      <c r="U2">
        <v>920.87137447610098</v>
      </c>
      <c r="V2">
        <v>920.87137447610098</v>
      </c>
      <c r="W2">
        <v>907.23660469456399</v>
      </c>
      <c r="X2">
        <v>959.48057307121701</v>
      </c>
      <c r="Y2">
        <v>949.58902077151299</v>
      </c>
      <c r="Z2">
        <v>673</v>
      </c>
      <c r="AA2">
        <v>787</v>
      </c>
      <c r="AB2">
        <v>832.42283563362605</v>
      </c>
      <c r="AC2">
        <v>785.63560365421904</v>
      </c>
      <c r="AD2">
        <v>831.47198659787205</v>
      </c>
      <c r="AE2">
        <v>859.95924952199596</v>
      </c>
    </row>
    <row r="3" spans="1:31" x14ac:dyDescent="0.3">
      <c r="A3" t="s">
        <v>297</v>
      </c>
      <c r="B3" t="s">
        <v>124</v>
      </c>
      <c r="C3" t="s">
        <v>0</v>
      </c>
      <c r="D3" t="s">
        <v>125</v>
      </c>
      <c r="E3" t="s">
        <v>123</v>
      </c>
      <c r="F3">
        <v>14.703457729723899</v>
      </c>
      <c r="G3">
        <v>16.0401357051534</v>
      </c>
      <c r="H3">
        <v>14.703457729723899</v>
      </c>
      <c r="I3">
        <v>16.0401357051533</v>
      </c>
      <c r="J3">
        <v>33.416949385736103</v>
      </c>
      <c r="K3">
        <v>60.150508894325</v>
      </c>
      <c r="L3">
        <v>44.792932155348403</v>
      </c>
      <c r="M3">
        <v>26.8757592932091</v>
      </c>
      <c r="N3">
        <v>47.352528278511201</v>
      </c>
      <c r="O3">
        <v>26.8757592932091</v>
      </c>
      <c r="P3">
        <v>37.114143785860101</v>
      </c>
      <c r="Q3">
        <v>44.536972543032199</v>
      </c>
      <c r="R3">
        <v>264.81443133694802</v>
      </c>
      <c r="S3">
        <v>293.22799693104099</v>
      </c>
      <c r="T3">
        <v>146.076950852094</v>
      </c>
      <c r="U3">
        <v>139.58464192533401</v>
      </c>
      <c r="V3">
        <v>208.26914826954601</v>
      </c>
      <c r="W3">
        <v>151.18014316012699</v>
      </c>
      <c r="X3">
        <v>82.097826086956502</v>
      </c>
      <c r="Y3">
        <v>91.989130434782595</v>
      </c>
      <c r="Z3">
        <v>182</v>
      </c>
      <c r="AA3">
        <v>99</v>
      </c>
      <c r="AB3">
        <v>128</v>
      </c>
      <c r="AC3">
        <v>143.51515151515099</v>
      </c>
      <c r="AD3">
        <v>158.523271935037</v>
      </c>
      <c r="AE3">
        <v>146.679579204258</v>
      </c>
    </row>
    <row r="4" spans="1:31" x14ac:dyDescent="0.3">
      <c r="A4" t="s">
        <v>297</v>
      </c>
      <c r="B4" t="s">
        <v>126</v>
      </c>
      <c r="C4" t="s">
        <v>0</v>
      </c>
      <c r="D4" t="s">
        <v>127</v>
      </c>
      <c r="E4" t="s">
        <v>123</v>
      </c>
      <c r="F4">
        <v>1060.2730397508601</v>
      </c>
      <c r="G4">
        <v>890.57325428808804</v>
      </c>
      <c r="H4">
        <v>914.52854752052099</v>
      </c>
      <c r="I4">
        <v>893.29336452855796</v>
      </c>
      <c r="J4">
        <v>812.58232546701902</v>
      </c>
      <c r="K4">
        <v>791.64622690426199</v>
      </c>
      <c r="L4">
        <v>789.07594694678096</v>
      </c>
      <c r="M4">
        <v>915.328098458265</v>
      </c>
      <c r="N4">
        <v>687.41018312977599</v>
      </c>
      <c r="O4">
        <v>593.394936058741</v>
      </c>
      <c r="P4">
        <v>635.60799045316298</v>
      </c>
      <c r="Q4">
        <v>746.95537564203903</v>
      </c>
      <c r="R4">
        <v>799.66844269185196</v>
      </c>
      <c r="S4">
        <v>694.31028159938205</v>
      </c>
      <c r="T4">
        <v>575.74499472712796</v>
      </c>
      <c r="U4">
        <v>426.47777387194702</v>
      </c>
      <c r="V4">
        <v>490.93285304654802</v>
      </c>
      <c r="W4">
        <v>404.86020997994598</v>
      </c>
      <c r="X4">
        <v>396.76300578034699</v>
      </c>
      <c r="Y4">
        <v>520</v>
      </c>
      <c r="Z4">
        <v>595</v>
      </c>
      <c r="AA4">
        <v>768</v>
      </c>
      <c r="AB4">
        <v>764.06153846153802</v>
      </c>
      <c r="AC4">
        <v>777.601869522882</v>
      </c>
      <c r="AD4">
        <v>670.41128533230403</v>
      </c>
      <c r="AE4">
        <v>686.67463187675298</v>
      </c>
    </row>
    <row r="5" spans="1:31" x14ac:dyDescent="0.3">
      <c r="A5" t="s">
        <v>297</v>
      </c>
      <c r="B5" t="s">
        <v>128</v>
      </c>
      <c r="C5" t="s">
        <v>0</v>
      </c>
      <c r="D5" t="s">
        <v>129</v>
      </c>
      <c r="E5" t="s">
        <v>123</v>
      </c>
      <c r="F5">
        <v>102.846913521468</v>
      </c>
      <c r="G5">
        <v>133.42302294677</v>
      </c>
      <c r="H5">
        <v>120.91461454551001</v>
      </c>
      <c r="I5">
        <v>87.558858808817604</v>
      </c>
      <c r="J5">
        <v>79.476502611080605</v>
      </c>
      <c r="K5">
        <v>114.087237619132</v>
      </c>
      <c r="L5">
        <v>136.90468514295799</v>
      </c>
      <c r="M5">
        <v>160.71419560260301</v>
      </c>
      <c r="N5">
        <v>95.948773494091398</v>
      </c>
      <c r="O5">
        <v>69.562860783216195</v>
      </c>
      <c r="P5">
        <v>135.52764256040399</v>
      </c>
      <c r="Q5">
        <v>116.99394785128899</v>
      </c>
      <c r="R5">
        <v>135.167764993237</v>
      </c>
      <c r="S5">
        <v>109.624250348846</v>
      </c>
      <c r="T5">
        <v>58.948889338530201</v>
      </c>
      <c r="U5">
        <v>57.9146982975033</v>
      </c>
      <c r="V5">
        <v>96.160253776986593</v>
      </c>
      <c r="W5">
        <v>143.171933401291</v>
      </c>
      <c r="X5">
        <v>110.679012345679</v>
      </c>
      <c r="Y5">
        <v>163</v>
      </c>
      <c r="Z5">
        <v>123</v>
      </c>
      <c r="AA5">
        <v>222</v>
      </c>
      <c r="AB5">
        <v>93.318584070796504</v>
      </c>
      <c r="AC5">
        <v>86.584253261563703</v>
      </c>
      <c r="AD5">
        <v>106.13553625611</v>
      </c>
      <c r="AE5">
        <v>130.01603191373499</v>
      </c>
    </row>
    <row r="6" spans="1:31" x14ac:dyDescent="0.3">
      <c r="A6" t="s">
        <v>297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>
        <v>0</v>
      </c>
      <c r="P6">
        <v>2</v>
      </c>
      <c r="Q6">
        <v>8</v>
      </c>
      <c r="R6">
        <v>2</v>
      </c>
      <c r="S6">
        <v>4</v>
      </c>
      <c r="T6">
        <v>-7</v>
      </c>
      <c r="U6">
        <v>-2</v>
      </c>
      <c r="V6">
        <v>3</v>
      </c>
      <c r="W6">
        <v>14</v>
      </c>
      <c r="X6">
        <v>1</v>
      </c>
      <c r="Y6">
        <v>5</v>
      </c>
      <c r="Z6">
        <v>6</v>
      </c>
      <c r="AA6">
        <v>0</v>
      </c>
      <c r="AB6" t="e">
        <v>#NUM!</v>
      </c>
      <c r="AC6" t="e">
        <v>#NUM!</v>
      </c>
      <c r="AD6" t="e">
        <v>#NUM!</v>
      </c>
      <c r="AE6" t="e">
        <v>#NUM!</v>
      </c>
    </row>
    <row r="7" spans="1:31" x14ac:dyDescent="0.3">
      <c r="A7" t="s">
        <v>297</v>
      </c>
      <c r="B7" t="s">
        <v>132</v>
      </c>
      <c r="C7" t="s">
        <v>0</v>
      </c>
      <c r="D7" t="s">
        <v>133</v>
      </c>
      <c r="E7" t="s">
        <v>123</v>
      </c>
      <c r="F7">
        <v>409.13388778947501</v>
      </c>
      <c r="G7">
        <v>270.77224573703398</v>
      </c>
      <c r="H7">
        <v>270.77224573703398</v>
      </c>
      <c r="I7">
        <v>214.80256365731199</v>
      </c>
      <c r="J7">
        <v>201.74024559706999</v>
      </c>
      <c r="K7">
        <v>256.63555052144301</v>
      </c>
      <c r="L7">
        <v>219.20953273706601</v>
      </c>
      <c r="M7">
        <v>180.15496081264601</v>
      </c>
      <c r="N7">
        <v>122.20301537640999</v>
      </c>
      <c r="O7">
        <v>156.21828769767899</v>
      </c>
      <c r="P7">
        <v>171.096219859363</v>
      </c>
      <c r="Q7">
        <v>129.51033308799001</v>
      </c>
      <c r="R7">
        <v>207.445754769258</v>
      </c>
      <c r="S7">
        <v>126.178345684394</v>
      </c>
      <c r="T7">
        <v>32.301656495204902</v>
      </c>
      <c r="U7">
        <v>20.188535309503099</v>
      </c>
      <c r="V7">
        <v>56.315387968613798</v>
      </c>
      <c r="W7">
        <v>65.8783783783784</v>
      </c>
      <c r="X7">
        <v>75</v>
      </c>
      <c r="Y7">
        <v>43</v>
      </c>
      <c r="Z7">
        <v>71</v>
      </c>
      <c r="AA7">
        <v>230</v>
      </c>
      <c r="AB7">
        <v>152.68085106383</v>
      </c>
      <c r="AC7">
        <v>182.26276595744699</v>
      </c>
      <c r="AD7">
        <v>137.15733397807901</v>
      </c>
      <c r="AE7">
        <v>115.920069362118</v>
      </c>
    </row>
    <row r="8" spans="1:31" x14ac:dyDescent="0.3">
      <c r="A8" t="s">
        <v>297</v>
      </c>
      <c r="B8" t="s">
        <v>134</v>
      </c>
      <c r="C8" t="s">
        <v>0</v>
      </c>
      <c r="D8" t="s">
        <v>135</v>
      </c>
      <c r="E8" t="s">
        <v>123</v>
      </c>
      <c r="F8">
        <v>12.7094790434491</v>
      </c>
      <c r="G8">
        <v>17.475533684742501</v>
      </c>
      <c r="H8">
        <v>31.773697608622701</v>
      </c>
      <c r="I8">
        <v>22.241588326035899</v>
      </c>
      <c r="J8">
        <v>58.781340575952001</v>
      </c>
      <c r="K8">
        <v>36.173132662124303</v>
      </c>
      <c r="L8">
        <v>20.256954290789601</v>
      </c>
      <c r="M8">
        <v>32.411126865263398</v>
      </c>
      <c r="N8">
        <v>48.616690297895097</v>
      </c>
      <c r="O8">
        <v>48.616690297895097</v>
      </c>
      <c r="P8">
        <v>85.407699171977796</v>
      </c>
      <c r="Q8">
        <v>71.591747835334303</v>
      </c>
      <c r="R8">
        <v>191.302539297697</v>
      </c>
      <c r="S8">
        <v>58.270313694126003</v>
      </c>
      <c r="T8">
        <v>141.075496312095</v>
      </c>
      <c r="U8">
        <v>57.0525904203324</v>
      </c>
      <c r="V8">
        <v>34.012121212121201</v>
      </c>
      <c r="W8">
        <v>46.766666666666701</v>
      </c>
      <c r="X8">
        <v>61</v>
      </c>
      <c r="Y8">
        <v>57</v>
      </c>
      <c r="Z8">
        <v>79</v>
      </c>
      <c r="AA8">
        <v>-7</v>
      </c>
      <c r="AB8">
        <v>54</v>
      </c>
      <c r="AC8">
        <v>47.127272727272697</v>
      </c>
      <c r="AD8">
        <v>40.529454545454499</v>
      </c>
      <c r="AE8">
        <v>12.609163636363601</v>
      </c>
    </row>
    <row r="9" spans="1:31" x14ac:dyDescent="0.3">
      <c r="A9" t="s">
        <v>297</v>
      </c>
      <c r="B9" t="s">
        <v>136</v>
      </c>
      <c r="C9" t="s">
        <v>0</v>
      </c>
      <c r="D9" t="s">
        <v>137</v>
      </c>
      <c r="E9" t="s">
        <v>123</v>
      </c>
      <c r="F9">
        <v>118.998294111493</v>
      </c>
      <c r="G9">
        <v>48.746289154105597</v>
      </c>
      <c r="H9">
        <v>70.252004957387499</v>
      </c>
      <c r="I9">
        <v>78.854291278700302</v>
      </c>
      <c r="J9">
        <v>55.336344756982697</v>
      </c>
      <c r="K9">
        <v>38.208428522678503</v>
      </c>
      <c r="L9">
        <v>52.218185647660597</v>
      </c>
      <c r="M9">
        <v>83.791972318339106</v>
      </c>
      <c r="N9">
        <v>44.9319271851964</v>
      </c>
      <c r="O9">
        <v>68.005078982999905</v>
      </c>
      <c r="P9">
        <v>9.5445724888420909</v>
      </c>
      <c r="Q9">
        <v>59.653578055263097</v>
      </c>
      <c r="R9">
        <v>21.796499674038401</v>
      </c>
      <c r="S9">
        <v>55.581074168797997</v>
      </c>
      <c r="T9">
        <v>138.952685421995</v>
      </c>
      <c r="U9">
        <v>48.058823529411796</v>
      </c>
      <c r="V9">
        <v>32.411764705882398</v>
      </c>
      <c r="W9">
        <v>39.117647058823501</v>
      </c>
      <c r="X9">
        <v>35</v>
      </c>
      <c r="Y9">
        <v>41</v>
      </c>
      <c r="Z9">
        <v>69</v>
      </c>
      <c r="AA9">
        <v>75</v>
      </c>
      <c r="AB9">
        <v>171.710526315789</v>
      </c>
      <c r="AC9">
        <v>87.784594914251898</v>
      </c>
      <c r="AD9">
        <v>74.710293544044205</v>
      </c>
      <c r="AE9">
        <v>51.021663883737503</v>
      </c>
    </row>
    <row r="10" spans="1:31" x14ac:dyDescent="0.3">
      <c r="A10" t="s">
        <v>297</v>
      </c>
      <c r="B10" t="s">
        <v>138</v>
      </c>
      <c r="C10" t="s">
        <v>0</v>
      </c>
      <c r="D10" t="s">
        <v>139</v>
      </c>
      <c r="E10" t="s">
        <v>123</v>
      </c>
      <c r="F10">
        <v>120.58998988392899</v>
      </c>
      <c r="G10">
        <v>50.702609383015698</v>
      </c>
      <c r="H10">
        <v>72.628062089184695</v>
      </c>
      <c r="I10">
        <v>83.590788442269101</v>
      </c>
      <c r="J10">
        <v>63.688219765538399</v>
      </c>
      <c r="K10">
        <v>48.403047021809201</v>
      </c>
      <c r="L10">
        <v>54.608565870759101</v>
      </c>
      <c r="M10">
        <v>102.094275323593</v>
      </c>
      <c r="N10">
        <v>55.795708607079902</v>
      </c>
      <c r="O10">
        <v>79.538563333496896</v>
      </c>
      <c r="P10">
        <v>9.3574780392349304</v>
      </c>
      <c r="Q10">
        <v>70.181085294262004</v>
      </c>
      <c r="R10">
        <v>26.034918738194001</v>
      </c>
      <c r="S10">
        <v>61.832932003210601</v>
      </c>
      <c r="T10">
        <v>148.39903680770601</v>
      </c>
      <c r="U10">
        <v>54.343309253526002</v>
      </c>
      <c r="V10">
        <v>37.7076023391813</v>
      </c>
      <c r="W10">
        <v>63.2156862745098</v>
      </c>
      <c r="X10">
        <v>104</v>
      </c>
      <c r="Y10">
        <v>62</v>
      </c>
      <c r="Z10">
        <v>85</v>
      </c>
      <c r="AA10">
        <v>86</v>
      </c>
      <c r="AB10">
        <v>189.79310344827601</v>
      </c>
      <c r="AC10">
        <v>108.453201970443</v>
      </c>
      <c r="AD10">
        <v>93.494139629692498</v>
      </c>
      <c r="AE10">
        <v>77.155357946833604</v>
      </c>
    </row>
    <row r="11" spans="1:31" x14ac:dyDescent="0.3">
      <c r="A11" t="s">
        <v>297</v>
      </c>
      <c r="B11" t="s">
        <v>140</v>
      </c>
      <c r="C11" t="s">
        <v>0</v>
      </c>
      <c r="D11" t="s">
        <v>141</v>
      </c>
      <c r="E11" t="s">
        <v>123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>
        <v>0</v>
      </c>
      <c r="Q11">
        <v>11.0695187165775</v>
      </c>
      <c r="R11">
        <v>4.4278074866310204</v>
      </c>
      <c r="S11">
        <v>6.6417112299465204</v>
      </c>
      <c r="T11">
        <v>9.9625668449197793</v>
      </c>
      <c r="U11">
        <v>6.6417112299465204</v>
      </c>
      <c r="V11">
        <v>5.5347593582887704</v>
      </c>
      <c r="W11">
        <v>24.352941176470601</v>
      </c>
      <c r="X11">
        <v>69</v>
      </c>
      <c r="Y11">
        <v>21</v>
      </c>
      <c r="Z11">
        <v>16</v>
      </c>
      <c r="AA11">
        <v>11</v>
      </c>
      <c r="AB11">
        <v>18</v>
      </c>
      <c r="AC11">
        <v>21</v>
      </c>
      <c r="AD11">
        <v>19.090909090909101</v>
      </c>
      <c r="AE11">
        <v>26.363636363636399</v>
      </c>
    </row>
    <row r="12" spans="1:31" x14ac:dyDescent="0.3">
      <c r="A12" t="s">
        <v>297</v>
      </c>
      <c r="B12" t="s">
        <v>142</v>
      </c>
      <c r="C12" t="s">
        <v>0</v>
      </c>
      <c r="D12" t="s">
        <v>143</v>
      </c>
      <c r="E12" t="s">
        <v>123</v>
      </c>
      <c r="F12">
        <v>43.9998411195443</v>
      </c>
      <c r="G12">
        <v>23.294033533876402</v>
      </c>
      <c r="H12">
        <v>47.882180041856998</v>
      </c>
      <c r="I12">
        <v>80.235004394463104</v>
      </c>
      <c r="J12">
        <v>76.473988563472702</v>
      </c>
      <c r="K12">
        <v>22.703215354781001</v>
      </c>
      <c r="L12">
        <v>39.431900353040596</v>
      </c>
      <c r="M12">
        <v>41.6851518017858</v>
      </c>
      <c r="N12">
        <v>45.065028974903598</v>
      </c>
      <c r="O12">
        <v>49.571531872393898</v>
      </c>
      <c r="P12">
        <v>58.584537667374597</v>
      </c>
      <c r="Q12">
        <v>70.518424969988004</v>
      </c>
      <c r="R12">
        <v>17.8927346938776</v>
      </c>
      <c r="S12">
        <v>39.761632653061199</v>
      </c>
      <c r="T12">
        <v>28.124081632653098</v>
      </c>
      <c r="U12">
        <v>33.9428571428571</v>
      </c>
      <c r="V12">
        <v>43.2</v>
      </c>
      <c r="W12">
        <v>36</v>
      </c>
      <c r="X12">
        <v>26</v>
      </c>
      <c r="Y12">
        <v>23</v>
      </c>
      <c r="Z12">
        <v>38</v>
      </c>
      <c r="AA12">
        <v>48</v>
      </c>
      <c r="AB12">
        <v>36.244897959183703</v>
      </c>
      <c r="AC12">
        <v>55.836734693877602</v>
      </c>
      <c r="AD12">
        <v>50.060520760028197</v>
      </c>
      <c r="AE12">
        <v>69.528501055594703</v>
      </c>
    </row>
    <row r="13" spans="1:31" x14ac:dyDescent="0.3">
      <c r="A13" t="s">
        <v>297</v>
      </c>
      <c r="B13" t="s">
        <v>144</v>
      </c>
      <c r="C13" t="s">
        <v>0</v>
      </c>
      <c r="D13" t="s">
        <v>145</v>
      </c>
      <c r="E13" t="s">
        <v>123</v>
      </c>
      <c r="F13">
        <v>124.191186869337</v>
      </c>
      <c r="G13">
        <v>185.60441114538301</v>
      </c>
      <c r="H13">
        <v>173.23078373569101</v>
      </c>
      <c r="I13">
        <v>133.04124190901001</v>
      </c>
      <c r="J13">
        <v>114.41546804174899</v>
      </c>
      <c r="K13">
        <v>96.417529248664806</v>
      </c>
      <c r="L13">
        <v>117.98460815955001</v>
      </c>
      <c r="M13">
        <v>272.91389160138402</v>
      </c>
      <c r="N13">
        <v>189.95768666528099</v>
      </c>
      <c r="O13">
        <v>123.412000253877</v>
      </c>
      <c r="P13">
        <v>79.505807855862798</v>
      </c>
      <c r="Q13">
        <v>93.332904874273694</v>
      </c>
      <c r="R13">
        <v>104.443964978354</v>
      </c>
      <c r="S13">
        <v>180.403212235339</v>
      </c>
      <c r="T13">
        <v>124.587853753687</v>
      </c>
      <c r="U13">
        <v>88.123116069681004</v>
      </c>
      <c r="V13">
        <v>167.648854961832</v>
      </c>
      <c r="W13">
        <v>139</v>
      </c>
      <c r="X13">
        <v>56</v>
      </c>
      <c r="Y13">
        <v>87</v>
      </c>
      <c r="Z13">
        <v>79</v>
      </c>
      <c r="AA13">
        <v>68</v>
      </c>
      <c r="AB13">
        <v>94</v>
      </c>
      <c r="AC13">
        <v>111.625</v>
      </c>
      <c r="AD13">
        <v>103.926724137931</v>
      </c>
      <c r="AE13">
        <v>90.818849021435199</v>
      </c>
    </row>
    <row r="14" spans="1:31" x14ac:dyDescent="0.3">
      <c r="A14" t="s">
        <v>297</v>
      </c>
      <c r="B14" t="s">
        <v>146</v>
      </c>
      <c r="C14" t="s">
        <v>0</v>
      </c>
      <c r="D14" t="s">
        <v>147</v>
      </c>
      <c r="E14" t="s">
        <v>123</v>
      </c>
      <c r="F14">
        <v>85.3876843301543</v>
      </c>
      <c r="G14">
        <v>158.57712804171501</v>
      </c>
      <c r="H14">
        <v>44.049202233809702</v>
      </c>
      <c r="I14">
        <v>114.52792580790501</v>
      </c>
      <c r="J14">
        <v>126.493529996791</v>
      </c>
      <c r="K14">
        <v>105.678138984661</v>
      </c>
      <c r="L14">
        <v>107.255424641148</v>
      </c>
      <c r="M14">
        <v>14.493976302857901</v>
      </c>
      <c r="N14">
        <v>23.190362084572602</v>
      </c>
      <c r="O14">
        <v>14.493976302857901</v>
      </c>
      <c r="P14">
        <v>28.987952605715801</v>
      </c>
      <c r="Q14">
        <v>96.626508685719202</v>
      </c>
      <c r="R14">
        <v>5.29460321565585</v>
      </c>
      <c r="S14">
        <v>23.296254148885701</v>
      </c>
      <c r="T14">
        <v>-23.296254148885701</v>
      </c>
      <c r="U14">
        <v>46.592508297771502</v>
      </c>
      <c r="V14">
        <v>7.5848269321953499</v>
      </c>
      <c r="W14">
        <v>-200.45614035087701</v>
      </c>
      <c r="X14">
        <v>-58</v>
      </c>
      <c r="Y14">
        <v>7</v>
      </c>
      <c r="Z14">
        <v>10</v>
      </c>
      <c r="AA14">
        <v>-2</v>
      </c>
      <c r="AB14">
        <v>13</v>
      </c>
      <c r="AC14">
        <v>18</v>
      </c>
      <c r="AD14">
        <v>23</v>
      </c>
      <c r="AE14">
        <v>52.44</v>
      </c>
    </row>
    <row r="15" spans="1:31" x14ac:dyDescent="0.3">
      <c r="A15" t="s">
        <v>297</v>
      </c>
      <c r="B15" t="s">
        <v>148</v>
      </c>
      <c r="C15" t="s">
        <v>0</v>
      </c>
      <c r="D15" t="s">
        <v>149</v>
      </c>
      <c r="E15" t="s">
        <v>123</v>
      </c>
      <c r="F15">
        <v>100.24311600025101</v>
      </c>
      <c r="G15">
        <v>150.364674000376</v>
      </c>
      <c r="H15">
        <v>61.039125089261702</v>
      </c>
      <c r="I15">
        <v>108.67941784185599</v>
      </c>
      <c r="J15">
        <v>124.619065791995</v>
      </c>
      <c r="K15">
        <v>99.969140690281705</v>
      </c>
      <c r="L15">
        <v>113.478484026806</v>
      </c>
      <c r="M15">
        <v>31.521801118557299</v>
      </c>
      <c r="N15">
        <v>30.260929073814999</v>
      </c>
      <c r="O15">
        <v>25.217440894845801</v>
      </c>
      <c r="P15">
        <v>21.434824760619001</v>
      </c>
      <c r="Q15">
        <v>103.60165300965799</v>
      </c>
      <c r="R15">
        <v>47.816147542919197</v>
      </c>
      <c r="S15">
        <v>49.9413096559379</v>
      </c>
      <c r="T15">
        <v>-8.1536832091327103</v>
      </c>
      <c r="U15">
        <v>69.306307277627994</v>
      </c>
      <c r="V15">
        <v>14.077843665768199</v>
      </c>
      <c r="W15">
        <v>-189.50943396226401</v>
      </c>
      <c r="X15">
        <v>-54</v>
      </c>
      <c r="Y15">
        <v>22</v>
      </c>
      <c r="Z15">
        <v>49</v>
      </c>
      <c r="AA15">
        <v>8</v>
      </c>
      <c r="AB15">
        <v>16</v>
      </c>
      <c r="AC15">
        <v>51</v>
      </c>
      <c r="AD15">
        <v>70.615384615384599</v>
      </c>
      <c r="AE15">
        <v>83.623481781376498</v>
      </c>
    </row>
    <row r="16" spans="1:31" x14ac:dyDescent="0.3">
      <c r="A16" t="s">
        <v>297</v>
      </c>
      <c r="B16" t="s">
        <v>150</v>
      </c>
      <c r="C16" t="s">
        <v>0</v>
      </c>
      <c r="D16" t="s">
        <v>151</v>
      </c>
      <c r="E16" t="s">
        <v>123</v>
      </c>
      <c r="F16">
        <v>23.124705882352899</v>
      </c>
      <c r="G16">
        <v>13.3879876160991</v>
      </c>
      <c r="H16">
        <v>19.473436532507701</v>
      </c>
      <c r="I16">
        <v>9.7367182662538703</v>
      </c>
      <c r="J16">
        <v>14.6050773993808</v>
      </c>
      <c r="K16">
        <v>8.5196284829721396</v>
      </c>
      <c r="L16">
        <v>19.473436532507701</v>
      </c>
      <c r="M16">
        <v>18.256346749226001</v>
      </c>
      <c r="N16">
        <v>9.7367182662538703</v>
      </c>
      <c r="O16">
        <v>12.1708978328173</v>
      </c>
      <c r="P16">
        <v>-3.6512693498452</v>
      </c>
      <c r="Q16">
        <v>20.690526315789501</v>
      </c>
      <c r="R16">
        <v>43.68</v>
      </c>
      <c r="S16">
        <v>27.3</v>
      </c>
      <c r="T16">
        <v>15.75</v>
      </c>
      <c r="U16">
        <v>23.1</v>
      </c>
      <c r="V16">
        <v>6.6</v>
      </c>
      <c r="W16">
        <v>11</v>
      </c>
      <c r="X16">
        <v>4</v>
      </c>
      <c r="Y16">
        <v>15</v>
      </c>
      <c r="Z16">
        <v>39</v>
      </c>
      <c r="AA16">
        <v>10</v>
      </c>
      <c r="AB16">
        <v>3</v>
      </c>
      <c r="AC16">
        <v>33</v>
      </c>
      <c r="AD16">
        <v>47.558823529411796</v>
      </c>
      <c r="AE16">
        <v>30.773356401384099</v>
      </c>
    </row>
    <row r="17" spans="1:31" x14ac:dyDescent="0.3">
      <c r="A17" t="s">
        <v>297</v>
      </c>
      <c r="B17" t="s">
        <v>152</v>
      </c>
      <c r="C17" t="s">
        <v>0</v>
      </c>
      <c r="D17" t="s">
        <v>153</v>
      </c>
      <c r="E17" t="s">
        <v>123</v>
      </c>
      <c r="F17">
        <v>74.944023619236006</v>
      </c>
      <c r="G17">
        <v>32.636913511602799</v>
      </c>
      <c r="H17">
        <v>64.065052448701806</v>
      </c>
      <c r="I17">
        <v>55.603630427175098</v>
      </c>
      <c r="J17">
        <v>33.125567062997902</v>
      </c>
      <c r="K17">
        <v>36.674734962604902</v>
      </c>
      <c r="L17">
        <v>48.505294627961298</v>
      </c>
      <c r="M17">
        <v>58.899286333953</v>
      </c>
      <c r="N17">
        <v>66.983502105279797</v>
      </c>
      <c r="O17">
        <v>15.0135435753213</v>
      </c>
      <c r="P17">
        <v>31.181975117975099</v>
      </c>
      <c r="Q17">
        <v>41.204752834467101</v>
      </c>
      <c r="R17">
        <v>39.036081632653001</v>
      </c>
      <c r="S17">
        <v>25.6816326530612</v>
      </c>
      <c r="T17">
        <v>36.546938775510199</v>
      </c>
      <c r="U17">
        <v>34.571428571428598</v>
      </c>
      <c r="V17">
        <v>39.809523809523803</v>
      </c>
      <c r="W17">
        <v>44</v>
      </c>
      <c r="X17">
        <v>23</v>
      </c>
      <c r="Y17">
        <v>49</v>
      </c>
      <c r="Z17">
        <v>46</v>
      </c>
      <c r="AA17">
        <v>51</v>
      </c>
      <c r="AB17">
        <v>87</v>
      </c>
      <c r="AC17">
        <v>84.034090909090907</v>
      </c>
      <c r="AD17">
        <v>62.784090909090899</v>
      </c>
      <c r="AE17">
        <v>58.167613636363598</v>
      </c>
    </row>
    <row r="18" spans="1:31" x14ac:dyDescent="0.3">
      <c r="A18" t="s">
        <v>297</v>
      </c>
      <c r="B18" t="s">
        <v>154</v>
      </c>
      <c r="C18" t="s">
        <v>0</v>
      </c>
      <c r="D18" t="s">
        <v>155</v>
      </c>
      <c r="E18" t="s">
        <v>123</v>
      </c>
      <c r="F18">
        <v>32.021052631578897</v>
      </c>
      <c r="G18">
        <v>15.3701052631579</v>
      </c>
      <c r="H18">
        <v>7.6850526315789498</v>
      </c>
      <c r="I18">
        <v>32.021052631578897</v>
      </c>
      <c r="J18">
        <v>17.242105263157899</v>
      </c>
      <c r="K18">
        <v>16.010526315789502</v>
      </c>
      <c r="L18">
        <v>18.473684210526301</v>
      </c>
      <c r="M18">
        <v>20.936842105263199</v>
      </c>
      <c r="N18">
        <v>8.6210526315789497</v>
      </c>
      <c r="O18">
        <v>16.010526315789502</v>
      </c>
      <c r="P18">
        <v>24.6315789473684</v>
      </c>
      <c r="Q18">
        <v>44.571428571428598</v>
      </c>
      <c r="R18">
        <v>25.1428571428571</v>
      </c>
      <c r="S18">
        <v>25.1428571428571</v>
      </c>
      <c r="T18">
        <v>13.619047619047601</v>
      </c>
      <c r="U18">
        <v>4.1904761904761898</v>
      </c>
      <c r="V18">
        <v>-6.28571428571429</v>
      </c>
      <c r="W18">
        <v>22</v>
      </c>
      <c r="X18">
        <v>-18</v>
      </c>
      <c r="Y18">
        <v>3</v>
      </c>
      <c r="Z18">
        <v>10</v>
      </c>
      <c r="AA18">
        <v>15</v>
      </c>
      <c r="AB18">
        <v>34</v>
      </c>
      <c r="AC18">
        <v>35</v>
      </c>
      <c r="AD18">
        <v>2.9166666666666701</v>
      </c>
      <c r="AE18">
        <v>27.2222222222222</v>
      </c>
    </row>
    <row r="19" spans="1:31" x14ac:dyDescent="0.3">
      <c r="A19" t="s">
        <v>297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15.9375</v>
      </c>
      <c r="S19">
        <v>19.125</v>
      </c>
      <c r="T19">
        <v>13.8125</v>
      </c>
      <c r="U19">
        <v>10.625</v>
      </c>
      <c r="V19">
        <v>5.3125</v>
      </c>
      <c r="W19">
        <v>17</v>
      </c>
      <c r="X19">
        <v>12</v>
      </c>
      <c r="Y19">
        <v>6</v>
      </c>
      <c r="Z19">
        <v>9</v>
      </c>
      <c r="AA19">
        <v>47</v>
      </c>
      <c r="AB19">
        <v>6.8541666666666696</v>
      </c>
      <c r="AC19">
        <v>13.7083333333333</v>
      </c>
      <c r="AD19">
        <v>0.97916666666666696</v>
      </c>
      <c r="AE19">
        <v>31.3333333333333</v>
      </c>
    </row>
    <row r="20" spans="1:31" x14ac:dyDescent="0.3">
      <c r="A20" t="s">
        <v>297</v>
      </c>
      <c r="B20" t="s">
        <v>158</v>
      </c>
      <c r="C20" t="s">
        <v>0</v>
      </c>
      <c r="D20" t="s">
        <v>159</v>
      </c>
      <c r="E20" t="s">
        <v>123</v>
      </c>
      <c r="F20">
        <v>613.25454313293903</v>
      </c>
      <c r="G20">
        <v>639.23990513009699</v>
      </c>
      <c r="H20">
        <v>682.666529119914</v>
      </c>
      <c r="I20">
        <v>623.23038852489594</v>
      </c>
      <c r="J20">
        <v>503.959882904229</v>
      </c>
      <c r="K20">
        <v>574.54709777355095</v>
      </c>
      <c r="L20">
        <v>750.97052725292895</v>
      </c>
      <c r="M20">
        <v>618.26890797931901</v>
      </c>
      <c r="N20">
        <v>589.89424795128298</v>
      </c>
      <c r="O20">
        <v>937.40620590278104</v>
      </c>
      <c r="P20">
        <v>754.15386489923003</v>
      </c>
      <c r="Q20">
        <v>743.39944258337596</v>
      </c>
      <c r="R20">
        <v>781.39259978525195</v>
      </c>
      <c r="S20">
        <v>965.739407953767</v>
      </c>
      <c r="T20">
        <v>853.29029880846497</v>
      </c>
      <c r="U20">
        <v>777.24345697494505</v>
      </c>
      <c r="V20">
        <v>974.60342179882605</v>
      </c>
      <c r="W20">
        <v>901.82459484631602</v>
      </c>
      <c r="X20">
        <v>1021.0658468315499</v>
      </c>
      <c r="Y20">
        <v>1170.0540540540501</v>
      </c>
      <c r="Z20">
        <v>1096</v>
      </c>
      <c r="AA20">
        <v>1468</v>
      </c>
      <c r="AB20">
        <v>1389.41111873713</v>
      </c>
      <c r="AC20">
        <v>1116.43847491457</v>
      </c>
      <c r="AD20">
        <v>1107.8724508103701</v>
      </c>
      <c r="AE20">
        <v>925.24587355314895</v>
      </c>
    </row>
    <row r="21" spans="1:31" x14ac:dyDescent="0.3">
      <c r="A21" t="s">
        <v>297</v>
      </c>
      <c r="B21" t="s">
        <v>160</v>
      </c>
      <c r="C21" t="s">
        <v>0</v>
      </c>
      <c r="D21" t="s">
        <v>161</v>
      </c>
      <c r="E21" t="s">
        <v>123</v>
      </c>
      <c r="F21">
        <v>959.38182352259105</v>
      </c>
      <c r="G21">
        <v>1000.79398856673</v>
      </c>
      <c r="H21">
        <v>1080.30439180347</v>
      </c>
      <c r="I21">
        <v>1004.34548925479</v>
      </c>
      <c r="J21">
        <v>897.74828973189005</v>
      </c>
      <c r="K21">
        <v>992.07691437763197</v>
      </c>
      <c r="L21">
        <v>1083.3913261534201</v>
      </c>
      <c r="M21">
        <v>1065.4593317895001</v>
      </c>
      <c r="N21">
        <v>1068.41483617727</v>
      </c>
      <c r="O21">
        <v>1373.0574448710599</v>
      </c>
      <c r="P21">
        <v>1207.1753779272401</v>
      </c>
      <c r="Q21">
        <v>1287.03262453764</v>
      </c>
      <c r="R21">
        <v>1275.7097568730901</v>
      </c>
      <c r="S21">
        <v>1506.0462407529501</v>
      </c>
      <c r="T21">
        <v>1364.7517207113999</v>
      </c>
      <c r="U21">
        <v>1389.2016701052601</v>
      </c>
      <c r="V21">
        <v>1458.82752946614</v>
      </c>
      <c r="W21">
        <v>1264.2470731206199</v>
      </c>
      <c r="X21">
        <v>1434.4149293601299</v>
      </c>
      <c r="Y21">
        <v>1606.14765100671</v>
      </c>
      <c r="Z21">
        <v>1470</v>
      </c>
      <c r="AA21">
        <v>1946</v>
      </c>
      <c r="AB21">
        <v>1814.0507246376801</v>
      </c>
      <c r="AC21">
        <v>1682.5124145178499</v>
      </c>
      <c r="AD21">
        <v>1567.36309203105</v>
      </c>
      <c r="AE21">
        <v>1672.7242041069001</v>
      </c>
    </row>
    <row r="22" spans="1:31" x14ac:dyDescent="0.3">
      <c r="A22" t="s">
        <v>297</v>
      </c>
      <c r="B22" t="s">
        <v>162</v>
      </c>
      <c r="C22" t="s">
        <v>0</v>
      </c>
      <c r="D22" t="s">
        <v>163</v>
      </c>
      <c r="E22" t="s">
        <v>123</v>
      </c>
      <c r="F22">
        <v>345.84072738937601</v>
      </c>
      <c r="G22">
        <v>361.24947266910101</v>
      </c>
      <c r="H22">
        <v>397.20321165512502</v>
      </c>
      <c r="I22">
        <v>380.51400108138102</v>
      </c>
      <c r="J22">
        <v>391.99502697607699</v>
      </c>
      <c r="K22">
        <v>415.99472250522501</v>
      </c>
      <c r="L22">
        <v>333.71005211957601</v>
      </c>
      <c r="M22">
        <v>445.43676560454401</v>
      </c>
      <c r="N22">
        <v>475.90638149280301</v>
      </c>
      <c r="O22">
        <v>437.66390440855997</v>
      </c>
      <c r="P22">
        <v>452.70860112260402</v>
      </c>
      <c r="Q22">
        <v>541.68023371317395</v>
      </c>
      <c r="R22">
        <v>493.22718528470199</v>
      </c>
      <c r="S22">
        <v>539.86805386954404</v>
      </c>
      <c r="T22">
        <v>510.65675636558001</v>
      </c>
      <c r="U22">
        <v>609.49354792020904</v>
      </c>
      <c r="V22">
        <v>483.42923495110102</v>
      </c>
      <c r="W22">
        <v>362.31089530892399</v>
      </c>
      <c r="X22">
        <v>413.21407894736802</v>
      </c>
      <c r="Y22">
        <v>436.005263157895</v>
      </c>
      <c r="Z22">
        <v>374</v>
      </c>
      <c r="AA22">
        <v>478</v>
      </c>
      <c r="AB22">
        <v>424.66526315789503</v>
      </c>
      <c r="AC22">
        <v>565.89343381548599</v>
      </c>
      <c r="AD22">
        <v>459.37231686198197</v>
      </c>
      <c r="AE22">
        <v>747.88054025700797</v>
      </c>
    </row>
    <row r="23" spans="1:31" x14ac:dyDescent="0.3">
      <c r="A23" t="s">
        <v>297</v>
      </c>
      <c r="B23" t="s">
        <v>164</v>
      </c>
      <c r="C23" t="s">
        <v>0</v>
      </c>
      <c r="D23" t="s">
        <v>165</v>
      </c>
      <c r="E23" t="s">
        <v>123</v>
      </c>
      <c r="F23">
        <v>32.221065172251301</v>
      </c>
      <c r="G23">
        <v>26.362689686387402</v>
      </c>
      <c r="H23">
        <v>55.654567115706797</v>
      </c>
      <c r="I23">
        <v>51.260785501308902</v>
      </c>
      <c r="J23">
        <v>65.499892585005796</v>
      </c>
      <c r="K23">
        <v>72.322798062610602</v>
      </c>
      <c r="L23">
        <v>58.929687310275298</v>
      </c>
      <c r="M23">
        <v>67.706449250103503</v>
      </c>
      <c r="N23">
        <v>67.706449250103503</v>
      </c>
      <c r="O23">
        <v>81.498503726976395</v>
      </c>
      <c r="P23">
        <v>76.5592004707961</v>
      </c>
      <c r="Q23">
        <v>92.110288066426506</v>
      </c>
      <c r="R23">
        <v>116.289238683863</v>
      </c>
      <c r="S23">
        <v>126.070576517086</v>
      </c>
      <c r="T23">
        <v>116.84590018656699</v>
      </c>
      <c r="U23">
        <v>148.90097014925399</v>
      </c>
      <c r="V23">
        <v>110.29701492537301</v>
      </c>
      <c r="W23">
        <v>140.574626865672</v>
      </c>
      <c r="X23">
        <v>91.679104477611901</v>
      </c>
      <c r="Y23">
        <v>135</v>
      </c>
      <c r="Z23">
        <v>125</v>
      </c>
      <c r="AA23">
        <v>112</v>
      </c>
      <c r="AB23">
        <v>128.70175438596499</v>
      </c>
      <c r="AC23">
        <v>133.504058654098</v>
      </c>
      <c r="AD23">
        <v>146.483619912135</v>
      </c>
      <c r="AE23">
        <v>209.90030902043799</v>
      </c>
    </row>
    <row r="24" spans="1:31" x14ac:dyDescent="0.3">
      <c r="A24" t="s">
        <v>297</v>
      </c>
      <c r="B24" t="s">
        <v>166</v>
      </c>
      <c r="C24" t="s">
        <v>0</v>
      </c>
      <c r="D24" t="s">
        <v>167</v>
      </c>
      <c r="E24" t="s">
        <v>123</v>
      </c>
      <c r="F24">
        <v>256.24232793627999</v>
      </c>
      <c r="G24">
        <v>420.96953875246101</v>
      </c>
      <c r="H24">
        <v>413.28761286281701</v>
      </c>
      <c r="I24">
        <v>364.757628019077</v>
      </c>
      <c r="J24">
        <v>400.78307276170199</v>
      </c>
      <c r="K24">
        <v>400.78307276170199</v>
      </c>
      <c r="L24">
        <v>257.15773951945403</v>
      </c>
      <c r="M24">
        <v>308.58928742334501</v>
      </c>
      <c r="N24">
        <v>399.73380269606298</v>
      </c>
      <c r="O24">
        <v>467.88513954916198</v>
      </c>
      <c r="P24">
        <v>320.87204925366001</v>
      </c>
      <c r="Q24">
        <v>126.40414061507801</v>
      </c>
      <c r="R24">
        <v>408.47263958020602</v>
      </c>
      <c r="S24">
        <v>352.472358347436</v>
      </c>
      <c r="T24">
        <v>325.43908012609899</v>
      </c>
      <c r="U24">
        <v>294.797088815525</v>
      </c>
      <c r="V24">
        <v>273.41867397775798</v>
      </c>
      <c r="W24">
        <v>401.30805374154801</v>
      </c>
      <c r="X24">
        <v>354.64432656229798</v>
      </c>
      <c r="Y24">
        <v>266.23728813559302</v>
      </c>
      <c r="Z24">
        <v>119</v>
      </c>
      <c r="AA24">
        <v>396</v>
      </c>
      <c r="AB24">
        <v>477.15555555555602</v>
      </c>
      <c r="AC24">
        <v>479.06417777777801</v>
      </c>
      <c r="AD24">
        <v>365.96457342717002</v>
      </c>
      <c r="AE24">
        <v>329.016227071542</v>
      </c>
    </row>
    <row r="25" spans="1:31" x14ac:dyDescent="0.3">
      <c r="A25" t="s">
        <v>297</v>
      </c>
      <c r="B25" t="s">
        <v>168</v>
      </c>
      <c r="C25" t="s">
        <v>0</v>
      </c>
      <c r="D25" t="s">
        <v>169</v>
      </c>
      <c r="E25" t="s">
        <v>123</v>
      </c>
      <c r="F25">
        <v>23.009575749111399</v>
      </c>
      <c r="G25">
        <v>24.543547465718799</v>
      </c>
      <c r="H25">
        <v>42.951208065007897</v>
      </c>
      <c r="I25">
        <v>38.3492929151856</v>
      </c>
      <c r="J25">
        <v>60.473884981638797</v>
      </c>
      <c r="K25">
        <v>26.721018945375299</v>
      </c>
      <c r="L25">
        <v>28.057069892644101</v>
      </c>
      <c r="M25">
        <v>28.057069892644101</v>
      </c>
      <c r="N25">
        <v>40.810283480209499</v>
      </c>
      <c r="O25">
        <v>65.041389296584001</v>
      </c>
      <c r="P25">
        <v>63.790593348572699</v>
      </c>
      <c r="Q25">
        <v>63.790593348572699</v>
      </c>
      <c r="R25">
        <v>47.003595098948303</v>
      </c>
      <c r="S25">
        <v>60.582411460866702</v>
      </c>
      <c r="T25">
        <v>44.691942880967297</v>
      </c>
      <c r="U25">
        <v>52.817750677506801</v>
      </c>
      <c r="V25">
        <v>2.1558265582655798</v>
      </c>
      <c r="W25">
        <v>44.1944444444444</v>
      </c>
      <c r="X25">
        <v>37</v>
      </c>
      <c r="Y25">
        <v>20</v>
      </c>
      <c r="Z25">
        <v>25</v>
      </c>
      <c r="AA25">
        <v>40</v>
      </c>
      <c r="AB25">
        <v>27.3170731707317</v>
      </c>
      <c r="AC25">
        <v>55.576114381833499</v>
      </c>
      <c r="AD25">
        <v>63.775868962759702</v>
      </c>
      <c r="AE25">
        <v>34.072039582844198</v>
      </c>
    </row>
    <row r="26" spans="1:31" x14ac:dyDescent="0.3">
      <c r="A26" t="s">
        <v>297</v>
      </c>
      <c r="B26" t="s">
        <v>170</v>
      </c>
      <c r="C26" t="s">
        <v>0</v>
      </c>
      <c r="D26" t="s">
        <v>171</v>
      </c>
      <c r="E26" t="s">
        <v>123</v>
      </c>
      <c r="F26">
        <v>38.8630789889855</v>
      </c>
      <c r="G26">
        <v>275.15059924201802</v>
      </c>
      <c r="H26">
        <v>189.16603697888701</v>
      </c>
      <c r="I26">
        <v>166.91120909901801</v>
      </c>
      <c r="J26">
        <v>166.91120909901801</v>
      </c>
      <c r="K26">
        <v>159.71676043095701</v>
      </c>
      <c r="L26">
        <v>91.663532073418693</v>
      </c>
      <c r="M26">
        <v>104.573888703478</v>
      </c>
      <c r="N26">
        <v>92.809326224336402</v>
      </c>
      <c r="O26">
        <v>90.157631189355399</v>
      </c>
      <c r="P26">
        <v>123.644751345402</v>
      </c>
      <c r="Q26">
        <v>-22.035698259576499</v>
      </c>
      <c r="R26">
        <v>178.60513326183101</v>
      </c>
      <c r="S26">
        <v>130.68668287451001</v>
      </c>
      <c r="T26">
        <v>48.364362953559002</v>
      </c>
      <c r="U26">
        <v>34.696173423205302</v>
      </c>
      <c r="V26">
        <v>141.02315649431799</v>
      </c>
      <c r="W26">
        <v>165.073617291799</v>
      </c>
      <c r="X26">
        <v>112.783216783217</v>
      </c>
      <c r="Y26">
        <v>144</v>
      </c>
      <c r="Z26">
        <v>-78</v>
      </c>
      <c r="AA26">
        <v>181</v>
      </c>
      <c r="AB26">
        <v>215.243243243243</v>
      </c>
      <c r="AC26">
        <v>233.41933933933899</v>
      </c>
      <c r="AD26">
        <v>118.093578796188</v>
      </c>
      <c r="AE26">
        <v>80.197878137709395</v>
      </c>
    </row>
    <row r="27" spans="1:31" x14ac:dyDescent="0.3">
      <c r="A27" t="s">
        <v>297</v>
      </c>
      <c r="B27" t="s">
        <v>172</v>
      </c>
      <c r="C27" t="s">
        <v>0</v>
      </c>
      <c r="D27" t="s">
        <v>173</v>
      </c>
      <c r="E27" t="s">
        <v>123</v>
      </c>
      <c r="F27">
        <v>189.944918015654</v>
      </c>
      <c r="G27">
        <v>123.167407775776</v>
      </c>
      <c r="H27">
        <v>180.24498698894001</v>
      </c>
      <c r="I27">
        <v>158.67721076804099</v>
      </c>
      <c r="J27">
        <v>171.90031166537801</v>
      </c>
      <c r="K27">
        <v>212.10280390969999</v>
      </c>
      <c r="L27">
        <v>135.58470376506099</v>
      </c>
      <c r="M27">
        <v>173.599106689845</v>
      </c>
      <c r="N27">
        <v>262.32753899798797</v>
      </c>
      <c r="O27">
        <v>307.55642503212403</v>
      </c>
      <c r="P27">
        <v>131.089623784184</v>
      </c>
      <c r="Q27">
        <v>81.780682727747802</v>
      </c>
      <c r="R27">
        <v>178.749206533506</v>
      </c>
      <c r="S27">
        <v>156.816788553935</v>
      </c>
      <c r="T27">
        <v>229.513313049136</v>
      </c>
      <c r="U27">
        <v>204.24579234647899</v>
      </c>
      <c r="V27">
        <v>129.05640725189599</v>
      </c>
      <c r="W27">
        <v>189.72394912244499</v>
      </c>
      <c r="X27">
        <v>203.201606710379</v>
      </c>
      <c r="Y27">
        <v>100.584795321637</v>
      </c>
      <c r="Z27">
        <v>172</v>
      </c>
      <c r="AA27">
        <v>175</v>
      </c>
      <c r="AB27">
        <v>234.63687150838001</v>
      </c>
      <c r="AC27">
        <v>189.80787573238899</v>
      </c>
      <c r="AD27">
        <v>183.389251915351</v>
      </c>
      <c r="AE27">
        <v>214.10037065715699</v>
      </c>
    </row>
    <row r="28" spans="1:31" x14ac:dyDescent="0.3">
      <c r="A28" t="s">
        <v>297</v>
      </c>
      <c r="B28" t="s">
        <v>174</v>
      </c>
      <c r="C28" t="s">
        <v>0</v>
      </c>
      <c r="D28" t="s">
        <v>175</v>
      </c>
      <c r="E28" t="s">
        <v>123</v>
      </c>
      <c r="F28">
        <v>304.39528566507198</v>
      </c>
      <c r="G28">
        <v>387.41218175554599</v>
      </c>
      <c r="H28">
        <v>356.48431850615299</v>
      </c>
      <c r="I28">
        <v>533.92718556526995</v>
      </c>
      <c r="J28">
        <v>377.35029830272799</v>
      </c>
      <c r="K28">
        <v>318.95084737492499</v>
      </c>
      <c r="L28">
        <v>272.97595045601702</v>
      </c>
      <c r="M28">
        <v>271.597284039572</v>
      </c>
      <c r="N28">
        <v>337.43904986734702</v>
      </c>
      <c r="O28">
        <v>310.11604987808801</v>
      </c>
      <c r="P28">
        <v>179.68097310533</v>
      </c>
      <c r="Q28">
        <v>337.69828278661299</v>
      </c>
      <c r="R28">
        <v>349.80216389007597</v>
      </c>
      <c r="S28">
        <v>484.25380994554502</v>
      </c>
      <c r="T28">
        <v>322.48110860109898</v>
      </c>
      <c r="U28">
        <v>294.43927307056902</v>
      </c>
      <c r="V28">
        <v>294.43927307056902</v>
      </c>
      <c r="W28">
        <v>253.281095114468</v>
      </c>
      <c r="X28">
        <v>253.281095114468</v>
      </c>
      <c r="Y28">
        <v>220.63157894736801</v>
      </c>
      <c r="Z28">
        <v>262</v>
      </c>
      <c r="AA28">
        <v>339</v>
      </c>
      <c r="AB28">
        <v>444.9375</v>
      </c>
      <c r="AC28">
        <v>526.46026490066197</v>
      </c>
      <c r="AD28">
        <v>475.05184843658299</v>
      </c>
      <c r="AE28">
        <v>485.17892272495999</v>
      </c>
    </row>
    <row r="29" spans="1:31" x14ac:dyDescent="0.3">
      <c r="A29" t="s">
        <v>297</v>
      </c>
      <c r="B29" t="s">
        <v>176</v>
      </c>
      <c r="C29" t="s">
        <v>0</v>
      </c>
      <c r="D29" t="s">
        <v>177</v>
      </c>
      <c r="E29" t="s">
        <v>123</v>
      </c>
      <c r="F29">
        <v>36.0984525986606</v>
      </c>
      <c r="G29">
        <v>122.734738835446</v>
      </c>
      <c r="H29">
        <v>99.631729172303096</v>
      </c>
      <c r="I29">
        <v>76.858762504348107</v>
      </c>
      <c r="J29">
        <v>93.938487505314399</v>
      </c>
      <c r="K29">
        <v>80.124004048650505</v>
      </c>
      <c r="L29">
        <v>73.333834214019106</v>
      </c>
      <c r="M29">
        <v>65.333779572489703</v>
      </c>
      <c r="N29">
        <v>61.333752251725102</v>
      </c>
      <c r="O29">
        <v>54.667040050450602</v>
      </c>
      <c r="P29">
        <v>82.000560075675907</v>
      </c>
      <c r="Q29">
        <v>105.606781915643</v>
      </c>
      <c r="R29">
        <v>72.751338652998598</v>
      </c>
      <c r="S29">
        <v>120.87914730036699</v>
      </c>
      <c r="T29">
        <v>114.680216669579</v>
      </c>
      <c r="U29">
        <v>80.276151668705197</v>
      </c>
      <c r="V29">
        <v>128.007917525773</v>
      </c>
      <c r="W29">
        <v>52.035738831615099</v>
      </c>
      <c r="X29">
        <v>97.066666666666606</v>
      </c>
      <c r="Y29">
        <v>52.495238095238101</v>
      </c>
      <c r="Z29">
        <v>104</v>
      </c>
      <c r="AA29">
        <v>68</v>
      </c>
      <c r="AB29">
        <v>41.611940298507498</v>
      </c>
      <c r="AC29">
        <v>86.196162046908299</v>
      </c>
      <c r="AD29">
        <v>128.80999496897499</v>
      </c>
      <c r="AE29">
        <v>157.95678215173601</v>
      </c>
    </row>
    <row r="30" spans="1:31" x14ac:dyDescent="0.3">
      <c r="A30" t="s">
        <v>297</v>
      </c>
      <c r="B30" t="s">
        <v>178</v>
      </c>
      <c r="C30" t="s">
        <v>0</v>
      </c>
      <c r="D30" t="s">
        <v>179</v>
      </c>
      <c r="E30" t="s">
        <v>123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>
        <v>0</v>
      </c>
      <c r="Q30">
        <v>2.7272727272727302</v>
      </c>
      <c r="R30">
        <v>2.7272727272727302</v>
      </c>
      <c r="S30">
        <v>0.90909090909090895</v>
      </c>
      <c r="T30">
        <v>2.7272727272727302</v>
      </c>
      <c r="U30">
        <v>10</v>
      </c>
      <c r="V30">
        <v>5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16</v>
      </c>
      <c r="AD30">
        <v>3</v>
      </c>
      <c r="AE30">
        <v>3</v>
      </c>
    </row>
    <row r="31" spans="1:31" x14ac:dyDescent="0.3">
      <c r="A31" t="s">
        <v>297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>
        <v>0</v>
      </c>
      <c r="O31">
        <v>0</v>
      </c>
      <c r="P31">
        <v>0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>
        <v>0</v>
      </c>
      <c r="Y31">
        <v>1</v>
      </c>
      <c r="Z31">
        <v>-12</v>
      </c>
      <c r="AA31">
        <v>23</v>
      </c>
      <c r="AB31">
        <v>6.7083333333333304</v>
      </c>
      <c r="AC31">
        <v>9.5833333333333304</v>
      </c>
      <c r="AD31">
        <v>8.625</v>
      </c>
      <c r="AE31">
        <v>0</v>
      </c>
    </row>
    <row r="32" spans="1:31" x14ac:dyDescent="0.3">
      <c r="A32" t="s">
        <v>297</v>
      </c>
      <c r="B32" t="s">
        <v>182</v>
      </c>
      <c r="C32" t="s">
        <v>0</v>
      </c>
      <c r="D32" t="s">
        <v>183</v>
      </c>
      <c r="E32" t="s">
        <v>123</v>
      </c>
      <c r="F32">
        <v>256.09466404881101</v>
      </c>
      <c r="G32">
        <v>230.31332203047401</v>
      </c>
      <c r="H32">
        <v>216.56327295402801</v>
      </c>
      <c r="I32">
        <v>376.04785381164498</v>
      </c>
      <c r="J32">
        <v>229.89825123856099</v>
      </c>
      <c r="K32">
        <v>208.00317969203101</v>
      </c>
      <c r="L32">
        <v>187.202861722828</v>
      </c>
      <c r="M32">
        <v>199.96669320392999</v>
      </c>
      <c r="N32">
        <v>280.23501371536599</v>
      </c>
      <c r="O32">
        <v>249.409162206676</v>
      </c>
      <c r="P32">
        <v>91.313736982772099</v>
      </c>
      <c r="Q32">
        <v>226.97986050003399</v>
      </c>
      <c r="R32">
        <v>286.51556161479601</v>
      </c>
      <c r="S32">
        <v>303.98602268886901</v>
      </c>
      <c r="T32">
        <v>210.28423791738999</v>
      </c>
      <c r="U32">
        <v>195.89636900725301</v>
      </c>
      <c r="V32">
        <v>153.60056206250499</v>
      </c>
      <c r="W32">
        <v>162.13392662153299</v>
      </c>
      <c r="X32">
        <v>153.070539419087</v>
      </c>
      <c r="Y32">
        <v>153.070539419087</v>
      </c>
      <c r="Z32">
        <v>238</v>
      </c>
      <c r="AA32">
        <v>281</v>
      </c>
      <c r="AB32">
        <v>394.81003584229398</v>
      </c>
      <c r="AC32">
        <v>414.40358600816501</v>
      </c>
      <c r="AD32">
        <v>334.92892567783201</v>
      </c>
      <c r="AE32">
        <v>324.89018403626199</v>
      </c>
    </row>
    <row r="33" spans="1:31" x14ac:dyDescent="0.3">
      <c r="A33" t="s">
        <v>297</v>
      </c>
      <c r="B33" t="s">
        <v>184</v>
      </c>
      <c r="C33" t="s">
        <v>0</v>
      </c>
      <c r="D33" t="s">
        <v>185</v>
      </c>
      <c r="E33" t="s">
        <v>123</v>
      </c>
      <c r="F33">
        <v>9.8631943142907303</v>
      </c>
      <c r="G33">
        <v>19.7263886285815</v>
      </c>
      <c r="H33">
        <v>29.589582942872202</v>
      </c>
      <c r="I33">
        <v>49.315971571453602</v>
      </c>
      <c r="J33">
        <v>17.808545289691601</v>
      </c>
      <c r="K33">
        <v>21.624662137482598</v>
      </c>
      <c r="L33">
        <v>10.812331068741299</v>
      </c>
      <c r="M33">
        <v>4.3249324274965302</v>
      </c>
      <c r="N33">
        <v>7.5686317481189302</v>
      </c>
      <c r="O33">
        <v>6.4873986412447904</v>
      </c>
      <c r="P33">
        <v>5.4061655343706603</v>
      </c>
      <c r="Q33">
        <v>1.0812331068741301</v>
      </c>
      <c r="R33">
        <v>-4.3249324274965302</v>
      </c>
      <c r="S33">
        <v>42.168091168091202</v>
      </c>
      <c r="T33">
        <v>40.1111111111111</v>
      </c>
      <c r="U33">
        <v>6.3333333333333304</v>
      </c>
      <c r="V33">
        <v>6.3333333333333304</v>
      </c>
      <c r="W33">
        <v>38</v>
      </c>
      <c r="X33">
        <v>1</v>
      </c>
      <c r="Y33">
        <v>14</v>
      </c>
      <c r="Z33">
        <v>-69</v>
      </c>
      <c r="AA33">
        <v>-34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297</v>
      </c>
      <c r="B34" t="s">
        <v>186</v>
      </c>
      <c r="C34" t="s">
        <v>0</v>
      </c>
      <c r="D34" t="s">
        <v>187</v>
      </c>
      <c r="E34" t="s">
        <v>123</v>
      </c>
      <c r="F34">
        <v>45.880961201515497</v>
      </c>
      <c r="G34">
        <v>52.209369643103798</v>
      </c>
      <c r="H34">
        <v>64.866186526280501</v>
      </c>
      <c r="I34">
        <v>42.7167569807213</v>
      </c>
      <c r="J34">
        <v>56.447143153096</v>
      </c>
      <c r="K34">
        <v>46.048985203841497</v>
      </c>
      <c r="L34">
        <v>23.024492601920699</v>
      </c>
      <c r="M34">
        <v>65.236062372108805</v>
      </c>
      <c r="N34">
        <v>24.3036310798052</v>
      </c>
      <c r="O34">
        <v>49.886400637495001</v>
      </c>
      <c r="P34">
        <v>49.886400637495001</v>
      </c>
      <c r="Q34">
        <v>81.956229618741702</v>
      </c>
      <c r="R34">
        <v>79.647603432298297</v>
      </c>
      <c r="S34">
        <v>76.374414250149002</v>
      </c>
      <c r="T34">
        <v>81.534847645429394</v>
      </c>
      <c r="U34">
        <v>99.3052631578948</v>
      </c>
      <c r="V34">
        <v>58.021052631579003</v>
      </c>
      <c r="W34">
        <v>65.684210526315795</v>
      </c>
      <c r="X34">
        <v>39</v>
      </c>
      <c r="Y34">
        <v>49</v>
      </c>
      <c r="Z34">
        <v>58</v>
      </c>
      <c r="AA34">
        <v>76</v>
      </c>
      <c r="AB34">
        <v>97.435897435897402</v>
      </c>
      <c r="AC34">
        <v>94.597958675628604</v>
      </c>
      <c r="AD34">
        <v>80.954022328182106</v>
      </c>
      <c r="AE34">
        <v>107.06822307920901</v>
      </c>
    </row>
    <row r="35" spans="1:31" x14ac:dyDescent="0.3">
      <c r="A35" t="s">
        <v>297</v>
      </c>
      <c r="B35" t="s">
        <v>188</v>
      </c>
      <c r="C35" t="s">
        <v>0</v>
      </c>
      <c r="D35" t="s">
        <v>189</v>
      </c>
      <c r="E35" t="s">
        <v>123</v>
      </c>
      <c r="F35">
        <v>597.92083469132206</v>
      </c>
      <c r="G35">
        <v>654.030707741534</v>
      </c>
      <c r="H35">
        <v>661.04444187281103</v>
      </c>
      <c r="I35">
        <v>640.59976841282696</v>
      </c>
      <c r="J35">
        <v>813.00392772181999</v>
      </c>
      <c r="K35">
        <v>796.57960594966198</v>
      </c>
      <c r="L35">
        <v>784.13304960669802</v>
      </c>
      <c r="M35">
        <v>622.20882521372801</v>
      </c>
      <c r="N35">
        <v>481.80540859780399</v>
      </c>
      <c r="O35">
        <v>157.235896817846</v>
      </c>
      <c r="P35">
        <v>130.798002662633</v>
      </c>
      <c r="Q35">
        <v>189.52363651116201</v>
      </c>
      <c r="R35">
        <v>178.15221832049201</v>
      </c>
      <c r="S35">
        <v>172.173955960744</v>
      </c>
      <c r="T35">
        <v>174.39555539249599</v>
      </c>
      <c r="U35">
        <v>199.148472932076</v>
      </c>
      <c r="V35">
        <v>199.148472932076</v>
      </c>
      <c r="W35">
        <v>148.571082981073</v>
      </c>
      <c r="X35">
        <v>225.86820047798199</v>
      </c>
      <c r="Y35">
        <v>433.74689826302699</v>
      </c>
      <c r="Z35">
        <v>400</v>
      </c>
      <c r="AA35">
        <v>232</v>
      </c>
      <c r="AB35">
        <v>269.48471615720501</v>
      </c>
      <c r="AC35">
        <v>317.04084253788898</v>
      </c>
      <c r="AD35">
        <v>309.35500393090899</v>
      </c>
      <c r="AE35">
        <v>568.69452818436605</v>
      </c>
    </row>
    <row r="36" spans="1:31" x14ac:dyDescent="0.3">
      <c r="A36" t="s">
        <v>297</v>
      </c>
      <c r="B36" t="s">
        <v>190</v>
      </c>
      <c r="C36" t="s">
        <v>0</v>
      </c>
      <c r="D36" t="s">
        <v>191</v>
      </c>
      <c r="E36" t="s">
        <v>123</v>
      </c>
      <c r="F36">
        <v>13.116332547169799</v>
      </c>
      <c r="G36">
        <v>8.7442216981132095</v>
      </c>
      <c r="H36">
        <v>34.976886792452802</v>
      </c>
      <c r="I36">
        <v>34.976886792452802</v>
      </c>
      <c r="J36">
        <v>21.198113207547198</v>
      </c>
      <c r="K36">
        <v>13.122641509434001</v>
      </c>
      <c r="L36">
        <v>4.0377358490565998</v>
      </c>
      <c r="M36">
        <v>11.103773584905699</v>
      </c>
      <c r="N36">
        <v>14.1320754716981</v>
      </c>
      <c r="O36">
        <v>14.1320754716981</v>
      </c>
      <c r="P36">
        <v>14.1320754716981</v>
      </c>
      <c r="Q36">
        <v>9.0849056603773608</v>
      </c>
      <c r="R36">
        <v>15.1415094339623</v>
      </c>
      <c r="S36">
        <v>-5.0471698113207504</v>
      </c>
      <c r="T36">
        <v>13.122641509434001</v>
      </c>
      <c r="U36">
        <v>13.122641509434001</v>
      </c>
      <c r="V36">
        <v>18.1698113207547</v>
      </c>
      <c r="W36">
        <v>-6.0566037735849099</v>
      </c>
      <c r="X36">
        <v>28.264150943396199</v>
      </c>
      <c r="Y36">
        <v>-107</v>
      </c>
      <c r="Z36">
        <v>9</v>
      </c>
      <c r="AA36">
        <v>-2</v>
      </c>
      <c r="AB36">
        <v>29</v>
      </c>
      <c r="AC36">
        <v>25</v>
      </c>
      <c r="AD36">
        <v>21.153846153846199</v>
      </c>
      <c r="AE36">
        <v>1.8394648829431399</v>
      </c>
    </row>
    <row r="37" spans="1:31" x14ac:dyDescent="0.3">
      <c r="A37" t="s">
        <v>297</v>
      </c>
      <c r="B37" t="s">
        <v>192</v>
      </c>
      <c r="C37" t="s">
        <v>0</v>
      </c>
      <c r="D37" t="s">
        <v>193</v>
      </c>
      <c r="E37" t="s">
        <v>123</v>
      </c>
      <c r="F37">
        <v>584.05055110788601</v>
      </c>
      <c r="G37">
        <v>642.81173460349601</v>
      </c>
      <c r="H37">
        <v>610.76017996952703</v>
      </c>
      <c r="I37">
        <v>584.88051132675002</v>
      </c>
      <c r="J37">
        <v>787.27318093542101</v>
      </c>
      <c r="K37">
        <v>775.59751935375095</v>
      </c>
      <c r="L37">
        <v>783.47960796507004</v>
      </c>
      <c r="M37">
        <v>611.90364730605302</v>
      </c>
      <c r="N37">
        <v>466.78224439972701</v>
      </c>
      <c r="O37">
        <v>211.51070449362601</v>
      </c>
      <c r="P37">
        <v>111.395637699977</v>
      </c>
      <c r="Q37">
        <v>173.13297907586701</v>
      </c>
      <c r="R37">
        <v>155.44055785643599</v>
      </c>
      <c r="S37">
        <v>174.425664159512</v>
      </c>
      <c r="T37">
        <v>155.65834586386799</v>
      </c>
      <c r="U37">
        <v>180.294918590523</v>
      </c>
      <c r="V37">
        <v>150.612218578669</v>
      </c>
      <c r="W37">
        <v>135.031644242944</v>
      </c>
      <c r="X37">
        <v>183.68275135988799</v>
      </c>
      <c r="Y37">
        <v>137.26829268292701</v>
      </c>
      <c r="Z37">
        <v>201</v>
      </c>
      <c r="AA37">
        <v>218</v>
      </c>
      <c r="AB37">
        <v>221.041860465116</v>
      </c>
      <c r="AC37">
        <v>191.43803986711001</v>
      </c>
      <c r="AD37">
        <v>119.64877491694401</v>
      </c>
      <c r="AE37">
        <v>198.78654730295301</v>
      </c>
    </row>
    <row r="38" spans="1:31" x14ac:dyDescent="0.3">
      <c r="A38" t="s">
        <v>297</v>
      </c>
      <c r="B38" t="s">
        <v>194</v>
      </c>
      <c r="C38" t="s">
        <v>0</v>
      </c>
      <c r="D38" t="s">
        <v>195</v>
      </c>
      <c r="E38" t="s">
        <v>123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>
        <v>0</v>
      </c>
      <c r="O38">
        <v>-56.879515496971898</v>
      </c>
      <c r="P38">
        <v>1.11528461758768</v>
      </c>
      <c r="Q38">
        <v>4.46113847035073</v>
      </c>
      <c r="R38">
        <v>3.3458538527630499</v>
      </c>
      <c r="S38">
        <v>2.2305692351753699</v>
      </c>
      <c r="T38">
        <v>3.3458538527630499</v>
      </c>
      <c r="U38">
        <v>3.3458538527630499</v>
      </c>
      <c r="V38">
        <v>27.8821154396921</v>
      </c>
      <c r="W38">
        <v>18.230613941337101</v>
      </c>
      <c r="X38">
        <v>12.153742627558101</v>
      </c>
      <c r="Y38">
        <v>406.13756613756601</v>
      </c>
      <c r="Z38">
        <v>190</v>
      </c>
      <c r="AA38">
        <v>16</v>
      </c>
      <c r="AB38">
        <v>19</v>
      </c>
      <c r="AC38">
        <v>101</v>
      </c>
      <c r="AD38">
        <v>169.95192307692301</v>
      </c>
      <c r="AE38">
        <v>370.38435409699002</v>
      </c>
    </row>
    <row r="39" spans="1:31" x14ac:dyDescent="0.3">
      <c r="A39" t="s">
        <v>297</v>
      </c>
      <c r="B39" t="s">
        <v>196</v>
      </c>
      <c r="C39" t="s">
        <v>0</v>
      </c>
      <c r="D39" t="s">
        <v>197</v>
      </c>
      <c r="E39" t="s">
        <v>123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>
        <v>1</v>
      </c>
      <c r="V39">
        <v>13</v>
      </c>
      <c r="W39">
        <v>18</v>
      </c>
      <c r="X39">
        <v>14</v>
      </c>
      <c r="Y39">
        <v>31</v>
      </c>
      <c r="Z39">
        <v>23</v>
      </c>
      <c r="AA39">
        <v>123</v>
      </c>
      <c r="AB39">
        <v>1.9523809523809501</v>
      </c>
      <c r="AC39">
        <v>-4.8809523809523796</v>
      </c>
      <c r="AD39">
        <v>5.6944444444444402</v>
      </c>
      <c r="AE39">
        <v>-0.81349206349206304</v>
      </c>
    </row>
    <row r="40" spans="1:31" x14ac:dyDescent="0.3">
      <c r="A40" t="s">
        <v>297</v>
      </c>
      <c r="B40" t="s">
        <v>198</v>
      </c>
      <c r="C40" t="s">
        <v>0</v>
      </c>
      <c r="D40" t="s">
        <v>199</v>
      </c>
      <c r="E40" t="s">
        <v>123</v>
      </c>
      <c r="F40">
        <v>616.34070101504096</v>
      </c>
      <c r="G40">
        <v>1313.2683217753899</v>
      </c>
      <c r="H40">
        <v>1059.9628360598199</v>
      </c>
      <c r="I40">
        <v>1927.9034192102399</v>
      </c>
      <c r="J40">
        <v>2354.6798871061301</v>
      </c>
      <c r="K40">
        <v>3509.59430792485</v>
      </c>
      <c r="L40">
        <v>4421.9530603138301</v>
      </c>
      <c r="M40">
        <v>3825.83463970814</v>
      </c>
      <c r="N40">
        <v>3314.95123844204</v>
      </c>
      <c r="O40">
        <v>3771.8734513159302</v>
      </c>
      <c r="P40">
        <v>4532.5661875612204</v>
      </c>
      <c r="Q40">
        <v>4551.7923431818399</v>
      </c>
      <c r="R40">
        <v>6212.9714407823103</v>
      </c>
      <c r="S40">
        <v>6713.8251845689801</v>
      </c>
      <c r="T40">
        <v>4716.5186712641998</v>
      </c>
      <c r="U40">
        <v>4279.1289954128097</v>
      </c>
      <c r="V40">
        <v>4905.1805527183396</v>
      </c>
      <c r="W40">
        <v>4897.5705651587105</v>
      </c>
      <c r="X40">
        <v>4429.7215375087299</v>
      </c>
      <c r="Y40">
        <v>3689.0929705215399</v>
      </c>
      <c r="Z40">
        <v>4397</v>
      </c>
      <c r="AA40">
        <v>4336</v>
      </c>
      <c r="AB40">
        <v>4707.4337240757404</v>
      </c>
      <c r="AC40">
        <v>5200.5573212794898</v>
      </c>
      <c r="AD40">
        <v>5595.5708422776697</v>
      </c>
      <c r="AE40">
        <v>5037.0480594994897</v>
      </c>
    </row>
    <row r="41" spans="1:31" x14ac:dyDescent="0.3">
      <c r="A41" t="s">
        <v>297</v>
      </c>
      <c r="B41" t="s">
        <v>200</v>
      </c>
      <c r="C41" t="s">
        <v>0</v>
      </c>
      <c r="D41" t="s">
        <v>201</v>
      </c>
      <c r="E41" t="s">
        <v>123</v>
      </c>
      <c r="F41">
        <v>78.188910456005502</v>
      </c>
      <c r="G41">
        <v>75.666687538069795</v>
      </c>
      <c r="H41">
        <v>106.198859702554</v>
      </c>
      <c r="I41">
        <v>120.17239387394299</v>
      </c>
      <c r="J41">
        <v>128.55651437677599</v>
      </c>
      <c r="K41">
        <v>165.87937338938801</v>
      </c>
      <c r="L41">
        <v>149.69601988798499</v>
      </c>
      <c r="M41">
        <v>166.32891098664999</v>
      </c>
      <c r="N41">
        <v>205.99195899115799</v>
      </c>
      <c r="O41">
        <v>204.720403688744</v>
      </c>
      <c r="P41">
        <v>276.68272740963602</v>
      </c>
      <c r="Q41">
        <v>286.10171387464499</v>
      </c>
      <c r="R41">
        <v>256.93055873448498</v>
      </c>
      <c r="S41">
        <v>230.27801114792001</v>
      </c>
      <c r="T41">
        <v>180.57042283845701</v>
      </c>
      <c r="U41">
        <v>263.673856076611</v>
      </c>
      <c r="V41">
        <v>306.57317393034498</v>
      </c>
      <c r="W41">
        <v>281.88271696951199</v>
      </c>
      <c r="X41">
        <v>299.74852297462098</v>
      </c>
      <c r="Y41">
        <v>378.83526682134601</v>
      </c>
      <c r="Z41">
        <v>423</v>
      </c>
      <c r="AA41">
        <v>432</v>
      </c>
      <c r="AB41">
        <v>410.803738317757</v>
      </c>
      <c r="AC41">
        <v>391.14805705853399</v>
      </c>
      <c r="AD41">
        <v>381.63107270187902</v>
      </c>
      <c r="AE41">
        <v>359.34604655870299</v>
      </c>
    </row>
    <row r="42" spans="1:31" x14ac:dyDescent="0.3">
      <c r="A42" t="s">
        <v>297</v>
      </c>
      <c r="B42" t="s">
        <v>202</v>
      </c>
      <c r="C42" t="s">
        <v>0</v>
      </c>
      <c r="D42" t="s">
        <v>203</v>
      </c>
      <c r="E42" t="s">
        <v>123</v>
      </c>
      <c r="F42">
        <v>7.1099551847755302</v>
      </c>
      <c r="G42">
        <v>16.589895431142899</v>
      </c>
      <c r="H42">
        <v>33.179790862285799</v>
      </c>
      <c r="I42">
        <v>39.104753516265397</v>
      </c>
      <c r="J42">
        <v>40.2897460470613</v>
      </c>
      <c r="K42">
        <v>49.769686293428698</v>
      </c>
      <c r="L42">
        <v>30.809805800694001</v>
      </c>
      <c r="M42">
        <v>37.919760985469502</v>
      </c>
      <c r="N42">
        <v>31.9947983314899</v>
      </c>
      <c r="O42">
        <v>28.4398207391021</v>
      </c>
      <c r="P42">
        <v>50.954678824224601</v>
      </c>
      <c r="Q42">
        <v>45.164374412380901</v>
      </c>
      <c r="R42">
        <v>89.199639464452304</v>
      </c>
      <c r="S42">
        <v>59.108194825841899</v>
      </c>
      <c r="T42">
        <v>50.955340367105102</v>
      </c>
      <c r="U42">
        <v>121.27371007371001</v>
      </c>
      <c r="V42">
        <v>119.108108108108</v>
      </c>
      <c r="W42">
        <v>39</v>
      </c>
      <c r="X42">
        <v>-9</v>
      </c>
      <c r="Y42">
        <v>42</v>
      </c>
      <c r="Z42">
        <v>76</v>
      </c>
      <c r="AA42">
        <v>37</v>
      </c>
      <c r="AB42">
        <v>72</v>
      </c>
      <c r="AC42">
        <v>89.753424657534296</v>
      </c>
      <c r="AD42">
        <v>120.930930064888</v>
      </c>
      <c r="AE42">
        <v>88.197745987174102</v>
      </c>
    </row>
    <row r="43" spans="1:31" x14ac:dyDescent="0.3">
      <c r="A43" t="s">
        <v>297</v>
      </c>
      <c r="B43" t="s">
        <v>204</v>
      </c>
      <c r="C43" t="s">
        <v>0</v>
      </c>
      <c r="D43" t="s">
        <v>205</v>
      </c>
      <c r="E43" t="s">
        <v>123</v>
      </c>
      <c r="F43">
        <v>61.680797305294398</v>
      </c>
      <c r="G43">
        <v>98.426804210576094</v>
      </c>
      <c r="H43">
        <v>62.993154694768698</v>
      </c>
      <c r="I43">
        <v>101.05151898952499</v>
      </c>
      <c r="J43">
        <v>97.1649221053123</v>
      </c>
      <c r="K43">
        <v>132.497621052699</v>
      </c>
      <c r="L43">
        <v>121.24782303879</v>
      </c>
      <c r="M43">
        <v>127.191343775986</v>
      </c>
      <c r="N43">
        <v>120.05911889135101</v>
      </c>
      <c r="O43">
        <v>108.17207741695999</v>
      </c>
      <c r="P43">
        <v>101.11737671585399</v>
      </c>
      <c r="Q43">
        <v>90.775826824459699</v>
      </c>
      <c r="R43">
        <v>145.68959860715799</v>
      </c>
      <c r="S43">
        <v>136.118749063622</v>
      </c>
      <c r="T43">
        <v>124.01930470241101</v>
      </c>
      <c r="U43">
        <v>242.997174254317</v>
      </c>
      <c r="V43">
        <v>193.97142857142899</v>
      </c>
      <c r="W43">
        <v>73</v>
      </c>
      <c r="X43">
        <v>51</v>
      </c>
      <c r="Y43">
        <v>49</v>
      </c>
      <c r="Z43">
        <v>141</v>
      </c>
      <c r="AA43">
        <v>91</v>
      </c>
      <c r="AB43">
        <v>123</v>
      </c>
      <c r="AC43">
        <v>194.41935483871001</v>
      </c>
      <c r="AD43">
        <v>203.94971537001899</v>
      </c>
      <c r="AE43">
        <v>171.025097642124</v>
      </c>
    </row>
    <row r="44" spans="1:31" x14ac:dyDescent="0.3">
      <c r="A44" t="s">
        <v>297</v>
      </c>
      <c r="B44" t="s">
        <v>206</v>
      </c>
      <c r="C44" t="s">
        <v>0</v>
      </c>
      <c r="D44" t="s">
        <v>207</v>
      </c>
      <c r="E44" t="s">
        <v>123</v>
      </c>
      <c r="F44">
        <v>4013.0706729467502</v>
      </c>
      <c r="G44">
        <v>4469.6381484879703</v>
      </c>
      <c r="H44">
        <v>4676.5365928172696</v>
      </c>
      <c r="I44">
        <v>5077.5158021714897</v>
      </c>
      <c r="J44">
        <v>4993.8037610685396</v>
      </c>
      <c r="K44">
        <v>5049.8145470545496</v>
      </c>
      <c r="L44">
        <v>4814.1470703013701</v>
      </c>
      <c r="M44">
        <v>4897.36128715838</v>
      </c>
      <c r="N44">
        <v>4653.3067379644399</v>
      </c>
      <c r="O44">
        <v>4405.0767072483504</v>
      </c>
      <c r="P44">
        <v>4138.3400945209296</v>
      </c>
      <c r="Q44">
        <v>4408.1227265166899</v>
      </c>
      <c r="R44">
        <v>5259.5283673836202</v>
      </c>
      <c r="S44">
        <v>5406.6244852587797</v>
      </c>
      <c r="T44">
        <v>4775.9934231505104</v>
      </c>
      <c r="U44">
        <v>4659.60994827383</v>
      </c>
      <c r="V44">
        <v>4676.0170255564799</v>
      </c>
      <c r="W44">
        <v>4332.0365970128296</v>
      </c>
      <c r="X44">
        <v>4381.4016652113496</v>
      </c>
      <c r="Y44">
        <v>4792.46910903967</v>
      </c>
      <c r="Z44">
        <v>4580</v>
      </c>
      <c r="AA44">
        <v>5525</v>
      </c>
      <c r="AB44">
        <v>5675.4282365668896</v>
      </c>
      <c r="AC44">
        <v>5841.0630520546802</v>
      </c>
      <c r="AD44">
        <v>5506.4824492338503</v>
      </c>
      <c r="AE44">
        <v>5878.9851488264203</v>
      </c>
    </row>
    <row r="45" spans="1:31" x14ac:dyDescent="0.3">
      <c r="A45" t="s">
        <v>297</v>
      </c>
      <c r="B45" t="s">
        <v>208</v>
      </c>
      <c r="C45" t="s">
        <v>0</v>
      </c>
      <c r="D45" t="s">
        <v>209</v>
      </c>
      <c r="E45" t="s">
        <v>123</v>
      </c>
      <c r="F45">
        <v>3414.7457628889601</v>
      </c>
      <c r="G45">
        <v>3761.4445677441699</v>
      </c>
      <c r="H45">
        <v>3783.6640715198801</v>
      </c>
      <c r="I45">
        <v>4082.0850651225201</v>
      </c>
      <c r="J45">
        <v>3986.9387214993699</v>
      </c>
      <c r="K45">
        <v>4083.0629859272099</v>
      </c>
      <c r="L45">
        <v>3779.5054236226702</v>
      </c>
      <c r="M45">
        <v>3884.4159923389502</v>
      </c>
      <c r="N45">
        <v>3701.0606920012701</v>
      </c>
      <c r="O45">
        <v>3550.2717514759302</v>
      </c>
      <c r="P45">
        <v>3176.4899084132699</v>
      </c>
      <c r="Q45">
        <v>3433.8734780673099</v>
      </c>
      <c r="R45">
        <v>4204.4246045682503</v>
      </c>
      <c r="S45">
        <v>4399.7429334056096</v>
      </c>
      <c r="T45">
        <v>3815.4434982871499</v>
      </c>
      <c r="U45">
        <v>3740.2940765426101</v>
      </c>
      <c r="V45">
        <v>3756.7953739391201</v>
      </c>
      <c r="W45">
        <v>3425.6879850495702</v>
      </c>
      <c r="X45">
        <v>3422.6626497669199</v>
      </c>
      <c r="Y45">
        <v>3844.5118050266601</v>
      </c>
      <c r="Z45">
        <v>3907</v>
      </c>
      <c r="AA45">
        <v>4738</v>
      </c>
      <c r="AB45">
        <v>4842.7567909033496</v>
      </c>
      <c r="AC45">
        <v>5055.1327676518804</v>
      </c>
      <c r="AD45">
        <v>4672.0823936939296</v>
      </c>
      <c r="AE45">
        <v>5016.6393307875596</v>
      </c>
    </row>
    <row r="46" spans="1:31" x14ac:dyDescent="0.3">
      <c r="A46" t="s">
        <v>297</v>
      </c>
      <c r="B46" t="s">
        <v>210</v>
      </c>
      <c r="C46" t="s">
        <v>0</v>
      </c>
      <c r="D46" t="s">
        <v>211</v>
      </c>
      <c r="E46" t="s">
        <v>123</v>
      </c>
      <c r="F46">
        <v>56.469001103923901</v>
      </c>
      <c r="G46">
        <v>84.014855300959994</v>
      </c>
      <c r="H46">
        <v>27.5458541970361</v>
      </c>
      <c r="I46">
        <v>60.600879233479297</v>
      </c>
      <c r="J46">
        <v>55.214134412725599</v>
      </c>
      <c r="K46">
        <v>80.895127162830605</v>
      </c>
      <c r="L46">
        <v>89.743031696265106</v>
      </c>
      <c r="M46">
        <v>88.562202331840595</v>
      </c>
      <c r="N46">
        <v>87.381372967416098</v>
      </c>
      <c r="O46">
        <v>79.115567416444307</v>
      </c>
      <c r="P46">
        <v>50.028961748633897</v>
      </c>
      <c r="Q46">
        <v>45.480874316939897</v>
      </c>
      <c r="R46">
        <v>56.573770491803302</v>
      </c>
      <c r="S46">
        <v>76.479356405585904</v>
      </c>
      <c r="T46">
        <v>72.506402826075004</v>
      </c>
      <c r="U46">
        <v>121.175084175084</v>
      </c>
      <c r="V46">
        <v>75.212121212121204</v>
      </c>
      <c r="W46">
        <v>34</v>
      </c>
      <c r="X46">
        <v>60</v>
      </c>
      <c r="Y46">
        <v>7</v>
      </c>
      <c r="Z46">
        <v>65</v>
      </c>
      <c r="AA46">
        <v>54</v>
      </c>
      <c r="AB46">
        <v>51</v>
      </c>
      <c r="AC46">
        <v>105</v>
      </c>
      <c r="AD46">
        <v>82.844036697247702</v>
      </c>
      <c r="AE46">
        <v>82.844036697247702</v>
      </c>
    </row>
    <row r="47" spans="1:31" x14ac:dyDescent="0.3">
      <c r="A47" t="s">
        <v>297</v>
      </c>
      <c r="B47" t="s">
        <v>212</v>
      </c>
      <c r="C47" t="s">
        <v>0</v>
      </c>
      <c r="D47" t="s">
        <v>213</v>
      </c>
      <c r="E47" t="s">
        <v>123</v>
      </c>
      <c r="F47">
        <v>1965.01647060246</v>
      </c>
      <c r="G47">
        <v>1994.2168901830901</v>
      </c>
      <c r="H47">
        <v>2257.4741673168401</v>
      </c>
      <c r="I47">
        <v>2398.9874733277502</v>
      </c>
      <c r="J47">
        <v>2435.6641407448501</v>
      </c>
      <c r="K47">
        <v>2289.81598860444</v>
      </c>
      <c r="L47">
        <v>2211.1228515297598</v>
      </c>
      <c r="M47">
        <v>2388.4856471070102</v>
      </c>
      <c r="N47">
        <v>2495.52030164281</v>
      </c>
      <c r="O47">
        <v>2603.3336787299099</v>
      </c>
      <c r="P47">
        <v>2571.3653527230799</v>
      </c>
      <c r="Q47">
        <v>2412.3937698653999</v>
      </c>
      <c r="R47">
        <v>2203.43642569137</v>
      </c>
      <c r="S47">
        <v>2433.7689800569801</v>
      </c>
      <c r="T47">
        <v>2499.1050600584999</v>
      </c>
      <c r="U47">
        <v>2448.2383198980201</v>
      </c>
      <c r="V47">
        <v>2269.6867108853298</v>
      </c>
      <c r="W47">
        <v>2446.7618558373701</v>
      </c>
      <c r="X47">
        <v>2499.6702109411599</v>
      </c>
      <c r="Y47">
        <v>2809.6686819830702</v>
      </c>
      <c r="Z47">
        <v>2428</v>
      </c>
      <c r="AA47">
        <v>2578</v>
      </c>
      <c r="AB47">
        <v>2533.14748912614</v>
      </c>
      <c r="AC47">
        <v>2637.9946714171801</v>
      </c>
      <c r="AD47">
        <v>2532.3211776604899</v>
      </c>
      <c r="AE47">
        <v>2935.04041150072</v>
      </c>
    </row>
    <row r="48" spans="1:31" x14ac:dyDescent="0.3">
      <c r="A48" t="s">
        <v>297</v>
      </c>
      <c r="B48" t="s">
        <v>214</v>
      </c>
      <c r="C48" t="s">
        <v>0</v>
      </c>
      <c r="D48" t="s">
        <v>215</v>
      </c>
      <c r="E48" t="s">
        <v>123</v>
      </c>
      <c r="F48">
        <v>2897.0805969630201</v>
      </c>
      <c r="G48">
        <v>3048.3599318970801</v>
      </c>
      <c r="H48">
        <v>3425.52712218536</v>
      </c>
      <c r="I48">
        <v>3495.0399425034202</v>
      </c>
      <c r="J48">
        <v>3423.6154205176499</v>
      </c>
      <c r="K48">
        <v>3324.13620624244</v>
      </c>
      <c r="L48">
        <v>3426.7782593685902</v>
      </c>
      <c r="M48">
        <v>3783.5310997095198</v>
      </c>
      <c r="N48">
        <v>3988.1591613935898</v>
      </c>
      <c r="O48">
        <v>4033.6357516928301</v>
      </c>
      <c r="P48">
        <v>3795.6552532502301</v>
      </c>
      <c r="Q48">
        <v>3763.80181876508</v>
      </c>
      <c r="R48">
        <v>3617.1759269200802</v>
      </c>
      <c r="S48">
        <v>3951.4889487731102</v>
      </c>
      <c r="T48">
        <v>4011.0217389617801</v>
      </c>
      <c r="U48">
        <v>4035.8277351962902</v>
      </c>
      <c r="V48">
        <v>3912.49548244268</v>
      </c>
      <c r="W48">
        <v>3994.0941152021801</v>
      </c>
      <c r="X48">
        <v>4134.7526107717504</v>
      </c>
      <c r="Y48">
        <v>4463.7437439845999</v>
      </c>
      <c r="Z48">
        <v>4107</v>
      </c>
      <c r="AA48">
        <v>4492</v>
      </c>
      <c r="AB48">
        <v>4550.0775746767704</v>
      </c>
      <c r="AC48">
        <v>4611.4597775043203</v>
      </c>
      <c r="AD48">
        <v>4750.0864824722403</v>
      </c>
      <c r="AE48">
        <v>5278.8886500075996</v>
      </c>
    </row>
    <row r="49" spans="1:31" x14ac:dyDescent="0.3">
      <c r="A49" t="s">
        <v>297</v>
      </c>
      <c r="B49" t="s">
        <v>216</v>
      </c>
      <c r="C49" t="s">
        <v>0</v>
      </c>
      <c r="D49" t="s">
        <v>217</v>
      </c>
      <c r="E49" t="s">
        <v>123</v>
      </c>
      <c r="F49">
        <v>521.869619104609</v>
      </c>
      <c r="G49">
        <v>574.50776512380605</v>
      </c>
      <c r="H49">
        <v>676.06982386600896</v>
      </c>
      <c r="I49">
        <v>673.01068439150299</v>
      </c>
      <c r="J49">
        <v>557.89043574558798</v>
      </c>
      <c r="K49">
        <v>543.908219310861</v>
      </c>
      <c r="L49">
        <v>628.00375446615601</v>
      </c>
      <c r="M49">
        <v>726.08953356127597</v>
      </c>
      <c r="N49">
        <v>819.90287152583096</v>
      </c>
      <c r="O49">
        <v>800.53508715907901</v>
      </c>
      <c r="P49">
        <v>648.23202812409704</v>
      </c>
      <c r="Q49">
        <v>642.22987971554005</v>
      </c>
      <c r="R49">
        <v>660.71131510303803</v>
      </c>
      <c r="S49">
        <v>705.11978054438998</v>
      </c>
      <c r="T49">
        <v>613.77238539380596</v>
      </c>
      <c r="U49">
        <v>765.65504347430794</v>
      </c>
      <c r="V49">
        <v>806.77149718773205</v>
      </c>
      <c r="W49">
        <v>595.83663134619599</v>
      </c>
      <c r="X49">
        <v>640.24040109989801</v>
      </c>
      <c r="Y49">
        <v>672.50448430493304</v>
      </c>
      <c r="Z49">
        <v>894</v>
      </c>
      <c r="AA49">
        <v>897</v>
      </c>
      <c r="AB49">
        <v>824.53493449781695</v>
      </c>
      <c r="AC49">
        <v>848.42065102440404</v>
      </c>
      <c r="AD49">
        <v>1028.0536878862499</v>
      </c>
      <c r="AE49">
        <v>1129.89333587498</v>
      </c>
    </row>
    <row r="50" spans="1:31" x14ac:dyDescent="0.3">
      <c r="A50" t="s">
        <v>297</v>
      </c>
      <c r="B50" t="s">
        <v>218</v>
      </c>
      <c r="C50" t="s">
        <v>0</v>
      </c>
      <c r="D50" t="s">
        <v>219</v>
      </c>
      <c r="E50" t="s">
        <v>123</v>
      </c>
      <c r="F50">
        <v>436.15223405098698</v>
      </c>
      <c r="G50">
        <v>497.81513610647198</v>
      </c>
      <c r="H50">
        <v>514.45941117386201</v>
      </c>
      <c r="I50">
        <v>454.92256537035797</v>
      </c>
      <c r="J50">
        <v>471.22272243574599</v>
      </c>
      <c r="K50">
        <v>520.45494716783901</v>
      </c>
      <c r="L50">
        <v>600.83935000266194</v>
      </c>
      <c r="M50">
        <v>676.26386415193201</v>
      </c>
      <c r="N50">
        <v>677.55444404535206</v>
      </c>
      <c r="O50">
        <v>642.57553393211197</v>
      </c>
      <c r="P50">
        <v>599.56851000752204</v>
      </c>
      <c r="Q50">
        <v>719.96379314156195</v>
      </c>
      <c r="R50">
        <v>754.68873493295598</v>
      </c>
      <c r="S50">
        <v>816.49513994901702</v>
      </c>
      <c r="T50">
        <v>903.79336245928903</v>
      </c>
      <c r="U50">
        <v>823.71040629201002</v>
      </c>
      <c r="V50">
        <v>839.27308603302004</v>
      </c>
      <c r="W50">
        <v>949.21677175200205</v>
      </c>
      <c r="X50">
        <v>993.63061417347797</v>
      </c>
      <c r="Y50">
        <v>977.49042145593899</v>
      </c>
      <c r="Z50">
        <v>785</v>
      </c>
      <c r="AA50">
        <v>1017</v>
      </c>
      <c r="AB50">
        <v>1188.94236311239</v>
      </c>
      <c r="AC50">
        <v>1124.0562630388399</v>
      </c>
      <c r="AD50">
        <v>1181.0403090800601</v>
      </c>
      <c r="AE50">
        <v>1212.6517969067399</v>
      </c>
    </row>
    <row r="51" spans="1:31" x14ac:dyDescent="0.3">
      <c r="A51" t="s">
        <v>297</v>
      </c>
      <c r="B51" t="s">
        <v>220</v>
      </c>
      <c r="C51" t="s">
        <v>0</v>
      </c>
      <c r="D51" t="s">
        <v>221</v>
      </c>
      <c r="E51" t="s">
        <v>123</v>
      </c>
      <c r="F51">
        <v>245.20826110654099</v>
      </c>
      <c r="G51">
        <v>251.30039181726301</v>
      </c>
      <c r="H51">
        <v>278.88214213867002</v>
      </c>
      <c r="I51">
        <v>224.95465608975601</v>
      </c>
      <c r="J51">
        <v>223.45495838249099</v>
      </c>
      <c r="K51">
        <v>249.07399819704401</v>
      </c>
      <c r="L51">
        <v>310.998472886917</v>
      </c>
      <c r="M51">
        <v>400.41053384190502</v>
      </c>
      <c r="N51">
        <v>369.10808168488302</v>
      </c>
      <c r="O51">
        <v>350.78356699130802</v>
      </c>
      <c r="P51">
        <v>338.02780091889599</v>
      </c>
      <c r="Q51">
        <v>441.01118112716199</v>
      </c>
      <c r="R51">
        <v>388.64837598013798</v>
      </c>
      <c r="S51">
        <v>415.86464880787901</v>
      </c>
      <c r="T51">
        <v>514.68397129687901</v>
      </c>
      <c r="U51">
        <v>459.46484077312499</v>
      </c>
      <c r="V51">
        <v>477.26493145683003</v>
      </c>
      <c r="W51">
        <v>561.16767054855598</v>
      </c>
      <c r="X51">
        <v>601.47253086419801</v>
      </c>
      <c r="Y51">
        <v>581.28888888888901</v>
      </c>
      <c r="Z51">
        <v>451</v>
      </c>
      <c r="AA51">
        <v>629</v>
      </c>
      <c r="AB51">
        <v>792.11024844720498</v>
      </c>
      <c r="AC51">
        <v>768.25150602409599</v>
      </c>
      <c r="AD51">
        <v>811.49440516557195</v>
      </c>
      <c r="AE51">
        <v>828.199057059555</v>
      </c>
    </row>
    <row r="52" spans="1:31" x14ac:dyDescent="0.3">
      <c r="A52" t="s">
        <v>297</v>
      </c>
      <c r="B52" t="s">
        <v>222</v>
      </c>
      <c r="C52" t="s">
        <v>0</v>
      </c>
      <c r="D52" t="s">
        <v>223</v>
      </c>
      <c r="E52" t="s">
        <v>123</v>
      </c>
      <c r="F52">
        <v>190.822763328495</v>
      </c>
      <c r="G52">
        <v>245.554873740544</v>
      </c>
      <c r="H52">
        <v>235.13739424852099</v>
      </c>
      <c r="I52">
        <v>229.10823029343001</v>
      </c>
      <c r="J52">
        <v>246.61968738592199</v>
      </c>
      <c r="K52">
        <v>270.173253035139</v>
      </c>
      <c r="L52">
        <v>288.99129055997503</v>
      </c>
      <c r="M52">
        <v>276.42645183997598</v>
      </c>
      <c r="N52">
        <v>308.27281725932801</v>
      </c>
      <c r="O52">
        <v>291.64399309181198</v>
      </c>
      <c r="P52">
        <v>261.60341011239802</v>
      </c>
      <c r="Q52">
        <v>279.52145190091801</v>
      </c>
      <c r="R52">
        <v>365.79350495675698</v>
      </c>
      <c r="S52">
        <v>400.32268536565499</v>
      </c>
      <c r="T52">
        <v>389.06041032979198</v>
      </c>
      <c r="U52">
        <v>364.16054406868602</v>
      </c>
      <c r="V52">
        <v>361.94005294631597</v>
      </c>
      <c r="W52">
        <v>388.02582252803199</v>
      </c>
      <c r="X52">
        <v>392.153756810245</v>
      </c>
      <c r="Y52">
        <v>396.18618618618598</v>
      </c>
      <c r="Z52">
        <v>334</v>
      </c>
      <c r="AA52">
        <v>388</v>
      </c>
      <c r="AB52">
        <v>396.79596977329999</v>
      </c>
      <c r="AC52">
        <v>355.78100174384798</v>
      </c>
      <c r="AD52">
        <v>369.53542191435798</v>
      </c>
      <c r="AE52">
        <v>384.421919953562</v>
      </c>
    </row>
    <row r="53" spans="1:31" x14ac:dyDescent="0.3">
      <c r="A53" t="s">
        <v>297</v>
      </c>
      <c r="B53" t="s">
        <v>224</v>
      </c>
      <c r="C53" t="s">
        <v>0</v>
      </c>
      <c r="D53" t="s">
        <v>225</v>
      </c>
      <c r="E53" t="s">
        <v>123</v>
      </c>
      <c r="F53">
        <v>307.48790648655302</v>
      </c>
      <c r="G53">
        <v>369.302485625602</v>
      </c>
      <c r="H53">
        <v>404.32254891768503</v>
      </c>
      <c r="I53">
        <v>369.576079870071</v>
      </c>
      <c r="J53">
        <v>337.23817288143999</v>
      </c>
      <c r="K53">
        <v>338.71728767477998</v>
      </c>
      <c r="L53">
        <v>315.94637757899602</v>
      </c>
      <c r="M53">
        <v>348.49021046267001</v>
      </c>
      <c r="N53">
        <v>416.28986230365598</v>
      </c>
      <c r="O53">
        <v>351.62347592638901</v>
      </c>
      <c r="P53">
        <v>310.95061117371</v>
      </c>
      <c r="Q53">
        <v>340.92175441936803</v>
      </c>
      <c r="R53">
        <v>380.39690493108498</v>
      </c>
      <c r="S53">
        <v>340.88980797978502</v>
      </c>
      <c r="T53">
        <v>330.33594395564302</v>
      </c>
      <c r="U53">
        <v>322.85260541943097</v>
      </c>
      <c r="V53">
        <v>318.445061318142</v>
      </c>
      <c r="W53">
        <v>379.15197936206903</v>
      </c>
      <c r="X53">
        <v>357.86269709842298</v>
      </c>
      <c r="Y53">
        <v>321.97674418604697</v>
      </c>
      <c r="Z53">
        <v>426</v>
      </c>
      <c r="AA53">
        <v>453</v>
      </c>
      <c r="AB53">
        <v>500.89427312775302</v>
      </c>
      <c r="AC53">
        <v>625.38838373037902</v>
      </c>
      <c r="AD53">
        <v>605.63927687573596</v>
      </c>
      <c r="AE53">
        <v>552.06698701716198</v>
      </c>
    </row>
    <row r="54" spans="1:31" x14ac:dyDescent="0.3">
      <c r="A54" t="s">
        <v>297</v>
      </c>
      <c r="B54" t="s">
        <v>226</v>
      </c>
      <c r="C54" t="s">
        <v>0</v>
      </c>
      <c r="D54" t="s">
        <v>227</v>
      </c>
      <c r="E54" t="s">
        <v>123</v>
      </c>
      <c r="F54">
        <v>369.37198982480601</v>
      </c>
      <c r="G54">
        <v>442.33435818526198</v>
      </c>
      <c r="H54">
        <v>509.44715735819801</v>
      </c>
      <c r="I54">
        <v>500.322730659245</v>
      </c>
      <c r="J54">
        <v>497.36224112871702</v>
      </c>
      <c r="K54">
        <v>447.76771566004197</v>
      </c>
      <c r="L54">
        <v>423.11995149526899</v>
      </c>
      <c r="M54">
        <v>440.09698658612803</v>
      </c>
      <c r="N54">
        <v>537.02310863188302</v>
      </c>
      <c r="O54">
        <v>512.19722283138196</v>
      </c>
      <c r="P54">
        <v>447.21697814381798</v>
      </c>
      <c r="Q54">
        <v>454.50855930920699</v>
      </c>
      <c r="R54">
        <v>498.90785302064597</v>
      </c>
      <c r="S54">
        <v>491.19846014836202</v>
      </c>
      <c r="T54">
        <v>475.58833959280003</v>
      </c>
      <c r="U54">
        <v>500.84081780126701</v>
      </c>
      <c r="V54">
        <v>451.52388825847299</v>
      </c>
      <c r="W54">
        <v>510.09420395237902</v>
      </c>
      <c r="X54">
        <v>481.64273440921801</v>
      </c>
      <c r="Y54">
        <v>442.67164179104498</v>
      </c>
      <c r="Z54">
        <v>532</v>
      </c>
      <c r="AA54">
        <v>556</v>
      </c>
      <c r="AB54">
        <v>594.79069767441899</v>
      </c>
      <c r="AC54">
        <v>713.16666034371599</v>
      </c>
      <c r="AD54">
        <v>690.64560791180895</v>
      </c>
      <c r="AE54">
        <v>648.04673183325895</v>
      </c>
    </row>
    <row r="55" spans="1:31" x14ac:dyDescent="0.3">
      <c r="A55" t="s">
        <v>297</v>
      </c>
      <c r="B55" t="s">
        <v>228</v>
      </c>
      <c r="C55" t="s">
        <v>0</v>
      </c>
      <c r="D55" t="s">
        <v>229</v>
      </c>
      <c r="E55" t="s">
        <v>123</v>
      </c>
      <c r="F55">
        <v>67.451632583396005</v>
      </c>
      <c r="G55">
        <v>79.840707955856502</v>
      </c>
      <c r="H55">
        <v>110.125114421871</v>
      </c>
      <c r="I55">
        <v>132.42893506427501</v>
      </c>
      <c r="J55">
        <v>158.10393267877799</v>
      </c>
      <c r="K55">
        <v>111.82961091913501</v>
      </c>
      <c r="L55">
        <v>109.31658595466</v>
      </c>
      <c r="M55">
        <v>96.102493146954203</v>
      </c>
      <c r="N55">
        <v>125.298187267548</v>
      </c>
      <c r="O55">
        <v>160.92218168675299</v>
      </c>
      <c r="P55">
        <v>136.90394561410301</v>
      </c>
      <c r="Q55">
        <v>116.195785773314</v>
      </c>
      <c r="R55">
        <v>121.782121627801</v>
      </c>
      <c r="S55">
        <v>151.17780615864899</v>
      </c>
      <c r="T55">
        <v>146.10472541506999</v>
      </c>
      <c r="U55">
        <v>177.777777777778</v>
      </c>
      <c r="V55">
        <v>133.333333333333</v>
      </c>
      <c r="W55">
        <v>131.19999999999999</v>
      </c>
      <c r="X55">
        <v>124.02500000000001</v>
      </c>
      <c r="Y55">
        <v>121</v>
      </c>
      <c r="Z55">
        <v>106</v>
      </c>
      <c r="AA55">
        <v>103</v>
      </c>
      <c r="AB55">
        <v>94.171428571428606</v>
      </c>
      <c r="AC55">
        <v>88.405830903790104</v>
      </c>
      <c r="AD55">
        <v>85.614067822617798</v>
      </c>
      <c r="AE55">
        <v>96.428476389685301</v>
      </c>
    </row>
    <row r="56" spans="1:31" x14ac:dyDescent="0.3">
      <c r="A56" t="s">
        <v>297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297</v>
      </c>
      <c r="B57" t="s">
        <v>232</v>
      </c>
      <c r="C57" t="s">
        <v>0</v>
      </c>
      <c r="D57" t="s">
        <v>233</v>
      </c>
      <c r="E57" t="s">
        <v>123</v>
      </c>
      <c r="F57">
        <v>7438.6581625897898</v>
      </c>
      <c r="G57">
        <v>8771.7510232689601</v>
      </c>
      <c r="H57">
        <v>9077.3759691228006</v>
      </c>
      <c r="I57">
        <v>10428.5288720551</v>
      </c>
      <c r="J57">
        <v>10715.202863566499</v>
      </c>
      <c r="K57">
        <v>11884.2674333492</v>
      </c>
      <c r="L57">
        <v>12698.3164334216</v>
      </c>
      <c r="M57">
        <v>12494.4351512964</v>
      </c>
      <c r="N57">
        <v>11916.9217561488</v>
      </c>
      <c r="O57">
        <v>12185.3630060632</v>
      </c>
      <c r="P57">
        <v>12471.4349152868</v>
      </c>
      <c r="Q57">
        <v>12727.0937462698</v>
      </c>
      <c r="R57">
        <v>15133.671472837201</v>
      </c>
      <c r="S57">
        <v>16120.988815909201</v>
      </c>
      <c r="T57">
        <v>13512.4553886267</v>
      </c>
      <c r="U57">
        <v>12974.973867783599</v>
      </c>
      <c r="V57">
        <v>13489.3467706915</v>
      </c>
      <c r="W57">
        <v>13216.8239195961</v>
      </c>
      <c r="X57">
        <v>12943.987941208299</v>
      </c>
      <c r="Y57">
        <v>12949.973139084899</v>
      </c>
      <c r="Z57">
        <v>13084</v>
      </c>
      <c r="AA57">
        <v>14353</v>
      </c>
      <c r="AB57">
        <v>14937.318288637</v>
      </c>
      <c r="AC57">
        <v>15664.9074387336</v>
      </c>
      <c r="AD57">
        <v>15875.2371132318</v>
      </c>
      <c r="AE57">
        <v>16179.514728570801</v>
      </c>
    </row>
    <row r="58" spans="1:31" x14ac:dyDescent="0.3">
      <c r="A58" t="s">
        <v>297</v>
      </c>
      <c r="B58" t="s">
        <v>234</v>
      </c>
      <c r="C58" t="s">
        <v>0</v>
      </c>
      <c r="D58" t="s">
        <v>235</v>
      </c>
      <c r="E58" t="s">
        <v>123</v>
      </c>
      <c r="F58">
        <v>7438.6581625897898</v>
      </c>
      <c r="G58">
        <v>8771.7510232689601</v>
      </c>
      <c r="H58">
        <v>9077.3759691228006</v>
      </c>
      <c r="I58">
        <v>10428.5288720551</v>
      </c>
      <c r="J58">
        <v>10715.202863566499</v>
      </c>
      <c r="K58">
        <v>11884.2674333492</v>
      </c>
      <c r="L58">
        <v>12698.3164334216</v>
      </c>
      <c r="M58">
        <v>12494.4351512964</v>
      </c>
      <c r="N58">
        <v>11916.9217561488</v>
      </c>
      <c r="O58">
        <v>12185.3630060632</v>
      </c>
      <c r="P58">
        <v>12471.4349152868</v>
      </c>
      <c r="Q58">
        <v>12727.0937462698</v>
      </c>
      <c r="R58">
        <v>15133.671472837201</v>
      </c>
      <c r="S58">
        <v>16120.988815909201</v>
      </c>
      <c r="T58">
        <v>13512.4553886267</v>
      </c>
      <c r="U58">
        <v>12974.973867783599</v>
      </c>
      <c r="V58">
        <v>13489.3467706915</v>
      </c>
      <c r="W58">
        <v>13216.8239195961</v>
      </c>
      <c r="X58">
        <v>12943.987941208299</v>
      </c>
      <c r="Y58">
        <v>12949.973139084899</v>
      </c>
      <c r="Z58">
        <v>13084</v>
      </c>
      <c r="AA58">
        <v>14353</v>
      </c>
      <c r="AB58">
        <v>14937.318288637</v>
      </c>
      <c r="AC58">
        <v>15664.9074387336</v>
      </c>
      <c r="AD58">
        <v>15875.2371132318</v>
      </c>
      <c r="AE58">
        <v>16179.514728570801</v>
      </c>
    </row>
    <row r="59" spans="1:31" x14ac:dyDescent="0.3">
      <c r="A59" t="s">
        <v>297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298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298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298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298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298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298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298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298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298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298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298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298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298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298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298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298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298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298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298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298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298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298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298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298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298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298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298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298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298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298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298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298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298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298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298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298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298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298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298</v>
      </c>
      <c r="B40" t="s">
        <v>198</v>
      </c>
      <c r="C40" t="s">
        <v>0</v>
      </c>
      <c r="D40" t="s">
        <v>199</v>
      </c>
      <c r="E40" t="s">
        <v>123</v>
      </c>
      <c r="F40">
        <v>7364.7626981572203</v>
      </c>
      <c r="G40">
        <v>7600.5802229750698</v>
      </c>
      <c r="H40">
        <v>8636.4939133958596</v>
      </c>
      <c r="I40">
        <v>9594.6895152875495</v>
      </c>
      <c r="J40">
        <v>10440.2673621348</v>
      </c>
      <c r="K40">
        <v>11075.1484855078</v>
      </c>
      <c r="L40">
        <v>9935.829321059</v>
      </c>
      <c r="M40">
        <v>9893.2969086066805</v>
      </c>
      <c r="N40">
        <v>11010.8340394485</v>
      </c>
      <c r="O40">
        <v>12248.287142412901</v>
      </c>
      <c r="P40">
        <v>12865.642912663399</v>
      </c>
      <c r="Q40">
        <v>13386.5142053255</v>
      </c>
      <c r="R40">
        <v>13462.854214392601</v>
      </c>
      <c r="S40">
        <v>12154.807398277</v>
      </c>
      <c r="T40">
        <v>10647.7705782458</v>
      </c>
      <c r="U40">
        <v>13354.0609060364</v>
      </c>
      <c r="V40">
        <v>14143.353062685699</v>
      </c>
      <c r="W40">
        <v>13935.314773554001</v>
      </c>
      <c r="X40">
        <v>13158.3253969911</v>
      </c>
      <c r="Y40">
        <v>12450.018124006399</v>
      </c>
      <c r="Z40">
        <v>12644</v>
      </c>
      <c r="AA40">
        <v>13995</v>
      </c>
      <c r="AB40">
        <v>14557.0638683587</v>
      </c>
      <c r="AC40">
        <v>15246.300904543799</v>
      </c>
      <c r="AD40">
        <v>14589.835281797899</v>
      </c>
      <c r="AE40">
        <v>14119.195433998</v>
      </c>
    </row>
    <row r="41" spans="1:31" x14ac:dyDescent="0.3">
      <c r="A41" t="s">
        <v>298</v>
      </c>
      <c r="B41" t="s">
        <v>200</v>
      </c>
      <c r="C41" t="s">
        <v>0</v>
      </c>
      <c r="D41" t="s">
        <v>201</v>
      </c>
      <c r="E41" t="s">
        <v>123</v>
      </c>
      <c r="F41">
        <v>5148.0341490173796</v>
      </c>
      <c r="G41">
        <v>5247.06654688241</v>
      </c>
      <c r="H41">
        <v>5891.0927928841602</v>
      </c>
      <c r="I41">
        <v>6835.7704635656901</v>
      </c>
      <c r="J41">
        <v>7734.4256515892203</v>
      </c>
      <c r="K41">
        <v>8042.7652733180003</v>
      </c>
      <c r="L41">
        <v>7160.4649252515601</v>
      </c>
      <c r="M41">
        <v>7263.6416532811199</v>
      </c>
      <c r="N41">
        <v>8274.9681198728395</v>
      </c>
      <c r="O41">
        <v>9387.9447541196405</v>
      </c>
      <c r="P41">
        <v>9954.2261980488893</v>
      </c>
      <c r="Q41">
        <v>10496.118845416901</v>
      </c>
      <c r="R41">
        <v>10623.031164640501</v>
      </c>
      <c r="S41">
        <v>9556.7584704109795</v>
      </c>
      <c r="T41">
        <v>8473.57529069466</v>
      </c>
      <c r="U41">
        <v>10637.962338126201</v>
      </c>
      <c r="V41">
        <v>11266.1001396183</v>
      </c>
      <c r="W41">
        <v>11035.206333235299</v>
      </c>
      <c r="X41">
        <v>10410.2601728302</v>
      </c>
      <c r="Y41">
        <v>9725.2148640232499</v>
      </c>
      <c r="Z41">
        <v>9679</v>
      </c>
      <c r="AA41">
        <v>10675</v>
      </c>
      <c r="AB41">
        <v>11141.591989758601</v>
      </c>
      <c r="AC41">
        <v>11576.072518352101</v>
      </c>
      <c r="AD41">
        <v>11161.9941572933</v>
      </c>
      <c r="AE41">
        <v>10698.7904830631</v>
      </c>
    </row>
    <row r="42" spans="1:31" x14ac:dyDescent="0.3">
      <c r="A42" t="s">
        <v>298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298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298</v>
      </c>
      <c r="B44" t="s">
        <v>206</v>
      </c>
      <c r="C44" t="s">
        <v>0</v>
      </c>
      <c r="D44" t="s">
        <v>207</v>
      </c>
      <c r="E44" t="s">
        <v>123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298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298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298</v>
      </c>
      <c r="B47" t="s">
        <v>212</v>
      </c>
      <c r="C47" t="s">
        <v>0</v>
      </c>
      <c r="D47" t="s">
        <v>213</v>
      </c>
      <c r="E47" t="s">
        <v>123</v>
      </c>
      <c r="F47">
        <v>-40.181796487726601</v>
      </c>
      <c r="G47">
        <v>-91.844106257660698</v>
      </c>
      <c r="H47">
        <v>55.489147530670003</v>
      </c>
      <c r="I47">
        <v>-9.2481912551116707</v>
      </c>
      <c r="J47">
        <v>-1.8496382510223299</v>
      </c>
      <c r="K47">
        <v>-5.5489147530669998</v>
      </c>
      <c r="L47">
        <v>16.646744259201</v>
      </c>
      <c r="M47">
        <v>2.5610375783386199</v>
      </c>
      <c r="N47">
        <v>5.12207515667723</v>
      </c>
      <c r="O47">
        <v>-2.5610375783386199</v>
      </c>
      <c r="P47">
        <v>3.8415563675079301</v>
      </c>
      <c r="Q47">
        <v>-33.293488518402</v>
      </c>
      <c r="R47">
        <v>-32.060396351053797</v>
      </c>
      <c r="S47">
        <v>-19.465240641711201</v>
      </c>
      <c r="T47">
        <v>-18.383838383838398</v>
      </c>
      <c r="U47">
        <v>-11.489898989899</v>
      </c>
      <c r="V47">
        <v>-13.7878787878788</v>
      </c>
      <c r="W47">
        <v>-35</v>
      </c>
      <c r="X47">
        <v>-22</v>
      </c>
      <c r="Y47">
        <v>-17</v>
      </c>
      <c r="Z47">
        <v>-11</v>
      </c>
      <c r="AA47">
        <v>-17</v>
      </c>
      <c r="AB47">
        <v>-4</v>
      </c>
      <c r="AC47">
        <v>-9</v>
      </c>
      <c r="AD47">
        <v>2</v>
      </c>
      <c r="AE47">
        <v>14</v>
      </c>
    </row>
    <row r="48" spans="1:31" x14ac:dyDescent="0.3">
      <c r="A48" t="s">
        <v>298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6.7828703703703699</v>
      </c>
      <c r="K48">
        <v>2.9069444444444401</v>
      </c>
      <c r="L48">
        <v>13.081250000000001</v>
      </c>
      <c r="M48">
        <v>7.8487499999999999</v>
      </c>
      <c r="N48">
        <v>6.5406250000000004</v>
      </c>
      <c r="O48">
        <v>7.8487499999999999</v>
      </c>
      <c r="P48">
        <v>7.8487499999999999</v>
      </c>
      <c r="Q48">
        <v>-28.778749999999999</v>
      </c>
      <c r="R48">
        <v>-25.024999999999999</v>
      </c>
      <c r="S48">
        <v>-6.8250000000000002</v>
      </c>
      <c r="T48">
        <v>-17.0625</v>
      </c>
      <c r="U48">
        <v>-1.21875</v>
      </c>
      <c r="V48">
        <v>-9.75</v>
      </c>
      <c r="W48">
        <v>-26</v>
      </c>
      <c r="X48">
        <v>-15</v>
      </c>
      <c r="Y48">
        <v>-13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298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2</v>
      </c>
      <c r="AB49">
        <v>1</v>
      </c>
      <c r="AC49">
        <v>-1</v>
      </c>
      <c r="AD49">
        <v>1</v>
      </c>
      <c r="AE49">
        <v>1</v>
      </c>
    </row>
    <row r="50" spans="1:31" x14ac:dyDescent="0.3">
      <c r="A50" t="s">
        <v>298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7.6363636363636402</v>
      </c>
      <c r="P50">
        <v>3.2727272727272698</v>
      </c>
      <c r="Q50">
        <v>1.0909090909090899</v>
      </c>
      <c r="R50">
        <v>6.5454545454545503</v>
      </c>
      <c r="S50">
        <v>12</v>
      </c>
      <c r="T50">
        <v>2</v>
      </c>
      <c r="U50">
        <v>9</v>
      </c>
      <c r="V50">
        <v>4</v>
      </c>
      <c r="W50">
        <v>9</v>
      </c>
      <c r="X50">
        <v>7</v>
      </c>
      <c r="Y50">
        <v>4</v>
      </c>
      <c r="Z50">
        <v>12</v>
      </c>
      <c r="AA50">
        <v>15</v>
      </c>
      <c r="AB50">
        <v>8</v>
      </c>
      <c r="AC50">
        <v>6</v>
      </c>
      <c r="AD50">
        <v>8</v>
      </c>
      <c r="AE50">
        <v>8</v>
      </c>
    </row>
    <row r="51" spans="1:31" x14ac:dyDescent="0.3">
      <c r="A51" t="s">
        <v>298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298</v>
      </c>
      <c r="B52" t="s">
        <v>222</v>
      </c>
      <c r="C52" t="s">
        <v>0</v>
      </c>
      <c r="D52" t="s">
        <v>223</v>
      </c>
      <c r="E52" t="s">
        <v>123</v>
      </c>
      <c r="F52">
        <v>13.090909090909101</v>
      </c>
      <c r="G52">
        <v>17.454545454545499</v>
      </c>
      <c r="H52">
        <v>12</v>
      </c>
      <c r="I52">
        <v>5.4545454545454604</v>
      </c>
      <c r="J52">
        <v>8.7272727272727302</v>
      </c>
      <c r="K52">
        <v>7.6363636363636402</v>
      </c>
      <c r="L52">
        <v>5.4545454545454604</v>
      </c>
      <c r="M52">
        <v>9.8181818181818201</v>
      </c>
      <c r="N52">
        <v>4.3636363636363598</v>
      </c>
      <c r="O52">
        <v>7.6363636363636402</v>
      </c>
      <c r="P52">
        <v>5.4545454545454604</v>
      </c>
      <c r="Q52">
        <v>5.4545454545454604</v>
      </c>
      <c r="R52">
        <v>6.5454545454545503</v>
      </c>
      <c r="S52">
        <v>12</v>
      </c>
      <c r="T52">
        <v>2</v>
      </c>
      <c r="U52">
        <v>9</v>
      </c>
      <c r="V52">
        <v>4</v>
      </c>
      <c r="W52">
        <v>8</v>
      </c>
      <c r="X52">
        <v>6</v>
      </c>
      <c r="Y52">
        <v>4</v>
      </c>
      <c r="Z52">
        <v>12</v>
      </c>
      <c r="AA52">
        <v>15</v>
      </c>
      <c r="AB52">
        <v>8</v>
      </c>
      <c r="AC52">
        <v>6</v>
      </c>
      <c r="AD52">
        <v>10</v>
      </c>
      <c r="AE52">
        <v>8</v>
      </c>
    </row>
    <row r="53" spans="1:31" x14ac:dyDescent="0.3">
      <c r="A53" t="s">
        <v>298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298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298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298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298</v>
      </c>
      <c r="B57" t="s">
        <v>232</v>
      </c>
      <c r="C57" t="s">
        <v>0</v>
      </c>
      <c r="D57" t="s">
        <v>233</v>
      </c>
      <c r="E57" t="s">
        <v>123</v>
      </c>
      <c r="F57">
        <v>7353.76408720772</v>
      </c>
      <c r="G57">
        <v>7548.2819447039101</v>
      </c>
      <c r="H57">
        <v>8700.2219111605991</v>
      </c>
      <c r="I57">
        <v>9591.4098149926704</v>
      </c>
      <c r="J57">
        <v>10445.808411616799</v>
      </c>
      <c r="K57">
        <v>11076.270597683801</v>
      </c>
      <c r="L57">
        <v>9946.3675393787707</v>
      </c>
      <c r="M57">
        <v>9899.9734954013693</v>
      </c>
      <c r="N57">
        <v>11018.688926282901</v>
      </c>
      <c r="O57">
        <v>12254.675512286</v>
      </c>
      <c r="P57">
        <v>12871.965167894999</v>
      </c>
      <c r="Q57">
        <v>13358.6432785734</v>
      </c>
      <c r="R57">
        <v>13438.5015416893</v>
      </c>
      <c r="S57">
        <v>12148.096842606201</v>
      </c>
      <c r="T57">
        <v>10631.680682215299</v>
      </c>
      <c r="U57">
        <v>13351.7902362104</v>
      </c>
      <c r="V57">
        <v>14133.1670451641</v>
      </c>
      <c r="W57">
        <v>13908.8826555329</v>
      </c>
      <c r="X57">
        <v>13143.2088159344</v>
      </c>
      <c r="Y57">
        <v>12436.9219767996</v>
      </c>
      <c r="Z57">
        <v>12650</v>
      </c>
      <c r="AA57">
        <v>13996</v>
      </c>
      <c r="AB57">
        <v>14562.943875061001</v>
      </c>
      <c r="AC57">
        <v>15244.637694938699</v>
      </c>
      <c r="AD57">
        <v>14600.842410957899</v>
      </c>
      <c r="AE57">
        <v>14139.717557136</v>
      </c>
    </row>
    <row r="58" spans="1:31" x14ac:dyDescent="0.3">
      <c r="A58" t="s">
        <v>298</v>
      </c>
      <c r="B58" t="s">
        <v>234</v>
      </c>
      <c r="C58" t="s">
        <v>0</v>
      </c>
      <c r="D58" t="s">
        <v>235</v>
      </c>
      <c r="E58" t="s">
        <v>123</v>
      </c>
      <c r="F58">
        <v>7353.76408720772</v>
      </c>
      <c r="G58">
        <v>7548.2819447039101</v>
      </c>
      <c r="H58">
        <v>8700.2219111605991</v>
      </c>
      <c r="I58">
        <v>9591.4098149926704</v>
      </c>
      <c r="J58">
        <v>10445.808411616799</v>
      </c>
      <c r="K58">
        <v>11076.270597683801</v>
      </c>
      <c r="L58">
        <v>9946.3675393787707</v>
      </c>
      <c r="M58">
        <v>9899.9734954013693</v>
      </c>
      <c r="N58">
        <v>11018.688926282901</v>
      </c>
      <c r="O58">
        <v>12254.675512286</v>
      </c>
      <c r="P58">
        <v>12871.965167894999</v>
      </c>
      <c r="Q58">
        <v>13358.6432785734</v>
      </c>
      <c r="R58">
        <v>13438.5015416893</v>
      </c>
      <c r="S58">
        <v>12148.096842606201</v>
      </c>
      <c r="T58">
        <v>10631.680682215299</v>
      </c>
      <c r="U58">
        <v>13351.7902362104</v>
      </c>
      <c r="V58">
        <v>14133.1670451641</v>
      </c>
      <c r="W58">
        <v>13908.8826555329</v>
      </c>
      <c r="X58">
        <v>13143.2088159344</v>
      </c>
      <c r="Y58">
        <v>12436.9219767996</v>
      </c>
      <c r="Z58">
        <v>12650</v>
      </c>
      <c r="AA58">
        <v>13996</v>
      </c>
      <c r="AB58">
        <v>14562.943875061001</v>
      </c>
      <c r="AC58">
        <v>15244.637694938699</v>
      </c>
      <c r="AD58">
        <v>14600.842410957899</v>
      </c>
      <c r="AE58">
        <v>14139.717557136</v>
      </c>
    </row>
    <row r="59" spans="1:31" x14ac:dyDescent="0.3">
      <c r="A59" t="s">
        <v>298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299</v>
      </c>
      <c r="B2" t="s">
        <v>121</v>
      </c>
      <c r="C2" t="s">
        <v>0</v>
      </c>
      <c r="D2" t="s">
        <v>122</v>
      </c>
      <c r="E2" t="s">
        <v>123</v>
      </c>
      <c r="F2">
        <v>90.493931352828298</v>
      </c>
      <c r="G2">
        <v>72.935407358996002</v>
      </c>
      <c r="H2">
        <v>65.641866623096405</v>
      </c>
      <c r="I2">
        <v>69.922857924602695</v>
      </c>
      <c r="J2">
        <v>69.922857924602695</v>
      </c>
      <c r="K2">
        <v>53.202174507849797</v>
      </c>
      <c r="L2">
        <v>62.069203592491498</v>
      </c>
      <c r="M2">
        <v>65.793355808040999</v>
      </c>
      <c r="N2">
        <v>55.349965997240801</v>
      </c>
      <c r="O2">
        <v>61.615999883720903</v>
      </c>
      <c r="P2">
        <v>60.407843023255801</v>
      </c>
      <c r="Q2">
        <v>51.778151162790699</v>
      </c>
      <c r="R2">
        <v>50.601374999999997</v>
      </c>
      <c r="S2">
        <v>50.601374999999997</v>
      </c>
      <c r="T2">
        <v>40.911749999999998</v>
      </c>
      <c r="U2">
        <v>40.911749999999998</v>
      </c>
      <c r="V2">
        <v>34.451999999999998</v>
      </c>
      <c r="W2">
        <v>26.1</v>
      </c>
      <c r="X2">
        <v>26.1</v>
      </c>
      <c r="Y2">
        <v>29</v>
      </c>
      <c r="Z2">
        <v>27</v>
      </c>
      <c r="AA2">
        <v>19</v>
      </c>
      <c r="AB2">
        <v>24</v>
      </c>
      <c r="AC2">
        <v>17</v>
      </c>
      <c r="AD2">
        <v>24.5555555555556</v>
      </c>
      <c r="AE2">
        <v>35.469135802469097</v>
      </c>
    </row>
    <row r="3" spans="1:31" x14ac:dyDescent="0.3">
      <c r="A3" t="s">
        <v>299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299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299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299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299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299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299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299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299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299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299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299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299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299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299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299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299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299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299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299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299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299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299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299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299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299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299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299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299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299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299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299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299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299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299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299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299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299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299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299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299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299</v>
      </c>
      <c r="B44" t="s">
        <v>206</v>
      </c>
      <c r="C44" t="s">
        <v>0</v>
      </c>
      <c r="D44" t="s">
        <v>207</v>
      </c>
      <c r="E44" t="s">
        <v>123</v>
      </c>
      <c r="F44">
        <v>90.102142947593606</v>
      </c>
      <c r="G44">
        <v>74.656061299434697</v>
      </c>
      <c r="H44">
        <v>69.447498883195095</v>
      </c>
      <c r="I44">
        <v>74.894361540700601</v>
      </c>
      <c r="J44">
        <v>74.894361540700601</v>
      </c>
      <c r="K44">
        <v>58.740675718196499</v>
      </c>
      <c r="L44">
        <v>69.754552415358404</v>
      </c>
      <c r="M44">
        <v>73.362546505807998</v>
      </c>
      <c r="N44">
        <v>64.192228192581993</v>
      </c>
      <c r="O44">
        <v>69.286849477707506</v>
      </c>
      <c r="P44">
        <v>68.112496096729402</v>
      </c>
      <c r="Q44">
        <v>61.825188764723599</v>
      </c>
      <c r="R44">
        <v>62.9700996677741</v>
      </c>
      <c r="S44">
        <v>62.9700996677741</v>
      </c>
      <c r="T44">
        <v>53.524584717608001</v>
      </c>
      <c r="U44">
        <v>53.524584717608001</v>
      </c>
      <c r="V44">
        <v>45.128571428571398</v>
      </c>
      <c r="W44">
        <v>38.108571428571402</v>
      </c>
      <c r="X44">
        <v>37.049999999999997</v>
      </c>
      <c r="Y44">
        <v>39</v>
      </c>
      <c r="Z44">
        <v>37</v>
      </c>
      <c r="AA44">
        <v>49</v>
      </c>
      <c r="AB44">
        <v>57.75</v>
      </c>
      <c r="AC44">
        <v>45.5</v>
      </c>
      <c r="AD44">
        <v>58.981481481481502</v>
      </c>
      <c r="AE44">
        <v>63.896604938271601</v>
      </c>
    </row>
    <row r="45" spans="1:31" x14ac:dyDescent="0.3">
      <c r="A45" t="s">
        <v>299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299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299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299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299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299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299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299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299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299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299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299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299</v>
      </c>
      <c r="B57" t="s">
        <v>232</v>
      </c>
      <c r="C57" t="s">
        <v>0</v>
      </c>
      <c r="D57" t="s">
        <v>233</v>
      </c>
      <c r="E57" t="s">
        <v>123</v>
      </c>
      <c r="F57">
        <v>90.102142947593606</v>
      </c>
      <c r="G57">
        <v>74.656061299434697</v>
      </c>
      <c r="H57">
        <v>69.447498883195095</v>
      </c>
      <c r="I57">
        <v>74.894361540700601</v>
      </c>
      <c r="J57">
        <v>74.894361540700601</v>
      </c>
      <c r="K57">
        <v>58.740675718196499</v>
      </c>
      <c r="L57">
        <v>69.754552415358404</v>
      </c>
      <c r="M57">
        <v>73.362546505807998</v>
      </c>
      <c r="N57">
        <v>64.192228192581993</v>
      </c>
      <c r="O57">
        <v>69.286849477707506</v>
      </c>
      <c r="P57">
        <v>68.112496096729402</v>
      </c>
      <c r="Q57">
        <v>61.825188764723599</v>
      </c>
      <c r="R57">
        <v>62.9700996677741</v>
      </c>
      <c r="S57">
        <v>62.9700996677741</v>
      </c>
      <c r="T57">
        <v>53.524584717608001</v>
      </c>
      <c r="U57">
        <v>53.524584717608001</v>
      </c>
      <c r="V57">
        <v>45.128571428571398</v>
      </c>
      <c r="W57">
        <v>38.108571428571402</v>
      </c>
      <c r="X57">
        <v>37.049999999999997</v>
      </c>
      <c r="Y57">
        <v>39</v>
      </c>
      <c r="Z57">
        <v>37</v>
      </c>
      <c r="AA57">
        <v>49</v>
      </c>
      <c r="AB57">
        <v>57.75</v>
      </c>
      <c r="AC57">
        <v>45.5</v>
      </c>
      <c r="AD57">
        <v>58.981481481481502</v>
      </c>
      <c r="AE57">
        <v>63.896604938271601</v>
      </c>
    </row>
    <row r="58" spans="1:31" x14ac:dyDescent="0.3">
      <c r="A58" t="s">
        <v>299</v>
      </c>
      <c r="B58" t="s">
        <v>234</v>
      </c>
      <c r="C58" t="s">
        <v>0</v>
      </c>
      <c r="D58" t="s">
        <v>235</v>
      </c>
      <c r="E58" t="s">
        <v>123</v>
      </c>
      <c r="F58">
        <v>90.102142947593606</v>
      </c>
      <c r="G58">
        <v>74.656061299434697</v>
      </c>
      <c r="H58">
        <v>69.447498883195095</v>
      </c>
      <c r="I58">
        <v>74.894361540700601</v>
      </c>
      <c r="J58">
        <v>74.894361540700601</v>
      </c>
      <c r="K58">
        <v>58.740675718196499</v>
      </c>
      <c r="L58">
        <v>69.754552415358404</v>
      </c>
      <c r="M58">
        <v>73.362546505807998</v>
      </c>
      <c r="N58">
        <v>64.192228192581993</v>
      </c>
      <c r="O58">
        <v>69.286849477707506</v>
      </c>
      <c r="P58">
        <v>68.112496096729402</v>
      </c>
      <c r="Q58">
        <v>61.825188764723599</v>
      </c>
      <c r="R58">
        <v>62.9700996677741</v>
      </c>
      <c r="S58">
        <v>62.9700996677741</v>
      </c>
      <c r="T58">
        <v>53.524584717608001</v>
      </c>
      <c r="U58">
        <v>53.524584717608001</v>
      </c>
      <c r="V58">
        <v>45.128571428571398</v>
      </c>
      <c r="W58">
        <v>38.108571428571402</v>
      </c>
      <c r="X58">
        <v>37.049999999999997</v>
      </c>
      <c r="Y58">
        <v>39</v>
      </c>
      <c r="Z58">
        <v>37</v>
      </c>
      <c r="AA58">
        <v>49</v>
      </c>
      <c r="AB58">
        <v>57.75</v>
      </c>
      <c r="AC58">
        <v>45.5</v>
      </c>
      <c r="AD58">
        <v>58.981481481481502</v>
      </c>
      <c r="AE58">
        <v>63.896604938271601</v>
      </c>
    </row>
    <row r="59" spans="1:31" x14ac:dyDescent="0.3">
      <c r="A59" t="s">
        <v>299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300</v>
      </c>
      <c r="B2" t="s">
        <v>121</v>
      </c>
      <c r="C2" t="s">
        <v>0</v>
      </c>
      <c r="D2" t="s">
        <v>122</v>
      </c>
      <c r="E2" t="s">
        <v>123</v>
      </c>
      <c r="F2" t="e">
        <v>#NUM!</v>
      </c>
      <c r="G2" t="e">
        <v>#NUM!</v>
      </c>
      <c r="H2">
        <v>0</v>
      </c>
      <c r="I2" t="e">
        <v>#NUM!</v>
      </c>
      <c r="J2" t="e">
        <v>#NUM!</v>
      </c>
      <c r="K2" t="e">
        <v>#NUM!</v>
      </c>
      <c r="L2">
        <v>0</v>
      </c>
      <c r="M2" t="e">
        <v>#NUM!</v>
      </c>
      <c r="N2">
        <v>0</v>
      </c>
      <c r="O2" t="e">
        <v>#NUM!</v>
      </c>
      <c r="P2">
        <v>0</v>
      </c>
      <c r="Q2">
        <v>0</v>
      </c>
      <c r="R2">
        <v>0</v>
      </c>
      <c r="S2">
        <v>0</v>
      </c>
      <c r="T2">
        <v>1</v>
      </c>
      <c r="U2">
        <v>3</v>
      </c>
      <c r="V2">
        <v>6</v>
      </c>
      <c r="W2">
        <v>2</v>
      </c>
      <c r="X2">
        <v>1</v>
      </c>
      <c r="Y2">
        <v>2</v>
      </c>
      <c r="Z2">
        <v>2</v>
      </c>
      <c r="AA2">
        <v>2</v>
      </c>
      <c r="AB2">
        <v>4</v>
      </c>
      <c r="AC2">
        <v>14</v>
      </c>
      <c r="AD2">
        <v>16</v>
      </c>
      <c r="AE2">
        <v>14</v>
      </c>
    </row>
    <row r="3" spans="1:31" x14ac:dyDescent="0.3">
      <c r="A3" t="s">
        <v>300</v>
      </c>
      <c r="B3" t="s">
        <v>124</v>
      </c>
      <c r="C3" t="s">
        <v>0</v>
      </c>
      <c r="D3" t="s">
        <v>125</v>
      </c>
      <c r="E3" t="s">
        <v>123</v>
      </c>
      <c r="F3">
        <v>6</v>
      </c>
      <c r="G3">
        <v>6</v>
      </c>
      <c r="H3">
        <v>5</v>
      </c>
      <c r="I3">
        <v>8</v>
      </c>
      <c r="J3">
        <v>10</v>
      </c>
      <c r="K3">
        <v>11</v>
      </c>
      <c r="L3">
        <v>4</v>
      </c>
      <c r="M3">
        <v>4</v>
      </c>
      <c r="N3">
        <v>6</v>
      </c>
      <c r="O3">
        <v>5</v>
      </c>
      <c r="P3">
        <v>4</v>
      </c>
      <c r="Q3">
        <v>3</v>
      </c>
      <c r="R3">
        <v>6</v>
      </c>
      <c r="S3">
        <v>10</v>
      </c>
      <c r="T3">
        <v>15</v>
      </c>
      <c r="U3">
        <v>11</v>
      </c>
      <c r="V3">
        <v>9</v>
      </c>
      <c r="W3">
        <v>9</v>
      </c>
      <c r="X3">
        <v>8</v>
      </c>
      <c r="Y3">
        <v>6</v>
      </c>
      <c r="Z3">
        <v>7</v>
      </c>
      <c r="AA3">
        <v>14</v>
      </c>
      <c r="AB3">
        <v>25</v>
      </c>
      <c r="AC3">
        <v>18</v>
      </c>
      <c r="AD3">
        <v>9</v>
      </c>
      <c r="AE3">
        <v>16</v>
      </c>
    </row>
    <row r="4" spans="1:31" x14ac:dyDescent="0.3">
      <c r="A4" t="s">
        <v>300</v>
      </c>
      <c r="B4" t="s">
        <v>126</v>
      </c>
      <c r="C4" t="s">
        <v>0</v>
      </c>
      <c r="D4" t="s">
        <v>127</v>
      </c>
      <c r="E4" t="s">
        <v>123</v>
      </c>
      <c r="F4">
        <v>2165.9649768644199</v>
      </c>
      <c r="G4">
        <v>2481.1902368902201</v>
      </c>
      <c r="H4">
        <v>2807.5145764358799</v>
      </c>
      <c r="I4">
        <v>3284.9205868173899</v>
      </c>
      <c r="J4">
        <v>4016.0860550879202</v>
      </c>
      <c r="K4">
        <v>4537.11071526041</v>
      </c>
      <c r="L4">
        <v>4444.1779427459296</v>
      </c>
      <c r="M4">
        <v>4332.1265812633401</v>
      </c>
      <c r="N4">
        <v>4593.9916750993198</v>
      </c>
      <c r="O4">
        <v>4839.0439302620698</v>
      </c>
      <c r="P4">
        <v>4796.4342097138297</v>
      </c>
      <c r="Q4">
        <v>4869.7243759064004</v>
      </c>
      <c r="R4">
        <v>5088.9147897893899</v>
      </c>
      <c r="S4">
        <v>5617.9160000040902</v>
      </c>
      <c r="T4">
        <v>4956.77372547712</v>
      </c>
      <c r="U4">
        <v>4839.2443300525902</v>
      </c>
      <c r="V4">
        <v>4446.6621673011496</v>
      </c>
      <c r="W4">
        <v>3642.1104522057999</v>
      </c>
      <c r="X4">
        <v>3417.8838593484802</v>
      </c>
      <c r="Y4">
        <v>3271.5931105047698</v>
      </c>
      <c r="Z4">
        <v>2967</v>
      </c>
      <c r="AA4">
        <v>2686</v>
      </c>
      <c r="AB4">
        <v>2418.1848064280498</v>
      </c>
      <c r="AC4">
        <v>2674.37745474352</v>
      </c>
      <c r="AD4">
        <v>2653.8429294968601</v>
      </c>
      <c r="AE4">
        <v>2572.9674894058799</v>
      </c>
    </row>
    <row r="5" spans="1:31" x14ac:dyDescent="0.3">
      <c r="A5" t="s">
        <v>300</v>
      </c>
      <c r="B5" t="s">
        <v>128</v>
      </c>
      <c r="C5" t="s">
        <v>0</v>
      </c>
      <c r="D5" t="s">
        <v>129</v>
      </c>
      <c r="E5" t="s">
        <v>123</v>
      </c>
      <c r="F5">
        <v>62.506952068968602</v>
      </c>
      <c r="G5">
        <v>57.404343736807903</v>
      </c>
      <c r="H5">
        <v>49.750431238566797</v>
      </c>
      <c r="I5">
        <v>53.577387487687297</v>
      </c>
      <c r="J5">
        <v>58.679995819848102</v>
      </c>
      <c r="K5">
        <v>59.955647902888202</v>
      </c>
      <c r="L5">
        <v>58.679995819848102</v>
      </c>
      <c r="M5">
        <v>61.231299985928402</v>
      </c>
      <c r="N5">
        <v>53.733589783569798</v>
      </c>
      <c r="O5">
        <v>58.732063251808903</v>
      </c>
      <c r="P5">
        <v>66.2297734541674</v>
      </c>
      <c r="Q5">
        <v>66.2297734541674</v>
      </c>
      <c r="R5">
        <v>59.133726298363797</v>
      </c>
      <c r="S5">
        <v>66.090635274641897</v>
      </c>
      <c r="T5">
        <v>62.730094497965197</v>
      </c>
      <c r="U5">
        <v>69.219414618444304</v>
      </c>
      <c r="V5">
        <v>67.056307911617907</v>
      </c>
      <c r="W5">
        <v>63.913043478260903</v>
      </c>
      <c r="X5">
        <v>70</v>
      </c>
      <c r="Y5">
        <v>68</v>
      </c>
      <c r="Z5">
        <v>60</v>
      </c>
      <c r="AA5">
        <v>54</v>
      </c>
      <c r="AB5">
        <v>62</v>
      </c>
      <c r="AC5">
        <v>59</v>
      </c>
      <c r="AD5">
        <v>58</v>
      </c>
      <c r="AE5">
        <v>14.5</v>
      </c>
    </row>
    <row r="6" spans="1:31" x14ac:dyDescent="0.3">
      <c r="A6" t="s">
        <v>300</v>
      </c>
      <c r="B6" t="s">
        <v>130</v>
      </c>
      <c r="C6" t="s">
        <v>0</v>
      </c>
      <c r="D6" t="s">
        <v>131</v>
      </c>
      <c r="E6" t="s">
        <v>123</v>
      </c>
      <c r="F6">
        <v>8.6770833333333393</v>
      </c>
      <c r="G6">
        <v>8.6770833333333393</v>
      </c>
      <c r="H6">
        <v>9.9166666666666696</v>
      </c>
      <c r="I6">
        <v>12.3958333333333</v>
      </c>
      <c r="J6">
        <v>16.1145833333333</v>
      </c>
      <c r="K6">
        <v>16.1145833333333</v>
      </c>
      <c r="L6">
        <v>18.4166666666667</v>
      </c>
      <c r="M6">
        <v>11.9166666666667</v>
      </c>
      <c r="N6">
        <v>11.9166666666667</v>
      </c>
      <c r="O6">
        <v>11.9166666666667</v>
      </c>
      <c r="P6">
        <v>7.5833333333333304</v>
      </c>
      <c r="Q6">
        <v>13</v>
      </c>
      <c r="R6">
        <v>10.8333333333333</v>
      </c>
      <c r="S6">
        <v>13</v>
      </c>
      <c r="T6">
        <v>17</v>
      </c>
      <c r="U6">
        <v>8</v>
      </c>
      <c r="V6">
        <v>7</v>
      </c>
      <c r="W6">
        <v>5</v>
      </c>
      <c r="X6">
        <v>7</v>
      </c>
      <c r="Y6">
        <v>7</v>
      </c>
      <c r="Z6">
        <v>11</v>
      </c>
      <c r="AA6">
        <v>7</v>
      </c>
      <c r="AB6">
        <v>6</v>
      </c>
      <c r="AC6">
        <v>5</v>
      </c>
      <c r="AD6">
        <v>3</v>
      </c>
      <c r="AE6">
        <v>4</v>
      </c>
    </row>
    <row r="7" spans="1:31" x14ac:dyDescent="0.3">
      <c r="A7" t="s">
        <v>300</v>
      </c>
      <c r="B7" t="s">
        <v>132</v>
      </c>
      <c r="C7" t="s">
        <v>0</v>
      </c>
      <c r="D7" t="s">
        <v>133</v>
      </c>
      <c r="E7" t="s">
        <v>123</v>
      </c>
      <c r="F7">
        <v>124.92804880112701</v>
      </c>
      <c r="G7">
        <v>128.65724428772799</v>
      </c>
      <c r="H7">
        <v>134.09346587735001</v>
      </c>
      <c r="I7">
        <v>135.85785358626299</v>
      </c>
      <c r="J7">
        <v>140.95252309574701</v>
      </c>
      <c r="K7">
        <v>156.05457914172001</v>
      </c>
      <c r="L7">
        <v>157.64697280643199</v>
      </c>
      <c r="M7">
        <v>163.71031791437099</v>
      </c>
      <c r="N7">
        <v>162.24861864727899</v>
      </c>
      <c r="O7">
        <v>157.97891815656101</v>
      </c>
      <c r="P7">
        <v>149.736539817958</v>
      </c>
      <c r="Q7">
        <v>139.13572283969501</v>
      </c>
      <c r="R7">
        <v>140.42401656969199</v>
      </c>
      <c r="S7">
        <v>134.155087258545</v>
      </c>
      <c r="T7">
        <v>109.44230802670801</v>
      </c>
      <c r="U7">
        <v>118.46847776087</v>
      </c>
      <c r="V7">
        <v>84.145834671271899</v>
      </c>
      <c r="W7">
        <v>101.406518706405</v>
      </c>
      <c r="X7">
        <v>94.088522511096997</v>
      </c>
      <c r="Y7">
        <v>84.884210526315798</v>
      </c>
      <c r="Z7">
        <v>96</v>
      </c>
      <c r="AA7">
        <v>91</v>
      </c>
      <c r="AB7">
        <v>101.763440860215</v>
      </c>
      <c r="AC7">
        <v>110.569892473118</v>
      </c>
      <c r="AD7">
        <v>110.569892473118</v>
      </c>
      <c r="AE7">
        <v>107.758793511937</v>
      </c>
    </row>
    <row r="8" spans="1:31" x14ac:dyDescent="0.3">
      <c r="A8" t="s">
        <v>300</v>
      </c>
      <c r="B8" t="s">
        <v>134</v>
      </c>
      <c r="C8" t="s">
        <v>0</v>
      </c>
      <c r="D8" t="s">
        <v>135</v>
      </c>
      <c r="E8" t="s">
        <v>123</v>
      </c>
      <c r="F8">
        <v>58.638656714280501</v>
      </c>
      <c r="G8">
        <v>58.638656714280501</v>
      </c>
      <c r="H8">
        <v>58.638656714280501</v>
      </c>
      <c r="I8">
        <v>67.523301670989696</v>
      </c>
      <c r="J8">
        <v>36.358700899763697</v>
      </c>
      <c r="K8">
        <v>46.746901156839002</v>
      </c>
      <c r="L8">
        <v>43.522976939126004</v>
      </c>
      <c r="M8">
        <v>28.5150538566688</v>
      </c>
      <c r="N8">
        <v>21.3862903925016</v>
      </c>
      <c r="O8">
        <v>17.109032314001301</v>
      </c>
      <c r="P8">
        <v>14.2575269283344</v>
      </c>
      <c r="Q8">
        <v>15.553665740001099</v>
      </c>
      <c r="R8">
        <v>29.811192668335501</v>
      </c>
      <c r="S8">
        <v>52.169587169587203</v>
      </c>
      <c r="T8">
        <v>47.532290532290503</v>
      </c>
      <c r="U8">
        <v>43.110682110682099</v>
      </c>
      <c r="V8">
        <v>43.110682110682099</v>
      </c>
      <c r="W8">
        <v>44.162162162162197</v>
      </c>
      <c r="X8">
        <v>38</v>
      </c>
      <c r="Y8">
        <v>31</v>
      </c>
      <c r="Z8">
        <v>32</v>
      </c>
      <c r="AA8">
        <v>34</v>
      </c>
      <c r="AB8">
        <v>34</v>
      </c>
      <c r="AC8">
        <v>36.914285714285697</v>
      </c>
      <c r="AD8">
        <v>37.8857142857143</v>
      </c>
      <c r="AE8">
        <v>36.961672473867601</v>
      </c>
    </row>
    <row r="9" spans="1:31" x14ac:dyDescent="0.3">
      <c r="A9" t="s">
        <v>300</v>
      </c>
      <c r="B9" t="s">
        <v>136</v>
      </c>
      <c r="C9" t="s">
        <v>0</v>
      </c>
      <c r="D9" t="s">
        <v>137</v>
      </c>
      <c r="E9" t="s">
        <v>123</v>
      </c>
      <c r="F9">
        <v>137.23321176949401</v>
      </c>
      <c r="G9">
        <v>135.35330475895299</v>
      </c>
      <c r="H9">
        <v>142.669699610788</v>
      </c>
      <c r="I9">
        <v>142.669699610788</v>
      </c>
      <c r="J9">
        <v>169.09001435352701</v>
      </c>
      <c r="K9">
        <v>165.60362230499999</v>
      </c>
      <c r="L9">
        <v>157.32344118975001</v>
      </c>
      <c r="M9">
        <v>158.881099023312</v>
      </c>
      <c r="N9">
        <v>142.39343780391201</v>
      </c>
      <c r="O9">
        <v>161.47709441680701</v>
      </c>
      <c r="P9">
        <v>154.39476571431601</v>
      </c>
      <c r="Q9">
        <v>167.82039751556101</v>
      </c>
      <c r="R9">
        <v>176.92693071407899</v>
      </c>
      <c r="S9">
        <v>175.66316692326399</v>
      </c>
      <c r="T9">
        <v>130.863164620687</v>
      </c>
      <c r="U9">
        <v>138.69258472619799</v>
      </c>
      <c r="V9">
        <v>139.784652322467</v>
      </c>
      <c r="W9">
        <v>111.19233707469</v>
      </c>
      <c r="X9">
        <v>147.22689075630299</v>
      </c>
      <c r="Y9">
        <v>88.739495798319297</v>
      </c>
      <c r="Z9">
        <v>120</v>
      </c>
      <c r="AA9">
        <v>111</v>
      </c>
      <c r="AB9">
        <v>118.858407079646</v>
      </c>
      <c r="AC9">
        <v>117.87610619469</v>
      </c>
      <c r="AD9">
        <v>116.893805309735</v>
      </c>
      <c r="AE9">
        <v>114.042736887546</v>
      </c>
    </row>
    <row r="10" spans="1:31" x14ac:dyDescent="0.3">
      <c r="A10" t="s">
        <v>300</v>
      </c>
      <c r="B10" t="s">
        <v>138</v>
      </c>
      <c r="C10" t="s">
        <v>0</v>
      </c>
      <c r="D10" t="s">
        <v>139</v>
      </c>
      <c r="E10" t="s">
        <v>123</v>
      </c>
      <c r="F10">
        <v>299.57068816810801</v>
      </c>
      <c r="G10">
        <v>291.73877475194797</v>
      </c>
      <c r="H10">
        <v>293.63318238020798</v>
      </c>
      <c r="I10">
        <v>306.642247422369</v>
      </c>
      <c r="J10">
        <v>331.89513838656399</v>
      </c>
      <c r="K10">
        <v>367.39194463111602</v>
      </c>
      <c r="L10">
        <v>380.87421782858797</v>
      </c>
      <c r="M10">
        <v>414.34015328633001</v>
      </c>
      <c r="N10">
        <v>350.12507417922399</v>
      </c>
      <c r="O10">
        <v>335.22613485244801</v>
      </c>
      <c r="P10">
        <v>322.33282197350798</v>
      </c>
      <c r="Q10">
        <v>338.72262648063497</v>
      </c>
      <c r="R10">
        <v>399.58684842637501</v>
      </c>
      <c r="S10">
        <v>390.59293222385202</v>
      </c>
      <c r="T10">
        <v>323.49721380503098</v>
      </c>
      <c r="U10">
        <v>317.801840322548</v>
      </c>
      <c r="V10">
        <v>314.46825458489798</v>
      </c>
      <c r="W10">
        <v>340.314960441192</v>
      </c>
      <c r="X10">
        <v>369.54446624595602</v>
      </c>
      <c r="Y10">
        <v>333.81502890173402</v>
      </c>
      <c r="Z10">
        <v>350</v>
      </c>
      <c r="AA10">
        <v>354</v>
      </c>
      <c r="AB10">
        <v>377.53462603878103</v>
      </c>
      <c r="AC10">
        <v>343.30221176065299</v>
      </c>
      <c r="AD10">
        <v>278.74965912189799</v>
      </c>
      <c r="AE10">
        <v>323.95230654707098</v>
      </c>
    </row>
    <row r="11" spans="1:31" x14ac:dyDescent="0.3">
      <c r="A11" t="s">
        <v>300</v>
      </c>
      <c r="B11" t="s">
        <v>140</v>
      </c>
      <c r="C11" t="s">
        <v>0</v>
      </c>
      <c r="D11" t="s">
        <v>141</v>
      </c>
      <c r="E11" t="s">
        <v>123</v>
      </c>
      <c r="F11">
        <v>161.46355288447401</v>
      </c>
      <c r="G11">
        <v>155.40866965130601</v>
      </c>
      <c r="H11">
        <v>149.58084453938201</v>
      </c>
      <c r="I11">
        <v>162.834843422619</v>
      </c>
      <c r="J11">
        <v>161.005238440342</v>
      </c>
      <c r="K11">
        <v>200.362074503537</v>
      </c>
      <c r="L11">
        <v>222.43586237257099</v>
      </c>
      <c r="M11">
        <v>254.67294387584201</v>
      </c>
      <c r="N11">
        <v>206.825299874926</v>
      </c>
      <c r="O11">
        <v>172.35441656243799</v>
      </c>
      <c r="P11">
        <v>166.60926934368999</v>
      </c>
      <c r="Q11">
        <v>169.363141564247</v>
      </c>
      <c r="R11">
        <v>221.37229527295301</v>
      </c>
      <c r="S11">
        <v>213.60484631600701</v>
      </c>
      <c r="T11">
        <v>191.88231957200699</v>
      </c>
      <c r="U11">
        <v>178.09436846503601</v>
      </c>
      <c r="V11">
        <v>173.61400699421799</v>
      </c>
      <c r="W11">
        <v>228.953471723625</v>
      </c>
      <c r="X11">
        <v>221.60175474167301</v>
      </c>
      <c r="Y11">
        <v>245.19823788546299</v>
      </c>
      <c r="Z11">
        <v>230</v>
      </c>
      <c r="AA11">
        <v>243</v>
      </c>
      <c r="AB11">
        <v>258.677419354839</v>
      </c>
      <c r="AC11">
        <v>225.48861838101001</v>
      </c>
      <c r="AD11">
        <v>162.03944004869101</v>
      </c>
      <c r="AE11">
        <v>209.80829231738099</v>
      </c>
    </row>
    <row r="12" spans="1:31" x14ac:dyDescent="0.3">
      <c r="A12" t="s">
        <v>300</v>
      </c>
      <c r="B12" t="s">
        <v>142</v>
      </c>
      <c r="C12" t="s">
        <v>0</v>
      </c>
      <c r="D12" t="s">
        <v>143</v>
      </c>
      <c r="E12" t="s">
        <v>123</v>
      </c>
      <c r="F12">
        <v>40.746034252929498</v>
      </c>
      <c r="G12">
        <v>40.746034252929498</v>
      </c>
      <c r="H12">
        <v>37.935962925141197</v>
      </c>
      <c r="I12">
        <v>40.746034252929498</v>
      </c>
      <c r="J12">
        <v>61.821569211341298</v>
      </c>
      <c r="K12">
        <v>64.631640539129506</v>
      </c>
      <c r="L12">
        <v>61.938655516665797</v>
      </c>
      <c r="M12">
        <v>72.261764769443403</v>
      </c>
      <c r="N12">
        <v>67.1907637329913</v>
      </c>
      <c r="O12">
        <v>67.1907637329913</v>
      </c>
      <c r="P12">
        <v>55.192413066385697</v>
      </c>
      <c r="Q12">
        <v>63.241306638566897</v>
      </c>
      <c r="R12">
        <v>68.990516332982097</v>
      </c>
      <c r="S12">
        <v>68.990516332982097</v>
      </c>
      <c r="T12">
        <v>64.678609062170693</v>
      </c>
      <c r="U12">
        <v>64.678609062170693</v>
      </c>
      <c r="V12">
        <v>67.808219178082197</v>
      </c>
      <c r="W12">
        <v>75</v>
      </c>
      <c r="X12">
        <v>68</v>
      </c>
      <c r="Y12">
        <v>70</v>
      </c>
      <c r="Z12">
        <v>80</v>
      </c>
      <c r="AA12">
        <v>73</v>
      </c>
      <c r="AB12">
        <v>90</v>
      </c>
      <c r="AC12">
        <v>82</v>
      </c>
      <c r="AD12">
        <v>88</v>
      </c>
      <c r="AE12">
        <v>88</v>
      </c>
    </row>
    <row r="13" spans="1:31" x14ac:dyDescent="0.3">
      <c r="A13" t="s">
        <v>300</v>
      </c>
      <c r="B13" t="s">
        <v>144</v>
      </c>
      <c r="C13" t="s">
        <v>0</v>
      </c>
      <c r="D13" t="s">
        <v>145</v>
      </c>
      <c r="E13" t="s">
        <v>123</v>
      </c>
      <c r="F13">
        <v>70.395025641990102</v>
      </c>
      <c r="G13">
        <v>68.9871251291503</v>
      </c>
      <c r="H13">
        <v>71.746610134316299</v>
      </c>
      <c r="I13">
        <v>74.454029384667905</v>
      </c>
      <c r="J13">
        <v>83.760783057751397</v>
      </c>
      <c r="K13">
        <v>81.101710579727495</v>
      </c>
      <c r="L13">
        <v>86.251025537170506</v>
      </c>
      <c r="M13">
        <v>75.000891771452601</v>
      </c>
      <c r="N13">
        <v>81.148505851079904</v>
      </c>
      <c r="O13">
        <v>89.6267079549241</v>
      </c>
      <c r="P13">
        <v>97.991867364050293</v>
      </c>
      <c r="Q13">
        <v>96.825297514478294</v>
      </c>
      <c r="R13">
        <v>102.58870808081601</v>
      </c>
      <c r="S13">
        <v>100.30895901235399</v>
      </c>
      <c r="T13">
        <v>104.62332284084199</v>
      </c>
      <c r="U13">
        <v>104.62332284084199</v>
      </c>
      <c r="V13">
        <v>95.300452488687796</v>
      </c>
      <c r="W13">
        <v>87.102564102564102</v>
      </c>
      <c r="X13">
        <v>79</v>
      </c>
      <c r="Y13">
        <v>67</v>
      </c>
      <c r="Z13">
        <v>67</v>
      </c>
      <c r="AA13">
        <v>65</v>
      </c>
      <c r="AB13">
        <v>73</v>
      </c>
      <c r="AC13">
        <v>77</v>
      </c>
      <c r="AD13">
        <v>72</v>
      </c>
      <c r="AE13">
        <v>80.64</v>
      </c>
    </row>
    <row r="14" spans="1:31" x14ac:dyDescent="0.3">
      <c r="A14" t="s">
        <v>300</v>
      </c>
      <c r="B14" t="s">
        <v>146</v>
      </c>
      <c r="C14" t="s">
        <v>0</v>
      </c>
      <c r="D14" t="s">
        <v>147</v>
      </c>
      <c r="E14" t="s">
        <v>123</v>
      </c>
      <c r="F14">
        <v>868.38032688354201</v>
      </c>
      <c r="G14">
        <v>1183.4206315203601</v>
      </c>
      <c r="H14">
        <v>1494.8471134993999</v>
      </c>
      <c r="I14">
        <v>1894.23374687711</v>
      </c>
      <c r="J14">
        <v>2526.2556450130901</v>
      </c>
      <c r="K14">
        <v>2987.2117712592399</v>
      </c>
      <c r="L14">
        <v>2820.4045042601501</v>
      </c>
      <c r="M14">
        <v>2683.17818321715</v>
      </c>
      <c r="N14">
        <v>3092.2933837652199</v>
      </c>
      <c r="O14">
        <v>3374.91426667619</v>
      </c>
      <c r="P14">
        <v>3392.2289187497699</v>
      </c>
      <c r="Q14">
        <v>3396.3607444729801</v>
      </c>
      <c r="R14">
        <v>3485.9850729013701</v>
      </c>
      <c r="S14">
        <v>3951.0421673538399</v>
      </c>
      <c r="T14">
        <v>3484.9351146036602</v>
      </c>
      <c r="U14">
        <v>3328.3088173181</v>
      </c>
      <c r="V14">
        <v>2941.8969937752599</v>
      </c>
      <c r="W14">
        <v>1979.74664658712</v>
      </c>
      <c r="X14">
        <v>1835.55457291225</v>
      </c>
      <c r="Y14">
        <v>1728.8482142857099</v>
      </c>
      <c r="Z14">
        <v>1362</v>
      </c>
      <c r="AA14">
        <v>1096</v>
      </c>
      <c r="AB14">
        <v>1057.8357142857101</v>
      </c>
      <c r="AC14">
        <v>969.11400921659003</v>
      </c>
      <c r="AD14">
        <v>1002.26277814352</v>
      </c>
      <c r="AE14">
        <v>916.00629957550495</v>
      </c>
    </row>
    <row r="15" spans="1:31" x14ac:dyDescent="0.3">
      <c r="A15" t="s">
        <v>300</v>
      </c>
      <c r="B15" t="s">
        <v>148</v>
      </c>
      <c r="C15" t="s">
        <v>0</v>
      </c>
      <c r="D15" t="s">
        <v>149</v>
      </c>
      <c r="E15" t="s">
        <v>123</v>
      </c>
      <c r="F15">
        <v>1001.29232218936</v>
      </c>
      <c r="G15">
        <v>1308.3017917183599</v>
      </c>
      <c r="H15">
        <v>1612.15294748727</v>
      </c>
      <c r="I15">
        <v>2028.4365724253</v>
      </c>
      <c r="J15">
        <v>2657.7626672874599</v>
      </c>
      <c r="K15">
        <v>3120.4500951958098</v>
      </c>
      <c r="L15">
        <v>2950.7681976865201</v>
      </c>
      <c r="M15">
        <v>2821.9136912373301</v>
      </c>
      <c r="N15">
        <v>3247.2813475898702</v>
      </c>
      <c r="O15">
        <v>3543.0346649616699</v>
      </c>
      <c r="P15">
        <v>3553.1246741783998</v>
      </c>
      <c r="Q15">
        <v>3547.62022077146</v>
      </c>
      <c r="R15">
        <v>3663.9137246174</v>
      </c>
      <c r="S15">
        <v>4210.2641104083996</v>
      </c>
      <c r="T15">
        <v>3737.0922264404899</v>
      </c>
      <c r="U15">
        <v>3628.8708249354299</v>
      </c>
      <c r="V15">
        <v>3225.66295549816</v>
      </c>
      <c r="W15">
        <v>2293.9497256828899</v>
      </c>
      <c r="X15">
        <v>2068.7638351800701</v>
      </c>
      <c r="Y15">
        <v>2042.0965770171099</v>
      </c>
      <c r="Z15">
        <v>1658</v>
      </c>
      <c r="AA15">
        <v>1355</v>
      </c>
      <c r="AB15">
        <v>1016.25</v>
      </c>
      <c r="AC15">
        <v>1185.95009596929</v>
      </c>
      <c r="AD15">
        <v>1227.8874760076801</v>
      </c>
      <c r="AE15">
        <v>1129.39382819957</v>
      </c>
    </row>
    <row r="16" spans="1:31" x14ac:dyDescent="0.3">
      <c r="A16" t="s">
        <v>300</v>
      </c>
      <c r="B16" t="s">
        <v>150</v>
      </c>
      <c r="C16" t="s">
        <v>0</v>
      </c>
      <c r="D16" t="s">
        <v>151</v>
      </c>
      <c r="E16" t="s">
        <v>123</v>
      </c>
      <c r="F16">
        <v>124.733445584308</v>
      </c>
      <c r="G16">
        <v>119.310252298034</v>
      </c>
      <c r="H16">
        <v>114.04656469664999</v>
      </c>
      <c r="I16">
        <v>131.32634722644599</v>
      </c>
      <c r="J16">
        <v>131.32634722644599</v>
      </c>
      <c r="K16">
        <v>134.65106487774801</v>
      </c>
      <c r="L16">
        <v>131.44508714256301</v>
      </c>
      <c r="M16">
        <v>139.177151092126</v>
      </c>
      <c r="N16">
        <v>155.63896466216201</v>
      </c>
      <c r="O16">
        <v>168.853593737252</v>
      </c>
      <c r="P16">
        <v>161.75890492476199</v>
      </c>
      <c r="Q16">
        <v>152.24367522330601</v>
      </c>
      <c r="R16">
        <v>178.72083613170699</v>
      </c>
      <c r="S16">
        <v>259.72380502593302</v>
      </c>
      <c r="T16">
        <v>252.50925488632399</v>
      </c>
      <c r="U16">
        <v>300.71556718280402</v>
      </c>
      <c r="V16">
        <v>283.88447200466197</v>
      </c>
      <c r="W16">
        <v>314.33951114692502</v>
      </c>
      <c r="X16">
        <v>233.389202256245</v>
      </c>
      <c r="Y16">
        <v>313.23287671232902</v>
      </c>
      <c r="Z16">
        <v>296</v>
      </c>
      <c r="AA16">
        <v>259</v>
      </c>
      <c r="AB16">
        <v>-42.185606060606098</v>
      </c>
      <c r="AC16">
        <v>217.79545454545499</v>
      </c>
      <c r="AD16">
        <v>226.625</v>
      </c>
      <c r="AE16">
        <v>214.34947916666701</v>
      </c>
    </row>
    <row r="17" spans="1:31" x14ac:dyDescent="0.3">
      <c r="A17" t="s">
        <v>300</v>
      </c>
      <c r="B17" t="s">
        <v>152</v>
      </c>
      <c r="C17" t="s">
        <v>0</v>
      </c>
      <c r="D17" t="s">
        <v>153</v>
      </c>
      <c r="E17" t="s">
        <v>123</v>
      </c>
      <c r="F17">
        <v>256.04224058656598</v>
      </c>
      <c r="G17">
        <v>272.04488062322702</v>
      </c>
      <c r="H17">
        <v>287.59030237312601</v>
      </c>
      <c r="I17">
        <v>306.636017762074</v>
      </c>
      <c r="J17">
        <v>337.66466241657002</v>
      </c>
      <c r="K17">
        <v>314.31551022819002</v>
      </c>
      <c r="L17">
        <v>353.60494900671398</v>
      </c>
      <c r="M17">
        <v>339.00657955230798</v>
      </c>
      <c r="N17">
        <v>287.689069803564</v>
      </c>
      <c r="O17">
        <v>271.03338681493699</v>
      </c>
      <c r="P17">
        <v>281.17902161549603</v>
      </c>
      <c r="Q17">
        <v>289.48973161398402</v>
      </c>
      <c r="R17">
        <v>316.41900897342401</v>
      </c>
      <c r="S17">
        <v>506.53084152535803</v>
      </c>
      <c r="T17">
        <v>398.93837160708398</v>
      </c>
      <c r="U17">
        <v>404.68676312879899</v>
      </c>
      <c r="V17">
        <v>439.53478995377901</v>
      </c>
      <c r="W17">
        <v>513.699469151936</v>
      </c>
      <c r="X17">
        <v>523.19288849971304</v>
      </c>
      <c r="Y17">
        <v>504.690978886756</v>
      </c>
      <c r="Z17">
        <v>528</v>
      </c>
      <c r="AA17">
        <v>564</v>
      </c>
      <c r="AB17">
        <v>564</v>
      </c>
      <c r="AC17">
        <v>654.74740484429105</v>
      </c>
      <c r="AD17">
        <v>655.72318339100298</v>
      </c>
      <c r="AE17">
        <v>659.47553351055103</v>
      </c>
    </row>
    <row r="18" spans="1:31" x14ac:dyDescent="0.3">
      <c r="A18" t="s">
        <v>300</v>
      </c>
      <c r="B18" t="s">
        <v>154</v>
      </c>
      <c r="C18" t="s">
        <v>0</v>
      </c>
      <c r="D18" t="s">
        <v>155</v>
      </c>
      <c r="E18" t="s">
        <v>123</v>
      </c>
      <c r="F18">
        <v>28.8291168008151</v>
      </c>
      <c r="G18">
        <v>31.5747469723213</v>
      </c>
      <c r="H18">
        <v>31.5747469723213</v>
      </c>
      <c r="I18">
        <v>32.947562058074404</v>
      </c>
      <c r="J18">
        <v>35.693192229580497</v>
      </c>
      <c r="K18">
        <v>41.184452572592903</v>
      </c>
      <c r="L18">
        <v>38.438822401086703</v>
      </c>
      <c r="M18">
        <v>38.438822401086703</v>
      </c>
      <c r="N18">
        <v>35.787869132046303</v>
      </c>
      <c r="O18">
        <v>39.764299035607003</v>
      </c>
      <c r="P18">
        <v>42.415252304647403</v>
      </c>
      <c r="Q18">
        <v>56.553669739529902</v>
      </c>
      <c r="R18">
        <v>38.959194709453897</v>
      </c>
      <c r="S18">
        <v>47.756432224491903</v>
      </c>
      <c r="T18">
        <v>64.063506642611102</v>
      </c>
      <c r="U18">
        <v>53.018074462850599</v>
      </c>
      <c r="V18">
        <v>74.004395604395597</v>
      </c>
      <c r="W18">
        <v>83.657142857142802</v>
      </c>
      <c r="X18">
        <v>73.2</v>
      </c>
      <c r="Y18">
        <v>40.6666666666667</v>
      </c>
      <c r="Z18">
        <v>61</v>
      </c>
      <c r="AA18">
        <v>61</v>
      </c>
      <c r="AB18">
        <v>73.587301587301596</v>
      </c>
      <c r="AC18">
        <v>82.301587301587304</v>
      </c>
      <c r="AD18">
        <v>86.174603174603206</v>
      </c>
      <c r="AE18">
        <v>88.047964113181493</v>
      </c>
    </row>
    <row r="19" spans="1:31" x14ac:dyDescent="0.3">
      <c r="A19" t="s">
        <v>300</v>
      </c>
      <c r="B19" t="s">
        <v>156</v>
      </c>
      <c r="C19" t="s">
        <v>0</v>
      </c>
      <c r="D19" t="s">
        <v>157</v>
      </c>
      <c r="E19" t="s">
        <v>123</v>
      </c>
      <c r="F19">
        <v>143.98090511392601</v>
      </c>
      <c r="G19">
        <v>155.700281111571</v>
      </c>
      <c r="H19">
        <v>171.91906039402599</v>
      </c>
      <c r="I19">
        <v>182.95973399731199</v>
      </c>
      <c r="J19">
        <v>213.201012343976</v>
      </c>
      <c r="K19">
        <v>232.58292255706399</v>
      </c>
      <c r="L19">
        <v>251.01937373536799</v>
      </c>
      <c r="M19">
        <v>261.81590593904002</v>
      </c>
      <c r="N19">
        <v>242.46990303714</v>
      </c>
      <c r="O19">
        <v>219.85612969688901</v>
      </c>
      <c r="P19">
        <v>186.032109743521</v>
      </c>
      <c r="Q19">
        <v>214.91908330618</v>
      </c>
      <c r="R19">
        <v>229.54708374063199</v>
      </c>
      <c r="S19">
        <v>39.350928641251201</v>
      </c>
      <c r="T19">
        <v>32.969696969696997</v>
      </c>
      <c r="U19">
        <v>32.969696969696997</v>
      </c>
      <c r="V19">
        <v>32.969696969696997</v>
      </c>
      <c r="W19">
        <v>34</v>
      </c>
      <c r="X19">
        <v>27</v>
      </c>
      <c r="Y19">
        <v>23</v>
      </c>
      <c r="Z19">
        <v>24</v>
      </c>
      <c r="AA19">
        <v>28</v>
      </c>
      <c r="AB19">
        <v>21</v>
      </c>
      <c r="AC19">
        <v>38</v>
      </c>
      <c r="AD19">
        <v>36</v>
      </c>
      <c r="AE19">
        <v>39.891891891891902</v>
      </c>
    </row>
    <row r="20" spans="1:31" x14ac:dyDescent="0.3">
      <c r="A20" t="s">
        <v>300</v>
      </c>
      <c r="B20" t="s">
        <v>158</v>
      </c>
      <c r="C20" t="s">
        <v>0</v>
      </c>
      <c r="D20" t="s">
        <v>159</v>
      </c>
      <c r="E20" t="s">
        <v>123</v>
      </c>
      <c r="F20">
        <v>28.2620370455071</v>
      </c>
      <c r="G20">
        <v>44.411772500082598</v>
      </c>
      <c r="H20">
        <v>63.721238804466402</v>
      </c>
      <c r="I20">
        <v>65.595392886950705</v>
      </c>
      <c r="J20">
        <v>51.018638912072802</v>
      </c>
      <c r="K20">
        <v>36.9445316259837</v>
      </c>
      <c r="L20">
        <v>50.3789067627051</v>
      </c>
      <c r="M20">
        <v>22.040771708683501</v>
      </c>
      <c r="N20">
        <v>13.224463025210101</v>
      </c>
      <c r="O20">
        <v>10.285693464052301</v>
      </c>
      <c r="P20">
        <v>17.6326173669468</v>
      </c>
      <c r="Q20">
        <v>33.908879551820696</v>
      </c>
      <c r="R20">
        <v>16.954439775910402</v>
      </c>
      <c r="S20">
        <v>18.258627450980399</v>
      </c>
      <c r="T20">
        <v>21.910352941176502</v>
      </c>
      <c r="U20">
        <v>28.829411764705899</v>
      </c>
      <c r="V20">
        <v>27.720588235294102</v>
      </c>
      <c r="W20">
        <v>36.25</v>
      </c>
      <c r="X20">
        <v>29</v>
      </c>
      <c r="Y20">
        <v>23</v>
      </c>
      <c r="Z20">
        <v>24</v>
      </c>
      <c r="AA20">
        <v>43</v>
      </c>
      <c r="AB20">
        <v>71.340909090909093</v>
      </c>
      <c r="AC20">
        <v>59.613636363636402</v>
      </c>
      <c r="AD20">
        <v>70.363636363636402</v>
      </c>
      <c r="AE20">
        <v>60.981818181818198</v>
      </c>
    </row>
    <row r="21" spans="1:31" x14ac:dyDescent="0.3">
      <c r="A21" t="s">
        <v>300</v>
      </c>
      <c r="B21" t="s">
        <v>160</v>
      </c>
      <c r="C21" t="s">
        <v>0</v>
      </c>
      <c r="D21" t="s">
        <v>161</v>
      </c>
      <c r="E21" t="s">
        <v>123</v>
      </c>
      <c r="F21">
        <v>27.761434280766402</v>
      </c>
      <c r="G21">
        <v>42.567532563841901</v>
      </c>
      <c r="H21">
        <v>60.304004465442702</v>
      </c>
      <c r="I21">
        <v>62.026976021598202</v>
      </c>
      <c r="J21">
        <v>51.968547477555198</v>
      </c>
      <c r="K21">
        <v>37.352393499492798</v>
      </c>
      <c r="L21">
        <v>51.359541061802602</v>
      </c>
      <c r="M21">
        <v>27.8808937192643</v>
      </c>
      <c r="N21">
        <v>20.910670289448198</v>
      </c>
      <c r="O21">
        <v>20.910670289448198</v>
      </c>
      <c r="P21">
        <v>27.8808937192643</v>
      </c>
      <c r="Q21">
        <v>51.778802621490797</v>
      </c>
      <c r="R21">
        <v>38.834101966118098</v>
      </c>
      <c r="S21">
        <v>33.656221703969003</v>
      </c>
      <c r="T21">
        <v>36.060237539966799</v>
      </c>
      <c r="U21">
        <v>48.455944194330399</v>
      </c>
      <c r="V21">
        <v>45.152129817444198</v>
      </c>
      <c r="W21">
        <v>62.352941176470601</v>
      </c>
      <c r="X21">
        <v>53</v>
      </c>
      <c r="Y21">
        <v>42</v>
      </c>
      <c r="Z21">
        <v>54</v>
      </c>
      <c r="AA21">
        <v>72</v>
      </c>
      <c r="AB21">
        <v>88.540540540540505</v>
      </c>
      <c r="AC21">
        <v>74.918918918918905</v>
      </c>
      <c r="AD21">
        <v>83.675675675675706</v>
      </c>
      <c r="AE21">
        <v>66.752505314303093</v>
      </c>
    </row>
    <row r="22" spans="1:31" x14ac:dyDescent="0.3">
      <c r="A22" t="s">
        <v>300</v>
      </c>
      <c r="B22" t="s">
        <v>162</v>
      </c>
      <c r="C22" t="s">
        <v>0</v>
      </c>
      <c r="D22" t="s">
        <v>163</v>
      </c>
      <c r="E22" t="s">
        <v>123</v>
      </c>
      <c r="F22">
        <v>1.2756642512077301</v>
      </c>
      <c r="G22">
        <v>1.2756642512077301</v>
      </c>
      <c r="H22">
        <v>1.2756642512077301</v>
      </c>
      <c r="I22">
        <v>1.2756642512077301</v>
      </c>
      <c r="J22">
        <v>3.8269927536231898</v>
      </c>
      <c r="K22">
        <v>2.5513285024154602</v>
      </c>
      <c r="L22">
        <v>3.8269927536231898</v>
      </c>
      <c r="M22">
        <v>6.3783212560386504</v>
      </c>
      <c r="N22">
        <v>7.6539855072463796</v>
      </c>
      <c r="O22">
        <v>10.2053140096618</v>
      </c>
      <c r="P22">
        <v>10.2053140096618</v>
      </c>
      <c r="Q22">
        <v>17.859299516908202</v>
      </c>
      <c r="R22">
        <v>21.6862922705314</v>
      </c>
      <c r="S22">
        <v>15.3079710144928</v>
      </c>
      <c r="T22">
        <v>14.130434782608701</v>
      </c>
      <c r="U22">
        <v>19.565217391304301</v>
      </c>
      <c r="V22">
        <v>17.3913043478261</v>
      </c>
      <c r="W22">
        <v>26.086956521739101</v>
      </c>
      <c r="X22">
        <v>24</v>
      </c>
      <c r="Y22">
        <v>19</v>
      </c>
      <c r="Z22">
        <v>30</v>
      </c>
      <c r="AA22">
        <v>29</v>
      </c>
      <c r="AB22">
        <v>17.399999999999999</v>
      </c>
      <c r="AC22">
        <v>15.466666666666701</v>
      </c>
      <c r="AD22">
        <v>13.533333333333299</v>
      </c>
      <c r="AE22">
        <v>5.8</v>
      </c>
    </row>
    <row r="23" spans="1:31" x14ac:dyDescent="0.3">
      <c r="A23" t="s">
        <v>300</v>
      </c>
      <c r="B23" t="s">
        <v>164</v>
      </c>
      <c r="C23" t="s">
        <v>0</v>
      </c>
      <c r="D23" t="s">
        <v>165</v>
      </c>
      <c r="E23" t="s">
        <v>123</v>
      </c>
      <c r="F23">
        <v>18.859630817462001</v>
      </c>
      <c r="G23">
        <v>17.145118924965399</v>
      </c>
      <c r="H23">
        <v>17.145118924965399</v>
      </c>
      <c r="I23">
        <v>18.859630817462001</v>
      </c>
      <c r="J23">
        <v>34.290237849930797</v>
      </c>
      <c r="K23">
        <v>53.149868667392802</v>
      </c>
      <c r="L23">
        <v>40.265052020752101</v>
      </c>
      <c r="M23">
        <v>48.008331255512097</v>
      </c>
      <c r="N23">
        <v>52.509112310716397</v>
      </c>
      <c r="O23">
        <v>29.171729061509101</v>
      </c>
      <c r="P23">
        <v>26.393469150889199</v>
      </c>
      <c r="Q23">
        <v>26.393469150889199</v>
      </c>
      <c r="R23">
        <v>30.1639647438734</v>
      </c>
      <c r="S23">
        <v>36.196757692647999</v>
      </c>
      <c r="T23">
        <v>46.377095793705301</v>
      </c>
      <c r="U23">
        <v>58.241004020002002</v>
      </c>
      <c r="V23">
        <v>49.769585253456199</v>
      </c>
      <c r="W23">
        <v>50.806451612903203</v>
      </c>
      <c r="X23">
        <v>63</v>
      </c>
      <c r="Y23">
        <v>18</v>
      </c>
      <c r="Z23">
        <v>31</v>
      </c>
      <c r="AA23">
        <v>21</v>
      </c>
      <c r="AB23">
        <v>30</v>
      </c>
      <c r="AC23">
        <v>27</v>
      </c>
      <c r="AD23">
        <v>26</v>
      </c>
      <c r="AE23">
        <v>30.814814814814799</v>
      </c>
    </row>
    <row r="24" spans="1:31" x14ac:dyDescent="0.3">
      <c r="A24" t="s">
        <v>300</v>
      </c>
      <c r="B24" t="s">
        <v>166</v>
      </c>
      <c r="C24" t="s">
        <v>0</v>
      </c>
      <c r="D24" t="s">
        <v>167</v>
      </c>
      <c r="E24" t="s">
        <v>123</v>
      </c>
      <c r="F24">
        <v>77.302208122210601</v>
      </c>
      <c r="G24">
        <v>92.426553189599602</v>
      </c>
      <c r="H24">
        <v>107.020219482694</v>
      </c>
      <c r="I24">
        <v>130.62762083917099</v>
      </c>
      <c r="J24">
        <v>141.26010160515</v>
      </c>
      <c r="K24">
        <v>175.459915677976</v>
      </c>
      <c r="L24">
        <v>171.248877701704</v>
      </c>
      <c r="M24">
        <v>7.9650640791490401</v>
      </c>
      <c r="N24">
        <v>7.9650640791490401</v>
      </c>
      <c r="O24">
        <v>3.9825320395745201</v>
      </c>
      <c r="P24">
        <v>6.6375533992908702</v>
      </c>
      <c r="Q24">
        <v>1.32751067985817</v>
      </c>
      <c r="R24">
        <v>78.323130111632295</v>
      </c>
      <c r="S24">
        <v>48.791458102328299</v>
      </c>
      <c r="T24">
        <v>58.311742610099699</v>
      </c>
      <c r="U24">
        <v>64.028580120893807</v>
      </c>
      <c r="V24">
        <v>70.768430659935206</v>
      </c>
      <c r="W24">
        <v>106.697018533441</v>
      </c>
      <c r="X24">
        <v>78.174053182917007</v>
      </c>
      <c r="Y24">
        <v>69.945205479452099</v>
      </c>
      <c r="Z24">
        <v>74</v>
      </c>
      <c r="AA24">
        <v>68</v>
      </c>
      <c r="AB24">
        <v>49.2753623188406</v>
      </c>
      <c r="AC24">
        <v>74.898550724637701</v>
      </c>
      <c r="AD24">
        <v>69.971014492753596</v>
      </c>
      <c r="AE24">
        <v>61.461026243634898</v>
      </c>
    </row>
    <row r="25" spans="1:31" x14ac:dyDescent="0.3">
      <c r="A25" t="s">
        <v>300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e">
        <v>#NUM!</v>
      </c>
      <c r="T25">
        <v>0</v>
      </c>
      <c r="U25">
        <v>0</v>
      </c>
      <c r="V25">
        <v>0</v>
      </c>
      <c r="W25">
        <v>1</v>
      </c>
      <c r="X25">
        <v>2</v>
      </c>
      <c r="Y25">
        <v>4</v>
      </c>
      <c r="Z25">
        <v>6</v>
      </c>
      <c r="AA25">
        <v>5</v>
      </c>
      <c r="AB25">
        <v>1</v>
      </c>
      <c r="AC25">
        <v>1</v>
      </c>
      <c r="AD25">
        <v>4</v>
      </c>
      <c r="AE25">
        <v>2</v>
      </c>
    </row>
    <row r="26" spans="1:31" x14ac:dyDescent="0.3">
      <c r="A26" t="s">
        <v>300</v>
      </c>
      <c r="B26" t="s">
        <v>170</v>
      </c>
      <c r="C26" t="s">
        <v>0</v>
      </c>
      <c r="D26" t="s">
        <v>171</v>
      </c>
      <c r="E26" t="s">
        <v>123</v>
      </c>
      <c r="F26">
        <v>78.880788201604204</v>
      </c>
      <c r="G26">
        <v>94.313985893222394</v>
      </c>
      <c r="H26">
        <v>109.20566787636299</v>
      </c>
      <c r="I26">
        <v>131.68918773326101</v>
      </c>
      <c r="J26">
        <v>142.53417966423501</v>
      </c>
      <c r="K26">
        <v>175.893242989908</v>
      </c>
      <c r="L26">
        <v>170.17313752682099</v>
      </c>
      <c r="M26">
        <v>8.1034827393724296</v>
      </c>
      <c r="N26">
        <v>8.1034827393724296</v>
      </c>
      <c r="O26">
        <v>4.0517413696862201</v>
      </c>
      <c r="P26">
        <v>6.7529022828103598</v>
      </c>
      <c r="Q26">
        <v>1.35058045656207</v>
      </c>
      <c r="R26">
        <v>79.6842469371623</v>
      </c>
      <c r="S26">
        <v>44.414170423992097</v>
      </c>
      <c r="T26">
        <v>58.8187662371787</v>
      </c>
      <c r="U26">
        <v>59.972075379084202</v>
      </c>
      <c r="V26">
        <v>65.629818339375106</v>
      </c>
      <c r="W26">
        <v>103.913879037344</v>
      </c>
      <c r="X26">
        <v>75.284545016851197</v>
      </c>
      <c r="Y26">
        <v>63.9402985074627</v>
      </c>
      <c r="Z26">
        <v>68</v>
      </c>
      <c r="AA26">
        <v>60</v>
      </c>
      <c r="AB26">
        <v>48.1967213114754</v>
      </c>
      <c r="AC26">
        <v>73.770491803278702</v>
      </c>
      <c r="AD26">
        <v>65.901639344262307</v>
      </c>
      <c r="AE26">
        <v>58.370023419203697</v>
      </c>
    </row>
    <row r="27" spans="1:31" x14ac:dyDescent="0.3">
      <c r="A27" t="s">
        <v>300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 t="e">
        <v>#NUM!</v>
      </c>
      <c r="J27" t="e">
        <v>#NUM!</v>
      </c>
      <c r="K27" t="e">
        <v>#NUM!</v>
      </c>
      <c r="L27" t="e">
        <v>#NUM!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>
        <v>0</v>
      </c>
      <c r="AA27" t="e">
        <v>#NUM!</v>
      </c>
      <c r="AB27">
        <v>0</v>
      </c>
      <c r="AC27">
        <v>0</v>
      </c>
      <c r="AD27">
        <v>0</v>
      </c>
      <c r="AE27" t="e">
        <v>#NUM!</v>
      </c>
    </row>
    <row r="28" spans="1:31" x14ac:dyDescent="0.3">
      <c r="A28" t="s">
        <v>300</v>
      </c>
      <c r="B28" t="s">
        <v>174</v>
      </c>
      <c r="C28" t="s">
        <v>0</v>
      </c>
      <c r="D28" t="s">
        <v>175</v>
      </c>
      <c r="E28" t="s">
        <v>123</v>
      </c>
      <c r="F28">
        <v>13.6851676480784</v>
      </c>
      <c r="G28">
        <v>15.205741831198299</v>
      </c>
      <c r="H28">
        <v>16.726316014318101</v>
      </c>
      <c r="I28">
        <v>13.6851676480784</v>
      </c>
      <c r="J28">
        <v>24.329186929917199</v>
      </c>
      <c r="K28">
        <v>25.849761113037101</v>
      </c>
      <c r="L28">
        <v>41.646837348781901</v>
      </c>
      <c r="M28">
        <v>26.3763303208952</v>
      </c>
      <c r="N28">
        <v>30.332779869029501</v>
      </c>
      <c r="O28">
        <v>29.0139633529847</v>
      </c>
      <c r="P28">
        <v>30.275440020505801</v>
      </c>
      <c r="Q28">
        <v>33.908492822966501</v>
      </c>
      <c r="R28">
        <v>25.723684210526301</v>
      </c>
      <c r="S28">
        <v>21.25</v>
      </c>
      <c r="T28">
        <v>17</v>
      </c>
      <c r="U28">
        <v>10</v>
      </c>
      <c r="V28">
        <v>15</v>
      </c>
      <c r="W28">
        <v>12</v>
      </c>
      <c r="X28">
        <v>13</v>
      </c>
      <c r="Y28">
        <v>15</v>
      </c>
      <c r="Z28">
        <v>14</v>
      </c>
      <c r="AA28">
        <v>14</v>
      </c>
      <c r="AB28">
        <v>12</v>
      </c>
      <c r="AC28">
        <v>10</v>
      </c>
      <c r="AD28">
        <v>12</v>
      </c>
      <c r="AE28">
        <v>15</v>
      </c>
    </row>
    <row r="29" spans="1:31" x14ac:dyDescent="0.3">
      <c r="A29" t="s">
        <v>300</v>
      </c>
      <c r="B29" t="s">
        <v>176</v>
      </c>
      <c r="C29" t="s">
        <v>0</v>
      </c>
      <c r="D29" t="s">
        <v>177</v>
      </c>
      <c r="E29" t="s">
        <v>123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0</v>
      </c>
      <c r="AC29" t="e">
        <v>#NUM!</v>
      </c>
      <c r="AD29" t="e">
        <v>#NUM!</v>
      </c>
      <c r="AE29" t="e">
        <v>#NUM!</v>
      </c>
    </row>
    <row r="30" spans="1:31" x14ac:dyDescent="0.3">
      <c r="A30" t="s">
        <v>300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>
        <v>0</v>
      </c>
      <c r="R30" t="e">
        <v>#NUM!</v>
      </c>
      <c r="S30" t="e">
        <v>#NUM!</v>
      </c>
      <c r="T30">
        <v>0</v>
      </c>
      <c r="U30">
        <v>0</v>
      </c>
      <c r="V30" t="e">
        <v>#NUM!</v>
      </c>
      <c r="W30">
        <v>0</v>
      </c>
      <c r="X30">
        <v>0</v>
      </c>
      <c r="Y30" t="e">
        <v>#NUM!</v>
      </c>
      <c r="Z30">
        <v>0</v>
      </c>
      <c r="AA30" t="e">
        <v>#NUM!</v>
      </c>
      <c r="AB30">
        <v>0</v>
      </c>
      <c r="AC30">
        <v>0</v>
      </c>
      <c r="AD30" t="e">
        <v>#NUM!</v>
      </c>
      <c r="AE30" t="e">
        <v>#NUM!</v>
      </c>
    </row>
    <row r="31" spans="1:31" x14ac:dyDescent="0.3">
      <c r="A31" t="s">
        <v>300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300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 t="e">
        <v>#NUM!</v>
      </c>
      <c r="K32">
        <v>0</v>
      </c>
      <c r="L32">
        <v>0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>
        <v>0</v>
      </c>
      <c r="S32">
        <v>1</v>
      </c>
      <c r="T32">
        <v>1</v>
      </c>
      <c r="U32">
        <v>1</v>
      </c>
      <c r="V32">
        <v>2</v>
      </c>
      <c r="W32">
        <v>1</v>
      </c>
      <c r="X32">
        <v>2</v>
      </c>
      <c r="Y32">
        <v>2</v>
      </c>
      <c r="Z32">
        <v>1</v>
      </c>
      <c r="AA32">
        <v>0</v>
      </c>
      <c r="AB32" t="e">
        <v>#NUM!</v>
      </c>
      <c r="AC32" t="e">
        <v>#NUM!</v>
      </c>
      <c r="AD32" t="e">
        <v>#NUM!</v>
      </c>
      <c r="AE32" t="e">
        <v>#NUM!</v>
      </c>
    </row>
    <row r="33" spans="1:31" x14ac:dyDescent="0.3">
      <c r="A33" t="s">
        <v>300</v>
      </c>
      <c r="B33" t="s">
        <v>184</v>
      </c>
      <c r="C33" t="s">
        <v>0</v>
      </c>
      <c r="D33" t="s">
        <v>185</v>
      </c>
      <c r="E33" t="s">
        <v>123</v>
      </c>
      <c r="F33">
        <v>8.6396309111880001</v>
      </c>
      <c r="G33">
        <v>8.6396309111880001</v>
      </c>
      <c r="H33">
        <v>10.367557093425599</v>
      </c>
      <c r="I33">
        <v>8.6396309111880001</v>
      </c>
      <c r="J33">
        <v>8.6396309111880001</v>
      </c>
      <c r="K33">
        <v>17.279261822376</v>
      </c>
      <c r="L33">
        <v>26.704313725490199</v>
      </c>
      <c r="M33">
        <v>22.253594771241801</v>
      </c>
      <c r="N33">
        <v>23.6444444444444</v>
      </c>
      <c r="O33">
        <v>20.862745098039198</v>
      </c>
      <c r="P33">
        <v>23.470588235294102</v>
      </c>
      <c r="Q33">
        <v>29.647058823529399</v>
      </c>
      <c r="R33">
        <v>23.717647058823498</v>
      </c>
      <c r="S33">
        <v>19.2</v>
      </c>
      <c r="T33">
        <v>16</v>
      </c>
      <c r="U33">
        <v>8</v>
      </c>
      <c r="V33">
        <v>11</v>
      </c>
      <c r="W33">
        <v>10</v>
      </c>
      <c r="X33">
        <v>10</v>
      </c>
      <c r="Y33">
        <v>11</v>
      </c>
      <c r="Z33">
        <v>11</v>
      </c>
      <c r="AA33">
        <v>12</v>
      </c>
      <c r="AB33">
        <v>9</v>
      </c>
      <c r="AC33">
        <v>6</v>
      </c>
      <c r="AD33">
        <v>5</v>
      </c>
      <c r="AE33">
        <v>7</v>
      </c>
    </row>
    <row r="34" spans="1:31" x14ac:dyDescent="0.3">
      <c r="A34" t="s">
        <v>300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e">
        <v>#NUM!</v>
      </c>
      <c r="V34" t="e">
        <v>#NUM!</v>
      </c>
      <c r="W34" t="e">
        <v>#NUM!</v>
      </c>
      <c r="X34">
        <v>0</v>
      </c>
      <c r="Y34">
        <v>0</v>
      </c>
      <c r="Z34">
        <v>0</v>
      </c>
      <c r="AA34">
        <v>0</v>
      </c>
      <c r="AB34">
        <v>0</v>
      </c>
      <c r="AC34" t="e">
        <v>#NUM!</v>
      </c>
      <c r="AD34">
        <v>0</v>
      </c>
      <c r="AE34" t="e">
        <v>#NUM!</v>
      </c>
    </row>
    <row r="35" spans="1:31" x14ac:dyDescent="0.3">
      <c r="A35" t="s">
        <v>300</v>
      </c>
      <c r="B35" t="s">
        <v>188</v>
      </c>
      <c r="C35" t="s">
        <v>0</v>
      </c>
      <c r="D35" t="s">
        <v>189</v>
      </c>
      <c r="E35" t="s">
        <v>123</v>
      </c>
      <c r="F35">
        <v>88.237214319098001</v>
      </c>
      <c r="G35">
        <v>100.269561726248</v>
      </c>
      <c r="H35">
        <v>117.62390894809801</v>
      </c>
      <c r="I35">
        <v>155.567105382969</v>
      </c>
      <c r="J35">
        <v>248.90736861274999</v>
      </c>
      <c r="K35">
        <v>248.90736861274999</v>
      </c>
      <c r="L35">
        <v>215.04242050217201</v>
      </c>
      <c r="M35">
        <v>402.80333989585898</v>
      </c>
      <c r="N35">
        <v>373.70347883874399</v>
      </c>
      <c r="O35">
        <v>294.79397932299298</v>
      </c>
      <c r="P35">
        <v>339.15618009489998</v>
      </c>
      <c r="Q35">
        <v>214.70774304394899</v>
      </c>
      <c r="R35">
        <v>450.62118910458298</v>
      </c>
      <c r="S35">
        <v>344.06404182344301</v>
      </c>
      <c r="T35">
        <v>268.537788740248</v>
      </c>
      <c r="U35">
        <v>297.227723434719</v>
      </c>
      <c r="V35">
        <v>300.59256558681</v>
      </c>
      <c r="W35">
        <v>359.19183830048399</v>
      </c>
      <c r="X35">
        <v>451.61546920821098</v>
      </c>
      <c r="Y35">
        <v>380.95454545454498</v>
      </c>
      <c r="Z35">
        <v>289</v>
      </c>
      <c r="AA35">
        <v>283</v>
      </c>
      <c r="AB35">
        <v>375.048442906574</v>
      </c>
      <c r="AC35">
        <v>283.23970948673599</v>
      </c>
      <c r="AD35">
        <v>258.82249315167297</v>
      </c>
      <c r="AE35">
        <v>304.93995556778901</v>
      </c>
    </row>
    <row r="36" spans="1:31" x14ac:dyDescent="0.3">
      <c r="A36" t="s">
        <v>300</v>
      </c>
      <c r="B36" t="s">
        <v>190</v>
      </c>
      <c r="C36" t="s">
        <v>0</v>
      </c>
      <c r="D36" t="s">
        <v>191</v>
      </c>
      <c r="E36" t="s">
        <v>123</v>
      </c>
      <c r="F36">
        <v>4.9583693395522603</v>
      </c>
      <c r="G36">
        <v>4.9583693395522603</v>
      </c>
      <c r="H36">
        <v>6.1979616744403296</v>
      </c>
      <c r="I36">
        <v>6.1979616744403296</v>
      </c>
      <c r="J36">
        <v>6.1979616744403296</v>
      </c>
      <c r="K36">
        <v>3.7187770046641999</v>
      </c>
      <c r="L36">
        <v>6.1979616744403296</v>
      </c>
      <c r="M36">
        <v>7.4375540093283998</v>
      </c>
      <c r="N36">
        <v>8.6771463442164602</v>
      </c>
      <c r="O36">
        <v>6.1979616744403296</v>
      </c>
      <c r="P36">
        <v>4.9583693395522603</v>
      </c>
      <c r="Q36">
        <v>6.1979616744403296</v>
      </c>
      <c r="R36">
        <v>8.6771463442164602</v>
      </c>
      <c r="S36">
        <v>16.114700353544901</v>
      </c>
      <c r="T36">
        <v>11.510500252531999</v>
      </c>
      <c r="U36">
        <v>62.156701363673001</v>
      </c>
      <c r="V36">
        <v>66.677188735576493</v>
      </c>
      <c r="W36">
        <v>62.304914064391198</v>
      </c>
      <c r="X36">
        <v>71.809053497942401</v>
      </c>
      <c r="Y36">
        <v>83.093333333333305</v>
      </c>
      <c r="Z36">
        <v>76</v>
      </c>
      <c r="AA36">
        <v>51</v>
      </c>
      <c r="AB36">
        <v>104.94230769230801</v>
      </c>
      <c r="AC36">
        <v>124.55769230769199</v>
      </c>
      <c r="AD36">
        <v>143.19230769230799</v>
      </c>
      <c r="AE36">
        <v>125.293269230769</v>
      </c>
    </row>
    <row r="37" spans="1:31" x14ac:dyDescent="0.3">
      <c r="A37" t="s">
        <v>300</v>
      </c>
      <c r="B37" t="s">
        <v>192</v>
      </c>
      <c r="C37" t="s">
        <v>0</v>
      </c>
      <c r="D37" t="s">
        <v>193</v>
      </c>
      <c r="E37" t="s">
        <v>123</v>
      </c>
      <c r="F37">
        <v>69.650601501976197</v>
      </c>
      <c r="G37">
        <v>83.990431222971296</v>
      </c>
      <c r="H37">
        <v>99.616557962128695</v>
      </c>
      <c r="I37">
        <v>128.352103528127</v>
      </c>
      <c r="J37">
        <v>170.524937544512</v>
      </c>
      <c r="K37">
        <v>157.959942146495</v>
      </c>
      <c r="L37">
        <v>117.19608610869</v>
      </c>
      <c r="M37">
        <v>160.54258371053399</v>
      </c>
      <c r="N37">
        <v>97.854527214040104</v>
      </c>
      <c r="O37">
        <v>117.128903786503</v>
      </c>
      <c r="P37">
        <v>108.558496192368</v>
      </c>
      <c r="Q37">
        <v>88.203778156299194</v>
      </c>
      <c r="R37">
        <v>73.722560847056002</v>
      </c>
      <c r="S37">
        <v>73.722560847056002</v>
      </c>
      <c r="T37">
        <v>52.319236730168797</v>
      </c>
      <c r="U37">
        <v>50.044487307117997</v>
      </c>
      <c r="V37">
        <v>46.708188153310097</v>
      </c>
      <c r="W37">
        <v>30.414634146341498</v>
      </c>
      <c r="X37">
        <v>44.048780487804898</v>
      </c>
      <c r="Y37">
        <v>42</v>
      </c>
      <c r="Z37">
        <v>36</v>
      </c>
      <c r="AA37">
        <v>34</v>
      </c>
      <c r="AB37">
        <v>31.0857142857143</v>
      </c>
      <c r="AC37">
        <v>27.2</v>
      </c>
      <c r="AD37">
        <v>33.028571428571396</v>
      </c>
      <c r="AE37">
        <v>26.422857142857101</v>
      </c>
    </row>
    <row r="38" spans="1:31" x14ac:dyDescent="0.3">
      <c r="A38" t="s">
        <v>300</v>
      </c>
      <c r="B38" t="s">
        <v>194</v>
      </c>
      <c r="C38" t="s">
        <v>0</v>
      </c>
      <c r="D38" t="s">
        <v>195</v>
      </c>
      <c r="E38" t="s">
        <v>123</v>
      </c>
      <c r="F38">
        <v>11.200357467368899</v>
      </c>
      <c r="G38">
        <v>9.3336312228073801</v>
      </c>
      <c r="H38">
        <v>9.3336312228073801</v>
      </c>
      <c r="I38">
        <v>18.667262445614799</v>
      </c>
      <c r="J38">
        <v>70.935597293336102</v>
      </c>
      <c r="K38">
        <v>87.305350514875201</v>
      </c>
      <c r="L38">
        <v>90.729089750752607</v>
      </c>
      <c r="M38">
        <v>234.92353596177</v>
      </c>
      <c r="N38">
        <v>267.38007711438303</v>
      </c>
      <c r="O38">
        <v>171.24342017437999</v>
      </c>
      <c r="P38">
        <v>225.92619300317401</v>
      </c>
      <c r="Q38">
        <v>119.85109019070801</v>
      </c>
      <c r="R38">
        <v>368.87502203140201</v>
      </c>
      <c r="S38">
        <v>254.08524244820299</v>
      </c>
      <c r="T38">
        <v>204.71322851277</v>
      </c>
      <c r="U38">
        <v>185.16196511548301</v>
      </c>
      <c r="V38">
        <v>187.40635257142901</v>
      </c>
      <c r="W38">
        <v>266.48533371428601</v>
      </c>
      <c r="X38">
        <v>335.72955428571402</v>
      </c>
      <c r="Y38">
        <v>255.891428571429</v>
      </c>
      <c r="Z38">
        <v>177</v>
      </c>
      <c r="AA38">
        <v>198</v>
      </c>
      <c r="AB38">
        <v>239.168316831683</v>
      </c>
      <c r="AC38">
        <v>131.78662356031501</v>
      </c>
      <c r="AD38">
        <v>82.976762982420695</v>
      </c>
      <c r="AE38">
        <v>153.695595069711</v>
      </c>
    </row>
    <row r="39" spans="1:31" x14ac:dyDescent="0.3">
      <c r="A39" t="s">
        <v>300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>
        <v>0</v>
      </c>
      <c r="O39">
        <v>0</v>
      </c>
      <c r="P39">
        <v>0</v>
      </c>
      <c r="Q39">
        <v>1.3549967406652701</v>
      </c>
      <c r="R39">
        <v>46.069889182619001</v>
      </c>
      <c r="S39">
        <v>97.2586549410846</v>
      </c>
      <c r="T39">
        <v>81.649241185108096</v>
      </c>
      <c r="U39">
        <v>83.949219810040702</v>
      </c>
      <c r="V39">
        <v>83.949219810040702</v>
      </c>
      <c r="W39">
        <v>96.864484396200794</v>
      </c>
      <c r="X39">
        <v>69.784090909090907</v>
      </c>
      <c r="Y39">
        <v>78.886363636363598</v>
      </c>
      <c r="Z39">
        <v>89</v>
      </c>
      <c r="AA39">
        <v>79</v>
      </c>
      <c r="AB39">
        <v>106.308641975309</v>
      </c>
      <c r="AC39">
        <v>101.432098765432</v>
      </c>
      <c r="AD39">
        <v>94.604938271604894</v>
      </c>
      <c r="AE39">
        <v>87.111477814448094</v>
      </c>
    </row>
    <row r="40" spans="1:31" x14ac:dyDescent="0.3">
      <c r="A40" t="s">
        <v>300</v>
      </c>
      <c r="B40" t="s">
        <v>198</v>
      </c>
      <c r="C40" t="s">
        <v>0</v>
      </c>
      <c r="D40" t="s">
        <v>199</v>
      </c>
      <c r="E40" t="s">
        <v>123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3</v>
      </c>
      <c r="W40">
        <v>3</v>
      </c>
      <c r="X40">
        <v>2</v>
      </c>
      <c r="Y40">
        <v>3</v>
      </c>
      <c r="Z40">
        <v>5</v>
      </c>
      <c r="AA40">
        <v>4</v>
      </c>
      <c r="AB40">
        <v>4</v>
      </c>
      <c r="AC40">
        <v>4</v>
      </c>
      <c r="AD40">
        <v>4</v>
      </c>
      <c r="AE40">
        <v>4</v>
      </c>
    </row>
    <row r="41" spans="1:31" x14ac:dyDescent="0.3">
      <c r="A41" t="s">
        <v>300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31" x14ac:dyDescent="0.3">
      <c r="A42" t="s">
        <v>300</v>
      </c>
      <c r="B42" t="s">
        <v>202</v>
      </c>
      <c r="C42" t="s">
        <v>0</v>
      </c>
      <c r="D42" t="s">
        <v>203</v>
      </c>
      <c r="E42" t="s">
        <v>123</v>
      </c>
      <c r="F42">
        <v>790.40466005795395</v>
      </c>
      <c r="G42">
        <v>822.50231122781997</v>
      </c>
      <c r="H42">
        <v>863.04819980947298</v>
      </c>
      <c r="I42">
        <v>878.12327753540296</v>
      </c>
      <c r="J42">
        <v>954.48182340804703</v>
      </c>
      <c r="K42">
        <v>979.45891785236904</v>
      </c>
      <c r="L42">
        <v>986.21380694100696</v>
      </c>
      <c r="M42">
        <v>1127.10149364686</v>
      </c>
      <c r="N42">
        <v>967.62046597438302</v>
      </c>
      <c r="O42">
        <v>1002.01810232278</v>
      </c>
      <c r="P42">
        <v>974.78155876893902</v>
      </c>
      <c r="Q42">
        <v>1021.3301163506</v>
      </c>
      <c r="R42">
        <v>924.25056102040105</v>
      </c>
      <c r="S42">
        <v>895.93090594735304</v>
      </c>
      <c r="T42">
        <v>916.37496688843305</v>
      </c>
      <c r="U42">
        <v>910.62606496316096</v>
      </c>
      <c r="V42">
        <v>841.00976899803595</v>
      </c>
      <c r="W42">
        <v>874.69362279511495</v>
      </c>
      <c r="X42">
        <v>841.05156037991901</v>
      </c>
      <c r="Y42">
        <v>755</v>
      </c>
      <c r="Z42">
        <v>755</v>
      </c>
      <c r="AA42">
        <v>704</v>
      </c>
      <c r="AB42">
        <v>656.02225312934604</v>
      </c>
      <c r="AC42">
        <v>769.26418968143605</v>
      </c>
      <c r="AD42">
        <v>800.50334459235705</v>
      </c>
      <c r="AE42">
        <v>759.16279628007601</v>
      </c>
    </row>
    <row r="43" spans="1:31" x14ac:dyDescent="0.3">
      <c r="A43" t="s">
        <v>300</v>
      </c>
      <c r="B43" t="s">
        <v>204</v>
      </c>
      <c r="C43" t="s">
        <v>0</v>
      </c>
      <c r="D43" t="s">
        <v>205</v>
      </c>
      <c r="E43" t="s">
        <v>123</v>
      </c>
      <c r="F43">
        <v>789.17635384040602</v>
      </c>
      <c r="G43">
        <v>823.140905777841</v>
      </c>
      <c r="H43">
        <v>865.45188691595399</v>
      </c>
      <c r="I43">
        <v>880.470574758314</v>
      </c>
      <c r="J43">
        <v>956.56062442878499</v>
      </c>
      <c r="K43">
        <v>977.89654913723405</v>
      </c>
      <c r="L43">
        <v>984.629055499625</v>
      </c>
      <c r="M43">
        <v>1133.04153874349</v>
      </c>
      <c r="N43">
        <v>972.48909398226704</v>
      </c>
      <c r="O43">
        <v>1011.26933392634</v>
      </c>
      <c r="P43">
        <v>986.95309817422606</v>
      </c>
      <c r="Q43">
        <v>1033.43011387772</v>
      </c>
      <c r="R43">
        <v>933.80638824683604</v>
      </c>
      <c r="S43">
        <v>895.21934741019004</v>
      </c>
      <c r="T43">
        <v>915.647171445053</v>
      </c>
      <c r="U43">
        <v>913.34943701231805</v>
      </c>
      <c r="V43">
        <v>844.90433178166495</v>
      </c>
      <c r="W43">
        <v>879.65618090378996</v>
      </c>
      <c r="X43">
        <v>843.92343281450803</v>
      </c>
      <c r="Y43">
        <v>763.01329787233999</v>
      </c>
      <c r="Z43">
        <v>762</v>
      </c>
      <c r="AA43">
        <v>719</v>
      </c>
      <c r="AB43">
        <v>663.16485013624003</v>
      </c>
      <c r="AC43">
        <v>778.41293896698596</v>
      </c>
      <c r="AD43">
        <v>803.80658565850604</v>
      </c>
      <c r="AE43">
        <v>779.36334445719399</v>
      </c>
    </row>
    <row r="44" spans="1:31" x14ac:dyDescent="0.3">
      <c r="A44" t="s">
        <v>300</v>
      </c>
      <c r="B44" t="s">
        <v>206</v>
      </c>
      <c r="C44" t="s">
        <v>0</v>
      </c>
      <c r="D44" t="s">
        <v>207</v>
      </c>
      <c r="E44" t="s">
        <v>123</v>
      </c>
      <c r="F44">
        <v>3215.6639946331302</v>
      </c>
      <c r="G44">
        <v>3621.2607205705599</v>
      </c>
      <c r="H44">
        <v>4051.6025498443801</v>
      </c>
      <c r="I44">
        <v>4603.3414354337201</v>
      </c>
      <c r="J44">
        <v>5535.0335606431699</v>
      </c>
      <c r="K44">
        <v>6135.2600896664499</v>
      </c>
      <c r="L44">
        <v>6087.1208735949303</v>
      </c>
      <c r="M44">
        <v>5990.8755720684203</v>
      </c>
      <c r="N44">
        <v>6071.0564825026604</v>
      </c>
      <c r="O44">
        <v>6248.1412607963703</v>
      </c>
      <c r="P44">
        <v>6228.2698437924801</v>
      </c>
      <c r="Q44">
        <v>6247.2626074198097</v>
      </c>
      <c r="R44">
        <v>6705.0873433806701</v>
      </c>
      <c r="S44">
        <v>7110.6421397652703</v>
      </c>
      <c r="T44">
        <v>6410.5688376983198</v>
      </c>
      <c r="U44">
        <v>6347.8207889221303</v>
      </c>
      <c r="V44">
        <v>5891.6966317420301</v>
      </c>
      <c r="W44">
        <v>5244.0316872726798</v>
      </c>
      <c r="X44">
        <v>5019.8113513932904</v>
      </c>
      <c r="Y44">
        <v>4671.11392405063</v>
      </c>
      <c r="Z44">
        <v>4316</v>
      </c>
      <c r="AA44">
        <v>3977</v>
      </c>
      <c r="AB44">
        <v>3803.40468557337</v>
      </c>
      <c r="AC44">
        <v>4090.9338646833098</v>
      </c>
      <c r="AD44">
        <v>4060.6161621240999</v>
      </c>
      <c r="AE44">
        <v>3981.5499225277999</v>
      </c>
    </row>
    <row r="45" spans="1:31" x14ac:dyDescent="0.3">
      <c r="A45" t="s">
        <v>300</v>
      </c>
      <c r="B45" t="s">
        <v>208</v>
      </c>
      <c r="C45" t="s">
        <v>0</v>
      </c>
      <c r="D45" t="s">
        <v>209</v>
      </c>
      <c r="E45" t="s">
        <v>123</v>
      </c>
      <c r="F45">
        <v>3210.4979363554498</v>
      </c>
      <c r="G45">
        <v>3620.0596440767299</v>
      </c>
      <c r="H45">
        <v>4052.36167841611</v>
      </c>
      <c r="I45">
        <v>4598.68551794838</v>
      </c>
      <c r="J45">
        <v>5530.51506605547</v>
      </c>
      <c r="K45">
        <v>6132.57113653746</v>
      </c>
      <c r="L45">
        <v>6087.7472543808499</v>
      </c>
      <c r="M45">
        <v>5989.9140947718297</v>
      </c>
      <c r="N45">
        <v>6071.6153731546701</v>
      </c>
      <c r="O45">
        <v>6247.2406112211302</v>
      </c>
      <c r="P45">
        <v>6228.7870488612398</v>
      </c>
      <c r="Q45">
        <v>6247.7813896767602</v>
      </c>
      <c r="R45">
        <v>6705.6441441050301</v>
      </c>
      <c r="S45">
        <v>7111.2326183811801</v>
      </c>
      <c r="T45">
        <v>6409.9064176100501</v>
      </c>
      <c r="U45">
        <v>6344.8717672355797</v>
      </c>
      <c r="V45">
        <v>5885.3732317985896</v>
      </c>
      <c r="W45">
        <v>5242.0153275325301</v>
      </c>
      <c r="X45">
        <v>5018.8393801480697</v>
      </c>
      <c r="Y45">
        <v>4669.1158536585399</v>
      </c>
      <c r="Z45">
        <v>4314</v>
      </c>
      <c r="AA45">
        <v>3975</v>
      </c>
      <c r="AB45">
        <v>3799.4448556624702</v>
      </c>
      <c r="AC45">
        <v>4077.19063146894</v>
      </c>
      <c r="AD45">
        <v>4044.9173547026999</v>
      </c>
      <c r="AE45">
        <v>3967.7458276934799</v>
      </c>
    </row>
    <row r="46" spans="1:31" x14ac:dyDescent="0.3">
      <c r="A46" t="s">
        <v>300</v>
      </c>
      <c r="B46" t="s">
        <v>210</v>
      </c>
      <c r="C46" t="s">
        <v>0</v>
      </c>
      <c r="D46" t="s">
        <v>211</v>
      </c>
      <c r="E46" t="s">
        <v>123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>
        <v>0</v>
      </c>
      <c r="T46">
        <v>0</v>
      </c>
      <c r="U46">
        <v>3</v>
      </c>
      <c r="V46">
        <v>4</v>
      </c>
      <c r="W46">
        <v>5</v>
      </c>
      <c r="X46">
        <v>3</v>
      </c>
      <c r="Y46">
        <v>8</v>
      </c>
      <c r="Z46">
        <v>7</v>
      </c>
      <c r="AA46">
        <v>15</v>
      </c>
      <c r="AB46">
        <v>7</v>
      </c>
      <c r="AC46">
        <v>9</v>
      </c>
      <c r="AD46">
        <v>3</v>
      </c>
      <c r="AE46">
        <v>21</v>
      </c>
    </row>
    <row r="47" spans="1:31" x14ac:dyDescent="0.3">
      <c r="A47" t="s">
        <v>300</v>
      </c>
      <c r="B47" t="s">
        <v>212</v>
      </c>
      <c r="C47" t="s">
        <v>0</v>
      </c>
      <c r="D47" t="s">
        <v>213</v>
      </c>
      <c r="E47" t="s">
        <v>123</v>
      </c>
      <c r="F47">
        <v>51.773496890076501</v>
      </c>
      <c r="G47">
        <v>53.5587898862861</v>
      </c>
      <c r="H47">
        <v>55.286492785843699</v>
      </c>
      <c r="I47">
        <v>65.338582383269795</v>
      </c>
      <c r="J47">
        <v>78.406298859923794</v>
      </c>
      <c r="K47">
        <v>73.605913215438605</v>
      </c>
      <c r="L47">
        <v>61.5886212618976</v>
      </c>
      <c r="M47">
        <v>74.479262921364594</v>
      </c>
      <c r="N47">
        <v>67.583034873090099</v>
      </c>
      <c r="O47">
        <v>68.934695570551895</v>
      </c>
      <c r="P47">
        <v>65.032731670331998</v>
      </c>
      <c r="Q47">
        <v>81.290914587914997</v>
      </c>
      <c r="R47">
        <v>53.385078236839703</v>
      </c>
      <c r="S47">
        <v>49.826073021050398</v>
      </c>
      <c r="T47">
        <v>66.434764028067093</v>
      </c>
      <c r="U47">
        <v>57.862536411542301</v>
      </c>
      <c r="V47">
        <v>49.446167478954401</v>
      </c>
      <c r="W47">
        <v>76.229508196721298</v>
      </c>
      <c r="X47">
        <v>62</v>
      </c>
      <c r="Y47">
        <v>55</v>
      </c>
      <c r="Z47">
        <v>54</v>
      </c>
      <c r="AA47">
        <v>88</v>
      </c>
      <c r="AB47">
        <v>103.82022471910101</v>
      </c>
      <c r="AC47">
        <v>107.77528089887601</v>
      </c>
      <c r="AD47">
        <v>102.831460674157</v>
      </c>
      <c r="AE47">
        <v>99.022888056595903</v>
      </c>
    </row>
    <row r="48" spans="1:31" x14ac:dyDescent="0.3">
      <c r="A48" t="s">
        <v>300</v>
      </c>
      <c r="B48" t="s">
        <v>214</v>
      </c>
      <c r="C48" t="s">
        <v>0</v>
      </c>
      <c r="D48" t="s">
        <v>215</v>
      </c>
      <c r="E48" t="s">
        <v>123</v>
      </c>
      <c r="F48">
        <v>895.26404704968695</v>
      </c>
      <c r="G48">
        <v>1158.2227693893899</v>
      </c>
      <c r="H48">
        <v>1417.3243571993701</v>
      </c>
      <c r="I48">
        <v>1187.0799210098601</v>
      </c>
      <c r="J48">
        <v>1356.14337070958</v>
      </c>
      <c r="K48">
        <v>1216.9602352946499</v>
      </c>
      <c r="L48">
        <v>1303.04202725031</v>
      </c>
      <c r="M48">
        <v>1403.89171732005</v>
      </c>
      <c r="N48">
        <v>1410.0222488367299</v>
      </c>
      <c r="O48">
        <v>1442.8481636244601</v>
      </c>
      <c r="P48">
        <v>1404.16206589074</v>
      </c>
      <c r="Q48">
        <v>1432.90222513412</v>
      </c>
      <c r="R48">
        <v>1470.1204647479899</v>
      </c>
      <c r="S48">
        <v>1383.7943726024</v>
      </c>
      <c r="T48">
        <v>1454.72735955596</v>
      </c>
      <c r="U48">
        <v>1563.8032073521799</v>
      </c>
      <c r="V48">
        <v>1525.7163097519101</v>
      </c>
      <c r="W48">
        <v>1551.74132143211</v>
      </c>
      <c r="X48">
        <v>1463.49063016583</v>
      </c>
      <c r="Y48">
        <v>1486.03740458015</v>
      </c>
      <c r="Z48">
        <v>1327</v>
      </c>
      <c r="AA48">
        <v>1468</v>
      </c>
      <c r="AB48">
        <v>1550.3177570093501</v>
      </c>
      <c r="AC48">
        <v>1613.77534781892</v>
      </c>
      <c r="AD48">
        <v>1622.5617834694799</v>
      </c>
      <c r="AE48">
        <v>1598.1764618682</v>
      </c>
    </row>
    <row r="49" spans="1:31" x14ac:dyDescent="0.3">
      <c r="A49" t="s">
        <v>300</v>
      </c>
      <c r="B49" t="s">
        <v>216</v>
      </c>
      <c r="C49" t="s">
        <v>0</v>
      </c>
      <c r="D49" t="s">
        <v>217</v>
      </c>
      <c r="E49" t="s">
        <v>123</v>
      </c>
      <c r="F49">
        <v>842.45504904973802</v>
      </c>
      <c r="G49">
        <v>1104.32661851339</v>
      </c>
      <c r="H49">
        <v>1364.2831499510601</v>
      </c>
      <c r="I49">
        <v>1114.3235798201599</v>
      </c>
      <c r="J49">
        <v>1270.3655967636801</v>
      </c>
      <c r="K49">
        <v>1135.22032051222</v>
      </c>
      <c r="L49">
        <v>1235.7878864434899</v>
      </c>
      <c r="M49">
        <v>1321.40456354349</v>
      </c>
      <c r="N49">
        <v>1336.85958767851</v>
      </c>
      <c r="O49">
        <v>1368.43894801737</v>
      </c>
      <c r="P49">
        <v>1333.7949240169301</v>
      </c>
      <c r="Q49">
        <v>1343.4401352443199</v>
      </c>
      <c r="R49">
        <v>1409.00643666561</v>
      </c>
      <c r="S49">
        <v>1327.3436901063301</v>
      </c>
      <c r="T49">
        <v>1379.32527359866</v>
      </c>
      <c r="U49">
        <v>1493.5001917309901</v>
      </c>
      <c r="V49">
        <v>1465.3846007722</v>
      </c>
      <c r="W49">
        <v>1459.9451627589399</v>
      </c>
      <c r="X49">
        <v>1387.31631183582</v>
      </c>
      <c r="Y49">
        <v>1417.0738362760801</v>
      </c>
      <c r="Z49">
        <v>1263</v>
      </c>
      <c r="AA49">
        <v>1367</v>
      </c>
      <c r="AB49">
        <v>1432.6081661891101</v>
      </c>
      <c r="AC49">
        <v>1484.29518648048</v>
      </c>
      <c r="AD49">
        <v>1496.9731348538401</v>
      </c>
      <c r="AE49">
        <v>1474.50449493108</v>
      </c>
    </row>
    <row r="50" spans="1:31" x14ac:dyDescent="0.3">
      <c r="A50" t="s">
        <v>300</v>
      </c>
      <c r="B50" t="s">
        <v>218</v>
      </c>
      <c r="C50" t="s">
        <v>0</v>
      </c>
      <c r="D50" t="s">
        <v>219</v>
      </c>
      <c r="E50" t="s">
        <v>123</v>
      </c>
      <c r="F50">
        <v>2</v>
      </c>
      <c r="G50">
        <v>3</v>
      </c>
      <c r="H50">
        <v>3</v>
      </c>
      <c r="I50">
        <v>6</v>
      </c>
      <c r="J50">
        <v>6</v>
      </c>
      <c r="K50">
        <v>6</v>
      </c>
      <c r="L50">
        <v>6</v>
      </c>
      <c r="M50">
        <v>7</v>
      </c>
      <c r="N50">
        <v>6</v>
      </c>
      <c r="O50">
        <v>6</v>
      </c>
      <c r="P50">
        <v>6</v>
      </c>
      <c r="Q50">
        <v>7</v>
      </c>
      <c r="R50">
        <v>9</v>
      </c>
      <c r="S50">
        <v>8</v>
      </c>
      <c r="T50">
        <v>9</v>
      </c>
      <c r="U50">
        <v>13</v>
      </c>
      <c r="V50">
        <v>12</v>
      </c>
      <c r="W50">
        <v>15</v>
      </c>
      <c r="X50">
        <v>14</v>
      </c>
      <c r="Y50">
        <v>14</v>
      </c>
      <c r="Z50">
        <v>10</v>
      </c>
      <c r="AA50">
        <v>13</v>
      </c>
      <c r="AB50">
        <v>14</v>
      </c>
      <c r="AC50">
        <v>22</v>
      </c>
      <c r="AD50">
        <v>23</v>
      </c>
      <c r="AE50">
        <v>25</v>
      </c>
    </row>
    <row r="51" spans="1:31" x14ac:dyDescent="0.3">
      <c r="A51" t="s">
        <v>300</v>
      </c>
      <c r="B51" t="s">
        <v>220</v>
      </c>
      <c r="C51" t="s">
        <v>0</v>
      </c>
      <c r="D51" t="s">
        <v>221</v>
      </c>
      <c r="E51" t="s">
        <v>123</v>
      </c>
      <c r="F51">
        <v>2</v>
      </c>
      <c r="G51">
        <v>2</v>
      </c>
      <c r="H51">
        <v>2</v>
      </c>
      <c r="I51">
        <v>5</v>
      </c>
      <c r="J51">
        <v>5</v>
      </c>
      <c r="K51">
        <v>5</v>
      </c>
      <c r="L51">
        <v>5</v>
      </c>
      <c r="M51">
        <v>5</v>
      </c>
      <c r="N51">
        <v>4</v>
      </c>
      <c r="O51">
        <v>4</v>
      </c>
      <c r="P51">
        <v>4</v>
      </c>
      <c r="Q51">
        <v>5</v>
      </c>
      <c r="R51">
        <v>7</v>
      </c>
      <c r="S51">
        <v>6</v>
      </c>
      <c r="T51">
        <v>7</v>
      </c>
      <c r="U51">
        <v>8</v>
      </c>
      <c r="V51">
        <v>7</v>
      </c>
      <c r="W51">
        <v>9</v>
      </c>
      <c r="X51">
        <v>7</v>
      </c>
      <c r="Y51">
        <v>7</v>
      </c>
      <c r="Z51">
        <v>2</v>
      </c>
      <c r="AA51">
        <v>4</v>
      </c>
      <c r="AB51">
        <v>6</v>
      </c>
      <c r="AC51">
        <v>14</v>
      </c>
      <c r="AD51">
        <v>12</v>
      </c>
      <c r="AE51">
        <v>13</v>
      </c>
    </row>
    <row r="52" spans="1:31" x14ac:dyDescent="0.3">
      <c r="A52" t="s">
        <v>300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5</v>
      </c>
      <c r="V52">
        <v>5</v>
      </c>
      <c r="W52">
        <v>6</v>
      </c>
      <c r="X52">
        <v>7</v>
      </c>
      <c r="Y52">
        <v>7</v>
      </c>
      <c r="Z52">
        <v>8</v>
      </c>
      <c r="AA52">
        <v>9</v>
      </c>
      <c r="AB52">
        <v>8</v>
      </c>
      <c r="AC52">
        <v>8</v>
      </c>
      <c r="AD52">
        <v>11</v>
      </c>
      <c r="AE52">
        <v>12</v>
      </c>
    </row>
    <row r="53" spans="1:31" x14ac:dyDescent="0.3">
      <c r="A53" t="s">
        <v>300</v>
      </c>
      <c r="B53" t="s">
        <v>224</v>
      </c>
      <c r="C53" t="s">
        <v>0</v>
      </c>
      <c r="D53" t="s">
        <v>225</v>
      </c>
      <c r="E53" t="s">
        <v>123</v>
      </c>
      <c r="F53">
        <v>2</v>
      </c>
      <c r="G53">
        <v>2</v>
      </c>
      <c r="H53">
        <v>2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2</v>
      </c>
      <c r="P53">
        <v>3</v>
      </c>
      <c r="Q53">
        <v>4</v>
      </c>
      <c r="R53">
        <v>5</v>
      </c>
      <c r="S53">
        <v>5</v>
      </c>
      <c r="T53">
        <v>9</v>
      </c>
      <c r="U53">
        <v>12</v>
      </c>
      <c r="V53">
        <v>12</v>
      </c>
      <c r="W53">
        <v>15</v>
      </c>
      <c r="X53">
        <v>14</v>
      </c>
      <c r="Y53">
        <v>18</v>
      </c>
      <c r="Z53">
        <v>18</v>
      </c>
      <c r="AA53">
        <v>10</v>
      </c>
      <c r="AB53">
        <v>23</v>
      </c>
      <c r="AC53">
        <v>24</v>
      </c>
      <c r="AD53">
        <v>24</v>
      </c>
      <c r="AE53">
        <v>22.08</v>
      </c>
    </row>
    <row r="54" spans="1:31" x14ac:dyDescent="0.3">
      <c r="A54" t="s">
        <v>300</v>
      </c>
      <c r="B54" t="s">
        <v>226</v>
      </c>
      <c r="C54" t="s">
        <v>0</v>
      </c>
      <c r="D54" t="s">
        <v>227</v>
      </c>
      <c r="E54" t="s">
        <v>123</v>
      </c>
      <c r="F54">
        <v>8</v>
      </c>
      <c r="G54">
        <v>8</v>
      </c>
      <c r="H54">
        <v>6</v>
      </c>
      <c r="I54">
        <v>9</v>
      </c>
      <c r="J54">
        <v>9</v>
      </c>
      <c r="K54">
        <v>11</v>
      </c>
      <c r="L54">
        <v>13</v>
      </c>
      <c r="M54">
        <v>10</v>
      </c>
      <c r="N54">
        <v>13</v>
      </c>
      <c r="O54">
        <v>14</v>
      </c>
      <c r="P54">
        <v>12</v>
      </c>
      <c r="Q54">
        <v>12</v>
      </c>
      <c r="R54">
        <v>10</v>
      </c>
      <c r="S54">
        <v>9</v>
      </c>
      <c r="T54">
        <v>14</v>
      </c>
      <c r="U54">
        <v>18</v>
      </c>
      <c r="V54">
        <v>18</v>
      </c>
      <c r="W54">
        <v>22</v>
      </c>
      <c r="X54">
        <v>20</v>
      </c>
      <c r="Y54">
        <v>24</v>
      </c>
      <c r="Z54">
        <v>27</v>
      </c>
      <c r="AA54">
        <v>19</v>
      </c>
      <c r="AB54">
        <v>32</v>
      </c>
      <c r="AC54">
        <v>34</v>
      </c>
      <c r="AD54">
        <v>33</v>
      </c>
      <c r="AE54">
        <v>32.029411764705898</v>
      </c>
    </row>
    <row r="55" spans="1:31" x14ac:dyDescent="0.3">
      <c r="A55" t="s">
        <v>300</v>
      </c>
      <c r="B55" t="s">
        <v>228</v>
      </c>
      <c r="C55" t="s">
        <v>0</v>
      </c>
      <c r="D55" t="s">
        <v>229</v>
      </c>
      <c r="E55" t="s">
        <v>123</v>
      </c>
      <c r="F55">
        <v>6</v>
      </c>
      <c r="G55">
        <v>6</v>
      </c>
      <c r="H55">
        <v>4</v>
      </c>
      <c r="I55">
        <v>5</v>
      </c>
      <c r="J55">
        <v>5</v>
      </c>
      <c r="K55">
        <v>8</v>
      </c>
      <c r="L55">
        <v>9</v>
      </c>
      <c r="M55">
        <v>8</v>
      </c>
      <c r="N55">
        <v>10</v>
      </c>
      <c r="O55">
        <v>12</v>
      </c>
      <c r="P55">
        <v>9</v>
      </c>
      <c r="Q55">
        <v>8</v>
      </c>
      <c r="R55">
        <v>5</v>
      </c>
      <c r="S55">
        <v>4</v>
      </c>
      <c r="T55">
        <v>5</v>
      </c>
      <c r="U55">
        <v>6</v>
      </c>
      <c r="V55">
        <v>6</v>
      </c>
      <c r="W55">
        <v>7</v>
      </c>
      <c r="X55">
        <v>6</v>
      </c>
      <c r="Y55">
        <v>6</v>
      </c>
      <c r="Z55">
        <v>9</v>
      </c>
      <c r="AA55">
        <v>9</v>
      </c>
      <c r="AB55">
        <v>9</v>
      </c>
      <c r="AC55">
        <v>10</v>
      </c>
      <c r="AD55">
        <v>9</v>
      </c>
      <c r="AE55">
        <v>10</v>
      </c>
    </row>
    <row r="56" spans="1:31" x14ac:dyDescent="0.3">
      <c r="A56" t="s">
        <v>300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300</v>
      </c>
      <c r="B57" t="s">
        <v>232</v>
      </c>
      <c r="C57" t="s">
        <v>0</v>
      </c>
      <c r="D57" t="s">
        <v>233</v>
      </c>
      <c r="E57" t="s">
        <v>123</v>
      </c>
      <c r="F57">
        <v>4112.5091466123504</v>
      </c>
      <c r="G57">
        <v>4778.7160915029999</v>
      </c>
      <c r="H57">
        <v>5464.6290773533701</v>
      </c>
      <c r="I57">
        <v>5789.8826172973004</v>
      </c>
      <c r="J57">
        <v>6893.2275008895704</v>
      </c>
      <c r="K57">
        <v>7358.6301219687402</v>
      </c>
      <c r="L57">
        <v>7395.2650761853702</v>
      </c>
      <c r="M57">
        <v>7395.2650761853702</v>
      </c>
      <c r="N57">
        <v>7481.7150575927899</v>
      </c>
      <c r="O57">
        <v>7691.7177336509403</v>
      </c>
      <c r="P57">
        <v>7633.4148260747297</v>
      </c>
      <c r="Q57">
        <v>7680.9792766555802</v>
      </c>
      <c r="R57">
        <v>8176.4837027257399</v>
      </c>
      <c r="S57">
        <v>8496.7784262734403</v>
      </c>
      <c r="T57">
        <v>7866.3684261824801</v>
      </c>
      <c r="U57">
        <v>7916.6327611740599</v>
      </c>
      <c r="V57">
        <v>7421.0060062443799</v>
      </c>
      <c r="W57">
        <v>6798.8922209126304</v>
      </c>
      <c r="X57">
        <v>6485.4197808119497</v>
      </c>
      <c r="Y57">
        <v>6160.0745386131503</v>
      </c>
      <c r="Z57">
        <v>5648</v>
      </c>
      <c r="AA57">
        <v>5449</v>
      </c>
      <c r="AB57">
        <v>5357.80745006298</v>
      </c>
      <c r="AC57">
        <v>5708.7384616617101</v>
      </c>
      <c r="AD57">
        <v>5687.23294005956</v>
      </c>
      <c r="AE57">
        <v>5583.7945102635003</v>
      </c>
    </row>
    <row r="58" spans="1:31" x14ac:dyDescent="0.3">
      <c r="A58" t="s">
        <v>300</v>
      </c>
      <c r="B58" t="s">
        <v>234</v>
      </c>
      <c r="C58" t="s">
        <v>0</v>
      </c>
      <c r="D58" t="s">
        <v>235</v>
      </c>
      <c r="E58" t="s">
        <v>123</v>
      </c>
      <c r="F58">
        <v>4112.5091466123504</v>
      </c>
      <c r="G58">
        <v>4778.7160915029999</v>
      </c>
      <c r="H58">
        <v>5464.6290773533701</v>
      </c>
      <c r="I58">
        <v>5789.8826172973004</v>
      </c>
      <c r="J58">
        <v>6893.2275008895704</v>
      </c>
      <c r="K58">
        <v>7358.6301219687402</v>
      </c>
      <c r="L58">
        <v>7395.2650761853702</v>
      </c>
      <c r="M58">
        <v>7395.2650761853702</v>
      </c>
      <c r="N58">
        <v>7481.7150575927899</v>
      </c>
      <c r="O58">
        <v>7691.7177336509403</v>
      </c>
      <c r="P58">
        <v>7633.4148260747297</v>
      </c>
      <c r="Q58">
        <v>7680.9792766555802</v>
      </c>
      <c r="R58">
        <v>8176.4837027257399</v>
      </c>
      <c r="S58">
        <v>8496.7784262734403</v>
      </c>
      <c r="T58">
        <v>7866.3684261824801</v>
      </c>
      <c r="U58">
        <v>7916.6327611740599</v>
      </c>
      <c r="V58">
        <v>7421.0060062443799</v>
      </c>
      <c r="W58">
        <v>6798.8922209126304</v>
      </c>
      <c r="X58">
        <v>6485.4197808119497</v>
      </c>
      <c r="Y58">
        <v>6160.0745386131503</v>
      </c>
      <c r="Z58">
        <v>5648</v>
      </c>
      <c r="AA58">
        <v>5449</v>
      </c>
      <c r="AB58">
        <v>5357.80745006298</v>
      </c>
      <c r="AC58">
        <v>5708.7384616617101</v>
      </c>
      <c r="AD58">
        <v>5687.23294005956</v>
      </c>
      <c r="AE58">
        <v>5583.7945102635003</v>
      </c>
    </row>
    <row r="59" spans="1:31" x14ac:dyDescent="0.3">
      <c r="A59" t="s">
        <v>300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301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301</v>
      </c>
      <c r="B3" t="s">
        <v>124</v>
      </c>
      <c r="C3" t="s">
        <v>0</v>
      </c>
      <c r="D3" t="s">
        <v>125</v>
      </c>
      <c r="E3" t="s">
        <v>123</v>
      </c>
      <c r="F3">
        <v>52.29</v>
      </c>
      <c r="G3">
        <v>37.865000000000002</v>
      </c>
      <c r="H3">
        <v>34.423000000000002</v>
      </c>
      <c r="I3">
        <v>37.701000000000001</v>
      </c>
      <c r="J3">
        <v>45.555</v>
      </c>
      <c r="K3">
        <v>51.63</v>
      </c>
      <c r="L3">
        <v>67.855999999999995</v>
      </c>
      <c r="M3">
        <v>62.317</v>
      </c>
      <c r="N3">
        <v>58.253</v>
      </c>
      <c r="O3">
        <v>45.012999999999998</v>
      </c>
      <c r="P3">
        <v>51.444000000000003</v>
      </c>
      <c r="Q3">
        <v>51.444000000000003</v>
      </c>
      <c r="R3">
        <v>69.816999999999993</v>
      </c>
      <c r="S3">
        <v>72.183000000000007</v>
      </c>
      <c r="T3">
        <v>59.058999999999997</v>
      </c>
      <c r="U3">
        <v>69.605000000000004</v>
      </c>
      <c r="V3">
        <v>92.460999999999999</v>
      </c>
      <c r="W3">
        <v>97.655000000000001</v>
      </c>
      <c r="X3">
        <v>59</v>
      </c>
      <c r="Y3">
        <v>44</v>
      </c>
      <c r="Z3">
        <v>39</v>
      </c>
      <c r="AA3">
        <v>45</v>
      </c>
      <c r="AB3">
        <v>66</v>
      </c>
      <c r="AC3">
        <v>73.881</v>
      </c>
      <c r="AD3">
        <v>65.245000000000005</v>
      </c>
      <c r="AE3">
        <v>70.918999999999997</v>
      </c>
    </row>
    <row r="4" spans="1:31" x14ac:dyDescent="0.3">
      <c r="A4" t="s">
        <v>301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301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301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301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301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301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301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301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301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301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301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301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301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301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301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301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301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301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301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301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301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301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301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301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301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301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301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301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301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301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301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301</v>
      </c>
      <c r="B35" t="s">
        <v>188</v>
      </c>
      <c r="C35" t="s">
        <v>0</v>
      </c>
      <c r="D35" t="s">
        <v>189</v>
      </c>
      <c r="E35" t="s">
        <v>123</v>
      </c>
      <c r="F35">
        <v>287.68700000000001</v>
      </c>
      <c r="G35">
        <v>317.27800000000002</v>
      </c>
      <c r="H35">
        <v>327.19299999999998</v>
      </c>
      <c r="I35">
        <v>323.90499999999997</v>
      </c>
      <c r="J35">
        <v>312.68</v>
      </c>
      <c r="K35">
        <v>309.49</v>
      </c>
      <c r="L35">
        <v>343.197</v>
      </c>
      <c r="M35">
        <v>293.54300000000001</v>
      </c>
      <c r="N35">
        <v>280.65499999999997</v>
      </c>
      <c r="O35">
        <v>277.80599999999998</v>
      </c>
      <c r="P35">
        <v>294.30900000000003</v>
      </c>
      <c r="Q35">
        <v>314.37599999999998</v>
      </c>
      <c r="R35">
        <v>318.30599999999998</v>
      </c>
      <c r="S35">
        <v>287.50200000000001</v>
      </c>
      <c r="T35">
        <v>283.75200000000001</v>
      </c>
      <c r="U35">
        <v>330.24900000000002</v>
      </c>
      <c r="V35">
        <v>329.09800000000001</v>
      </c>
      <c r="W35">
        <v>352.13499999999999</v>
      </c>
      <c r="X35">
        <v>333.995</v>
      </c>
      <c r="Y35">
        <v>313.185</v>
      </c>
      <c r="Z35">
        <v>302</v>
      </c>
      <c r="AA35">
        <v>370</v>
      </c>
      <c r="AB35">
        <v>370.97899999999998</v>
      </c>
      <c r="AC35">
        <v>371.94</v>
      </c>
      <c r="AD35">
        <v>368.16399999999999</v>
      </c>
      <c r="AE35">
        <v>381.11399999999998</v>
      </c>
    </row>
    <row r="36" spans="1:31" x14ac:dyDescent="0.3">
      <c r="A36" t="s">
        <v>301</v>
      </c>
      <c r="B36" t="s">
        <v>190</v>
      </c>
      <c r="C36" t="s">
        <v>0</v>
      </c>
      <c r="D36" t="s">
        <v>191</v>
      </c>
      <c r="E36" t="s">
        <v>123</v>
      </c>
      <c r="F36">
        <v>287.68700000000001</v>
      </c>
      <c r="G36">
        <v>317.27800000000002</v>
      </c>
      <c r="H36">
        <v>327.19299999999998</v>
      </c>
      <c r="I36">
        <v>323.90499999999997</v>
      </c>
      <c r="J36">
        <v>312.68</v>
      </c>
      <c r="K36">
        <v>309.49</v>
      </c>
      <c r="L36">
        <v>343.197</v>
      </c>
      <c r="M36">
        <v>293.54300000000001</v>
      </c>
      <c r="N36">
        <v>280.65499999999997</v>
      </c>
      <c r="O36">
        <v>277.80599999999998</v>
      </c>
      <c r="P36">
        <v>294.30900000000003</v>
      </c>
      <c r="Q36">
        <v>314.37599999999998</v>
      </c>
      <c r="R36">
        <v>318.30599999999998</v>
      </c>
      <c r="S36">
        <v>287.50200000000001</v>
      </c>
      <c r="T36">
        <v>283.75200000000001</v>
      </c>
      <c r="U36">
        <v>330.24900000000002</v>
      </c>
      <c r="V36">
        <v>329.09800000000001</v>
      </c>
      <c r="W36">
        <v>352.13499999999999</v>
      </c>
      <c r="X36">
        <v>333.995</v>
      </c>
      <c r="Y36">
        <v>313.185</v>
      </c>
      <c r="Z36">
        <v>302</v>
      </c>
      <c r="AA36">
        <v>370</v>
      </c>
      <c r="AB36">
        <v>370.97899999999998</v>
      </c>
      <c r="AC36">
        <v>371.94</v>
      </c>
      <c r="AD36">
        <v>368.16399999999999</v>
      </c>
      <c r="AE36">
        <v>381.11399999999998</v>
      </c>
    </row>
    <row r="37" spans="1:31" x14ac:dyDescent="0.3">
      <c r="A37" t="s">
        <v>301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301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301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301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301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301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301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301</v>
      </c>
      <c r="B44" t="s">
        <v>206</v>
      </c>
      <c r="C44" t="s">
        <v>0</v>
      </c>
      <c r="D44" t="s">
        <v>207</v>
      </c>
      <c r="E44" t="s">
        <v>123</v>
      </c>
      <c r="F44">
        <v>372.10700000000003</v>
      </c>
      <c r="G44">
        <v>391.95299999999997</v>
      </c>
      <c r="H44">
        <v>400.22199999999998</v>
      </c>
      <c r="I44">
        <v>400.22199999999998</v>
      </c>
      <c r="J44">
        <v>395.43900000000002</v>
      </c>
      <c r="K44">
        <v>401.76600000000002</v>
      </c>
      <c r="L44">
        <v>450.464</v>
      </c>
      <c r="M44">
        <v>395.42399999999998</v>
      </c>
      <c r="N44">
        <v>378.35500000000002</v>
      </c>
      <c r="O44">
        <v>362.82600000000002</v>
      </c>
      <c r="P44">
        <v>388.74200000000002</v>
      </c>
      <c r="Q44">
        <v>412.62299999999999</v>
      </c>
      <c r="R44">
        <v>435.98</v>
      </c>
      <c r="S44">
        <v>406.83</v>
      </c>
      <c r="T44">
        <v>401.94299999999998</v>
      </c>
      <c r="U44">
        <v>468.54399999999998</v>
      </c>
      <c r="V44">
        <v>501.36500000000001</v>
      </c>
      <c r="W44">
        <v>527.52300000000002</v>
      </c>
      <c r="X44">
        <v>463.83800000000002</v>
      </c>
      <c r="Y44">
        <v>425.53</v>
      </c>
      <c r="Z44">
        <v>391</v>
      </c>
      <c r="AA44">
        <v>484</v>
      </c>
      <c r="AB44">
        <v>507.46699999999998</v>
      </c>
      <c r="AC44">
        <v>530.44600000000003</v>
      </c>
      <c r="AD44">
        <v>512.64</v>
      </c>
      <c r="AE44">
        <v>534.68899999999996</v>
      </c>
    </row>
    <row r="45" spans="1:31" x14ac:dyDescent="0.3">
      <c r="A45" t="s">
        <v>301</v>
      </c>
      <c r="B45" t="s">
        <v>208</v>
      </c>
      <c r="C45" t="s">
        <v>0</v>
      </c>
      <c r="D45" t="s">
        <v>209</v>
      </c>
      <c r="E45" t="s">
        <v>123</v>
      </c>
      <c r="F45">
        <v>372.10700000000003</v>
      </c>
      <c r="G45">
        <v>391.95299999999997</v>
      </c>
      <c r="H45">
        <v>400.22199999999998</v>
      </c>
      <c r="I45">
        <v>400.22199999999998</v>
      </c>
      <c r="J45">
        <v>395.43900000000002</v>
      </c>
      <c r="K45">
        <v>401.76600000000002</v>
      </c>
      <c r="L45">
        <v>450.464</v>
      </c>
      <c r="M45">
        <v>395.42399999999998</v>
      </c>
      <c r="N45">
        <v>378.35500000000002</v>
      </c>
      <c r="O45">
        <v>362.82600000000002</v>
      </c>
      <c r="P45">
        <v>388.74200000000002</v>
      </c>
      <c r="Q45">
        <v>412.62299999999999</v>
      </c>
      <c r="R45">
        <v>435.98</v>
      </c>
      <c r="S45">
        <v>406.83</v>
      </c>
      <c r="T45">
        <v>401.94299999999998</v>
      </c>
      <c r="U45">
        <v>468.54399999999998</v>
      </c>
      <c r="V45">
        <v>501.36500000000001</v>
      </c>
      <c r="W45">
        <v>527.52300000000002</v>
      </c>
      <c r="X45">
        <v>463.83800000000002</v>
      </c>
      <c r="Y45">
        <v>425.53</v>
      </c>
      <c r="Z45">
        <v>391</v>
      </c>
      <c r="AA45">
        <v>484</v>
      </c>
      <c r="AB45">
        <v>507.46699999999998</v>
      </c>
      <c r="AC45">
        <v>530.44600000000003</v>
      </c>
      <c r="AD45">
        <v>512.64</v>
      </c>
      <c r="AE45">
        <v>534.68899999999996</v>
      </c>
    </row>
    <row r="46" spans="1:31" x14ac:dyDescent="0.3">
      <c r="A46" t="s">
        <v>301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301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301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301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301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301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301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301</v>
      </c>
      <c r="B53" t="s">
        <v>224</v>
      </c>
      <c r="C53" t="s">
        <v>0</v>
      </c>
      <c r="D53" t="s">
        <v>225</v>
      </c>
      <c r="E53" t="s">
        <v>123</v>
      </c>
      <c r="F53">
        <v>33.703000000000003</v>
      </c>
      <c r="G53">
        <v>36.912999999999997</v>
      </c>
      <c r="H53">
        <v>38.518000000000001</v>
      </c>
      <c r="I53">
        <v>38.518000000000001</v>
      </c>
      <c r="J53">
        <v>38.518000000000001</v>
      </c>
      <c r="K53">
        <v>41.6</v>
      </c>
      <c r="L53">
        <v>40.113999999999997</v>
      </c>
      <c r="M53">
        <v>40.113999999999997</v>
      </c>
      <c r="N53">
        <v>40.113999999999997</v>
      </c>
      <c r="O53">
        <v>41.546999999999997</v>
      </c>
      <c r="P53">
        <v>42.930999999999997</v>
      </c>
      <c r="Q53">
        <v>46.956000000000003</v>
      </c>
      <c r="R53">
        <v>46.956000000000003</v>
      </c>
      <c r="S53">
        <v>45.686999999999998</v>
      </c>
      <c r="T53">
        <v>59.27</v>
      </c>
      <c r="U53">
        <v>68.753</v>
      </c>
      <c r="V53">
        <v>77.92</v>
      </c>
      <c r="W53">
        <v>75.724999999999994</v>
      </c>
      <c r="X53">
        <v>71.459000000000003</v>
      </c>
      <c r="Y53">
        <v>69.388000000000005</v>
      </c>
      <c r="Z53">
        <v>50</v>
      </c>
      <c r="AA53">
        <v>69</v>
      </c>
      <c r="AB53">
        <v>70.917000000000002</v>
      </c>
      <c r="AC53">
        <v>84.731999999999999</v>
      </c>
      <c r="AD53">
        <v>79.38</v>
      </c>
      <c r="AE53">
        <v>82.869</v>
      </c>
    </row>
    <row r="54" spans="1:31" x14ac:dyDescent="0.3">
      <c r="A54" t="s">
        <v>301</v>
      </c>
      <c r="B54" t="s">
        <v>226</v>
      </c>
      <c r="C54" t="s">
        <v>0</v>
      </c>
      <c r="D54" t="s">
        <v>227</v>
      </c>
      <c r="E54" t="s">
        <v>123</v>
      </c>
      <c r="F54">
        <v>33.703000000000003</v>
      </c>
      <c r="G54">
        <v>36.912999999999997</v>
      </c>
      <c r="H54">
        <v>38.518000000000001</v>
      </c>
      <c r="I54">
        <v>38.518000000000001</v>
      </c>
      <c r="J54">
        <v>38.518000000000001</v>
      </c>
      <c r="K54">
        <v>41.6</v>
      </c>
      <c r="L54">
        <v>40.113999999999997</v>
      </c>
      <c r="M54">
        <v>40.113999999999997</v>
      </c>
      <c r="N54">
        <v>40.113999999999997</v>
      </c>
      <c r="O54">
        <v>41.546999999999997</v>
      </c>
      <c r="P54">
        <v>42.930999999999997</v>
      </c>
      <c r="Q54">
        <v>46.956000000000003</v>
      </c>
      <c r="R54">
        <v>46.956000000000003</v>
      </c>
      <c r="S54">
        <v>45.686999999999998</v>
      </c>
      <c r="T54">
        <v>59.27</v>
      </c>
      <c r="U54">
        <v>68.753</v>
      </c>
      <c r="V54">
        <v>77.92</v>
      </c>
      <c r="W54">
        <v>75.724999999999994</v>
      </c>
      <c r="X54">
        <v>71.459000000000003</v>
      </c>
      <c r="Y54">
        <v>69.388000000000005</v>
      </c>
      <c r="Z54">
        <v>50</v>
      </c>
      <c r="AA54">
        <v>69</v>
      </c>
      <c r="AB54">
        <v>70.917000000000002</v>
      </c>
      <c r="AC54">
        <v>84.731999999999999</v>
      </c>
      <c r="AD54">
        <v>79.38</v>
      </c>
      <c r="AE54">
        <v>82.869</v>
      </c>
    </row>
    <row r="55" spans="1:31" x14ac:dyDescent="0.3">
      <c r="A55" t="s">
        <v>301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301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301</v>
      </c>
      <c r="B57" t="s">
        <v>232</v>
      </c>
      <c r="C57" t="s">
        <v>0</v>
      </c>
      <c r="D57" t="s">
        <v>233</v>
      </c>
      <c r="E57" t="s">
        <v>123</v>
      </c>
      <c r="F57">
        <v>374.649</v>
      </c>
      <c r="G57">
        <v>394.63</v>
      </c>
      <c r="H57">
        <v>402.95499999999998</v>
      </c>
      <c r="I57">
        <v>402.95499999999998</v>
      </c>
      <c r="J57">
        <v>398.13900000000001</v>
      </c>
      <c r="K57">
        <v>404.50900000000001</v>
      </c>
      <c r="L57">
        <v>453.541</v>
      </c>
      <c r="M57">
        <v>398.12400000000002</v>
      </c>
      <c r="N57">
        <v>380.93900000000002</v>
      </c>
      <c r="O57">
        <v>365.30399999999997</v>
      </c>
      <c r="P57">
        <v>391.39699999999999</v>
      </c>
      <c r="Q57">
        <v>415.44200000000001</v>
      </c>
      <c r="R57">
        <v>438.95699999999999</v>
      </c>
      <c r="S57">
        <v>409.608</v>
      </c>
      <c r="T57">
        <v>404.68799999999999</v>
      </c>
      <c r="U57">
        <v>471.74400000000003</v>
      </c>
      <c r="V57">
        <v>503.572</v>
      </c>
      <c r="W57">
        <v>529.846</v>
      </c>
      <c r="X57">
        <v>464.94499999999999</v>
      </c>
      <c r="Y57">
        <v>426.54500000000002</v>
      </c>
      <c r="Z57">
        <v>391</v>
      </c>
      <c r="AA57">
        <v>484</v>
      </c>
      <c r="AB57">
        <v>507.46699999999998</v>
      </c>
      <c r="AC57">
        <v>530.44600000000003</v>
      </c>
      <c r="AD57">
        <v>512.64</v>
      </c>
      <c r="AE57">
        <v>534.68899999999996</v>
      </c>
    </row>
    <row r="58" spans="1:31" x14ac:dyDescent="0.3">
      <c r="A58" t="s">
        <v>301</v>
      </c>
      <c r="B58" t="s">
        <v>234</v>
      </c>
      <c r="C58" t="s">
        <v>0</v>
      </c>
      <c r="D58" t="s">
        <v>235</v>
      </c>
      <c r="E58" t="s">
        <v>123</v>
      </c>
      <c r="F58">
        <v>374.649</v>
      </c>
      <c r="G58">
        <v>394.63</v>
      </c>
      <c r="H58">
        <v>402.95499999999998</v>
      </c>
      <c r="I58">
        <v>402.95499999999998</v>
      </c>
      <c r="J58">
        <v>398.13900000000001</v>
      </c>
      <c r="K58">
        <v>404.50900000000001</v>
      </c>
      <c r="L58">
        <v>453.541</v>
      </c>
      <c r="M58">
        <v>398.12400000000002</v>
      </c>
      <c r="N58">
        <v>380.93900000000002</v>
      </c>
      <c r="O58">
        <v>365.30399999999997</v>
      </c>
      <c r="P58">
        <v>391.39699999999999</v>
      </c>
      <c r="Q58">
        <v>415.44200000000001</v>
      </c>
      <c r="R58">
        <v>438.95699999999999</v>
      </c>
      <c r="S58">
        <v>409.608</v>
      </c>
      <c r="T58">
        <v>404.68799999999999</v>
      </c>
      <c r="U58">
        <v>471.74400000000003</v>
      </c>
      <c r="V58">
        <v>503.572</v>
      </c>
      <c r="W58">
        <v>529.846</v>
      </c>
      <c r="X58">
        <v>464.94499999999999</v>
      </c>
      <c r="Y58">
        <v>426.54500000000002</v>
      </c>
      <c r="Z58">
        <v>391</v>
      </c>
      <c r="AA58">
        <v>484</v>
      </c>
      <c r="AB58">
        <v>507.46699999999998</v>
      </c>
      <c r="AC58">
        <v>530.44600000000003</v>
      </c>
      <c r="AD58">
        <v>512.64</v>
      </c>
      <c r="AE58">
        <v>534.68899999999996</v>
      </c>
    </row>
    <row r="59" spans="1:31" x14ac:dyDescent="0.3">
      <c r="A59" t="s">
        <v>301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302</v>
      </c>
      <c r="B2" t="s">
        <v>121</v>
      </c>
      <c r="C2" t="s">
        <v>0</v>
      </c>
      <c r="D2" t="s">
        <v>122</v>
      </c>
      <c r="E2" t="s">
        <v>123</v>
      </c>
      <c r="F2">
        <v>1172.3244573699601</v>
      </c>
      <c r="G2">
        <v>1172.3244573699601</v>
      </c>
      <c r="H2">
        <v>1486.78917232971</v>
      </c>
      <c r="I2">
        <v>1613.90777717266</v>
      </c>
      <c r="J2">
        <v>1719.8005404179801</v>
      </c>
      <c r="K2">
        <v>1664.23974159155</v>
      </c>
      <c r="L2">
        <v>1742.8852171850599</v>
      </c>
      <c r="M2">
        <v>1799.10732096522</v>
      </c>
      <c r="N2">
        <v>1762.2151681087901</v>
      </c>
      <c r="O2">
        <v>1675.38846655728</v>
      </c>
      <c r="P2">
        <v>1727.8205655834499</v>
      </c>
      <c r="Q2">
        <v>1729.0097056836501</v>
      </c>
      <c r="R2">
        <v>1896.4822556663701</v>
      </c>
      <c r="S2">
        <v>1820.40244424719</v>
      </c>
      <c r="T2">
        <v>1748.8866339374799</v>
      </c>
      <c r="U2">
        <v>1649.0109695449401</v>
      </c>
      <c r="V2">
        <v>1708.1345701479199</v>
      </c>
      <c r="W2">
        <v>1652.2856298531401</v>
      </c>
      <c r="X2">
        <v>1717.2403474886401</v>
      </c>
      <c r="Y2">
        <v>1686.1998514115901</v>
      </c>
      <c r="Z2">
        <v>1355</v>
      </c>
      <c r="AA2">
        <v>1366</v>
      </c>
      <c r="AB2">
        <v>1458.39127272727</v>
      </c>
      <c r="AC2">
        <v>1501.71957522558</v>
      </c>
      <c r="AD2">
        <v>1560.49900304376</v>
      </c>
      <c r="AE2">
        <v>1509.53258667356</v>
      </c>
    </row>
    <row r="3" spans="1:31" x14ac:dyDescent="0.3">
      <c r="A3" t="s">
        <v>302</v>
      </c>
      <c r="B3" t="s">
        <v>124</v>
      </c>
      <c r="C3" t="s">
        <v>0</v>
      </c>
      <c r="D3" t="s">
        <v>125</v>
      </c>
      <c r="E3" t="s">
        <v>123</v>
      </c>
      <c r="F3">
        <v>120.165199089127</v>
      </c>
      <c r="G3">
        <v>110.92172223611701</v>
      </c>
      <c r="H3">
        <v>80.907609160461604</v>
      </c>
      <c r="I3">
        <v>116.86654656511099</v>
      </c>
      <c r="J3">
        <v>147.35347175601001</v>
      </c>
      <c r="K3">
        <v>161.20721696384001</v>
      </c>
      <c r="L3">
        <v>180.89664804339299</v>
      </c>
      <c r="M3">
        <v>156.77709497094</v>
      </c>
      <c r="N3">
        <v>219.009224272382</v>
      </c>
      <c r="O3">
        <v>142.83210278633601</v>
      </c>
      <c r="P3">
        <v>168.801576020216</v>
      </c>
      <c r="Q3">
        <v>200.23359362398</v>
      </c>
      <c r="R3">
        <v>430.38714951361197</v>
      </c>
      <c r="S3">
        <v>788.67335903138701</v>
      </c>
      <c r="T3">
        <v>395.93318429106102</v>
      </c>
      <c r="U3">
        <v>352.52874430193401</v>
      </c>
      <c r="V3">
        <v>521.87034654969102</v>
      </c>
      <c r="W3">
        <v>477.25717577108901</v>
      </c>
      <c r="X3">
        <v>348.10512820512798</v>
      </c>
      <c r="Y3">
        <v>312.19743589743598</v>
      </c>
      <c r="Z3">
        <v>389</v>
      </c>
      <c r="AA3">
        <v>280</v>
      </c>
      <c r="AB3">
        <v>347</v>
      </c>
      <c r="AC3">
        <v>373.61647727272702</v>
      </c>
      <c r="AD3">
        <v>335.39484276912299</v>
      </c>
      <c r="AE3">
        <v>462.09956114856999</v>
      </c>
    </row>
    <row r="4" spans="1:31" x14ac:dyDescent="0.3">
      <c r="A4" t="s">
        <v>302</v>
      </c>
      <c r="B4" t="s">
        <v>126</v>
      </c>
      <c r="C4" t="s">
        <v>0</v>
      </c>
      <c r="D4" t="s">
        <v>127</v>
      </c>
      <c r="E4" t="s">
        <v>123</v>
      </c>
      <c r="F4">
        <v>6535.3360651068997</v>
      </c>
      <c r="G4">
        <v>7170.0990286768101</v>
      </c>
      <c r="H4">
        <v>7504.2505631886097</v>
      </c>
      <c r="I4">
        <v>8295.0541041986198</v>
      </c>
      <c r="J4">
        <v>8292.28954692343</v>
      </c>
      <c r="K4">
        <v>8775.1352056775995</v>
      </c>
      <c r="L4">
        <v>9759.6887429700691</v>
      </c>
      <c r="M4">
        <v>8648.3397361164898</v>
      </c>
      <c r="N4">
        <v>8745.1495092819696</v>
      </c>
      <c r="O4">
        <v>8619.7067909111192</v>
      </c>
      <c r="P4">
        <v>8751.0856866936301</v>
      </c>
      <c r="Q4">
        <v>8982.4348282647697</v>
      </c>
      <c r="R4">
        <v>10109.2764327694</v>
      </c>
      <c r="S4">
        <v>10017.8746057431</v>
      </c>
      <c r="T4">
        <v>8596.1923339148798</v>
      </c>
      <c r="U4">
        <v>7869.4452356567399</v>
      </c>
      <c r="V4">
        <v>7639.2047733383197</v>
      </c>
      <c r="W4">
        <v>7082.4114225119101</v>
      </c>
      <c r="X4">
        <v>6429.5258699034403</v>
      </c>
      <c r="Y4">
        <v>6335.9463128664001</v>
      </c>
      <c r="Z4">
        <v>6546</v>
      </c>
      <c r="AA4">
        <v>6606</v>
      </c>
      <c r="AB4">
        <v>7309.8612318297601</v>
      </c>
      <c r="AC4">
        <v>6883.8625893826202</v>
      </c>
      <c r="AD4">
        <v>6643.6597245616103</v>
      </c>
      <c r="AE4">
        <v>6378.52372062418</v>
      </c>
    </row>
    <row r="5" spans="1:31" x14ac:dyDescent="0.3">
      <c r="A5" t="s">
        <v>302</v>
      </c>
      <c r="B5" t="s">
        <v>128</v>
      </c>
      <c r="C5" t="s">
        <v>0</v>
      </c>
      <c r="D5" t="s">
        <v>129</v>
      </c>
      <c r="E5" t="s">
        <v>123</v>
      </c>
      <c r="F5">
        <v>414.83084100253001</v>
      </c>
      <c r="G5">
        <v>431.693883319706</v>
      </c>
      <c r="H5">
        <v>397.96779868535401</v>
      </c>
      <c r="I5">
        <v>436.98424953685998</v>
      </c>
      <c r="J5">
        <v>424.62736844455799</v>
      </c>
      <c r="K5">
        <v>440.43796195047202</v>
      </c>
      <c r="L5">
        <v>499.31398771248899</v>
      </c>
      <c r="M5">
        <v>542.87829536525601</v>
      </c>
      <c r="N5">
        <v>514.83706110052196</v>
      </c>
      <c r="O5">
        <v>413.88861774747897</v>
      </c>
      <c r="P5">
        <v>502.49891802403903</v>
      </c>
      <c r="Q5">
        <v>470.47151445767201</v>
      </c>
      <c r="R5">
        <v>528.73083750967305</v>
      </c>
      <c r="S5">
        <v>522.28290046687198</v>
      </c>
      <c r="T5">
        <v>445.41465100299803</v>
      </c>
      <c r="U5">
        <v>391.584918298844</v>
      </c>
      <c r="V5">
        <v>423.68204274956901</v>
      </c>
      <c r="W5">
        <v>468.66556827606598</v>
      </c>
      <c r="X5">
        <v>476.83403133970199</v>
      </c>
      <c r="Y5">
        <v>545.82278481012702</v>
      </c>
      <c r="Z5">
        <v>480</v>
      </c>
      <c r="AA5">
        <v>568</v>
      </c>
      <c r="AB5">
        <v>626.58741258741304</v>
      </c>
      <c r="AC5">
        <v>468.46739154262701</v>
      </c>
      <c r="AD5">
        <v>437.55820282228802</v>
      </c>
      <c r="AE5">
        <v>450.84630442643601</v>
      </c>
    </row>
    <row r="6" spans="1:31" x14ac:dyDescent="0.3">
      <c r="A6" t="s">
        <v>302</v>
      </c>
      <c r="B6" t="s">
        <v>130</v>
      </c>
      <c r="C6" t="s">
        <v>0</v>
      </c>
      <c r="D6" t="s">
        <v>131</v>
      </c>
      <c r="E6" t="s">
        <v>123</v>
      </c>
      <c r="F6">
        <v>69.867402332779307</v>
      </c>
      <c r="G6">
        <v>47.636865226894997</v>
      </c>
      <c r="H6">
        <v>68.808805327737204</v>
      </c>
      <c r="I6">
        <v>69.851362984218099</v>
      </c>
      <c r="J6">
        <v>55.034407199687003</v>
      </c>
      <c r="K6">
        <v>58.209469153515101</v>
      </c>
      <c r="L6">
        <v>70.682926829268297</v>
      </c>
      <c r="M6">
        <v>58.390243902439003</v>
      </c>
      <c r="N6">
        <v>49.170731707317103</v>
      </c>
      <c r="O6">
        <v>43.024390243902403</v>
      </c>
      <c r="P6">
        <v>46.097560975609802</v>
      </c>
      <c r="Q6">
        <v>54.292682926829301</v>
      </c>
      <c r="R6">
        <v>53.268292682926798</v>
      </c>
      <c r="S6">
        <v>42</v>
      </c>
      <c r="T6">
        <v>24</v>
      </c>
      <c r="U6">
        <v>21</v>
      </c>
      <c r="V6">
        <v>27</v>
      </c>
      <c r="W6">
        <v>34</v>
      </c>
      <c r="X6">
        <v>18</v>
      </c>
      <c r="Y6">
        <v>26</v>
      </c>
      <c r="Z6">
        <v>37</v>
      </c>
      <c r="AA6">
        <v>46</v>
      </c>
      <c r="AB6">
        <v>40</v>
      </c>
      <c r="AC6">
        <v>51</v>
      </c>
      <c r="AD6">
        <v>44</v>
      </c>
      <c r="AE6">
        <v>45</v>
      </c>
    </row>
    <row r="7" spans="1:31" x14ac:dyDescent="0.3">
      <c r="A7" t="s">
        <v>302</v>
      </c>
      <c r="B7" t="s">
        <v>132</v>
      </c>
      <c r="C7" t="s">
        <v>0</v>
      </c>
      <c r="D7" t="s">
        <v>133</v>
      </c>
      <c r="E7" t="s">
        <v>123</v>
      </c>
      <c r="F7">
        <v>1369.59293539291</v>
      </c>
      <c r="G7">
        <v>2033.42013242499</v>
      </c>
      <c r="H7">
        <v>1552.66405908458</v>
      </c>
      <c r="I7">
        <v>1764.60387408783</v>
      </c>
      <c r="J7">
        <v>1412.6186082823699</v>
      </c>
      <c r="K7">
        <v>1450.0699715508399</v>
      </c>
      <c r="L7">
        <v>2173.9522784935398</v>
      </c>
      <c r="M7">
        <v>1243.0752902275001</v>
      </c>
      <c r="N7">
        <v>1460.35615972449</v>
      </c>
      <c r="O7">
        <v>1183.6691829213401</v>
      </c>
      <c r="P7">
        <v>1273.4099367128799</v>
      </c>
      <c r="Q7">
        <v>1281.2291205348099</v>
      </c>
      <c r="R7">
        <v>1257.9743136798099</v>
      </c>
      <c r="S7">
        <v>1303.67926279274</v>
      </c>
      <c r="T7">
        <v>606.11515480576099</v>
      </c>
      <c r="U7">
        <v>632.55996958786295</v>
      </c>
      <c r="V7">
        <v>694.22127754768803</v>
      </c>
      <c r="W7">
        <v>731.97349203668603</v>
      </c>
      <c r="X7">
        <v>744.29282149592905</v>
      </c>
      <c r="Y7">
        <v>568.09288824383202</v>
      </c>
      <c r="Z7">
        <v>694</v>
      </c>
      <c r="AA7">
        <v>1224</v>
      </c>
      <c r="AB7">
        <v>1403.12195121951</v>
      </c>
      <c r="AC7">
        <v>919.62704538437799</v>
      </c>
      <c r="AD7">
        <v>916.71068054700697</v>
      </c>
      <c r="AE7">
        <v>828.85924032791797</v>
      </c>
    </row>
    <row r="8" spans="1:31" x14ac:dyDescent="0.3">
      <c r="A8" t="s">
        <v>302</v>
      </c>
      <c r="B8" t="s">
        <v>134</v>
      </c>
      <c r="C8" t="s">
        <v>0</v>
      </c>
      <c r="D8" t="s">
        <v>135</v>
      </c>
      <c r="E8" t="s">
        <v>123</v>
      </c>
      <c r="F8">
        <v>103.51628181536999</v>
      </c>
      <c r="G8">
        <v>102.20594913416301</v>
      </c>
      <c r="H8">
        <v>231.24095991604401</v>
      </c>
      <c r="I8">
        <v>105.56652517906301</v>
      </c>
      <c r="J8">
        <v>151.51901260995001</v>
      </c>
      <c r="K8">
        <v>108.403846420127</v>
      </c>
      <c r="L8">
        <v>185.83516529164601</v>
      </c>
      <c r="M8">
        <v>74.098831730213206</v>
      </c>
      <c r="N8">
        <v>147.03986921464201</v>
      </c>
      <c r="O8">
        <v>113.463836086889</v>
      </c>
      <c r="P8">
        <v>279.12103677374699</v>
      </c>
      <c r="Q8">
        <v>298.02564882615201</v>
      </c>
      <c r="R8">
        <v>914.89491459498902</v>
      </c>
      <c r="S8">
        <v>184.055329877345</v>
      </c>
      <c r="T8">
        <v>242.61838938377301</v>
      </c>
      <c r="U8">
        <v>222.576000695548</v>
      </c>
      <c r="V8">
        <v>124.728580099921</v>
      </c>
      <c r="W8">
        <v>185.52066115702499</v>
      </c>
      <c r="X8">
        <v>185.52066115702499</v>
      </c>
      <c r="Y8">
        <v>194.59504132231399</v>
      </c>
      <c r="Z8">
        <v>366</v>
      </c>
      <c r="AA8">
        <v>98</v>
      </c>
      <c r="AB8">
        <v>490</v>
      </c>
      <c r="AC8">
        <v>264.14829659318599</v>
      </c>
      <c r="AD8">
        <v>178.66030242302801</v>
      </c>
      <c r="AE8">
        <v>144.23097331025701</v>
      </c>
    </row>
    <row r="9" spans="1:31" x14ac:dyDescent="0.3">
      <c r="A9" t="s">
        <v>302</v>
      </c>
      <c r="B9" t="s">
        <v>136</v>
      </c>
      <c r="C9" t="s">
        <v>0</v>
      </c>
      <c r="D9" t="s">
        <v>137</v>
      </c>
      <c r="E9" t="s">
        <v>123</v>
      </c>
      <c r="F9">
        <v>548.55515253120996</v>
      </c>
      <c r="G9">
        <v>326.826083867894</v>
      </c>
      <c r="H9">
        <v>468.86972801047801</v>
      </c>
      <c r="I9">
        <v>439.021257261801</v>
      </c>
      <c r="J9">
        <v>446.42049193475202</v>
      </c>
      <c r="K9">
        <v>340.65695941026598</v>
      </c>
      <c r="L9">
        <v>389.83630918428298</v>
      </c>
      <c r="M9">
        <v>523.29378440052403</v>
      </c>
      <c r="N9">
        <v>370.95714938614901</v>
      </c>
      <c r="O9">
        <v>421.96375742674502</v>
      </c>
      <c r="P9">
        <v>329.337566772093</v>
      </c>
      <c r="Q9">
        <v>391.85588453221999</v>
      </c>
      <c r="R9">
        <v>532.74788795953498</v>
      </c>
      <c r="S9">
        <v>486.613019311492</v>
      </c>
      <c r="T9">
        <v>531.334565944058</v>
      </c>
      <c r="U9">
        <v>299.99804518511399</v>
      </c>
      <c r="V9">
        <v>340.423313685236</v>
      </c>
      <c r="W9">
        <v>356.086963087931</v>
      </c>
      <c r="X9">
        <v>430.56933645589402</v>
      </c>
      <c r="Y9">
        <v>301.80093676815</v>
      </c>
      <c r="Z9">
        <v>431</v>
      </c>
      <c r="AA9">
        <v>475</v>
      </c>
      <c r="AB9">
        <v>688.10272536687603</v>
      </c>
      <c r="AC9">
        <v>533.65089060826801</v>
      </c>
      <c r="AD9">
        <v>467.80446395862901</v>
      </c>
      <c r="AE9">
        <v>437.77974681014598</v>
      </c>
    </row>
    <row r="10" spans="1:31" x14ac:dyDescent="0.3">
      <c r="A10" t="s">
        <v>302</v>
      </c>
      <c r="B10" t="s">
        <v>138</v>
      </c>
      <c r="C10" t="s">
        <v>0</v>
      </c>
      <c r="D10" t="s">
        <v>139</v>
      </c>
      <c r="E10" t="s">
        <v>123</v>
      </c>
      <c r="F10">
        <v>765.630893646034</v>
      </c>
      <c r="G10">
        <v>503.33142082285599</v>
      </c>
      <c r="H10">
        <v>661.40244554408298</v>
      </c>
      <c r="I10">
        <v>657.29435582020699</v>
      </c>
      <c r="J10">
        <v>653.23698325341604</v>
      </c>
      <c r="K10">
        <v>573.93455113005905</v>
      </c>
      <c r="L10">
        <v>619.58843587904096</v>
      </c>
      <c r="M10">
        <v>852.25021588259904</v>
      </c>
      <c r="N10">
        <v>609.28414556519101</v>
      </c>
      <c r="O10">
        <v>632.71815116385199</v>
      </c>
      <c r="P10">
        <v>515.36889559426595</v>
      </c>
      <c r="Q10">
        <v>595.38050495593302</v>
      </c>
      <c r="R10">
        <v>788.445639572711</v>
      </c>
      <c r="S10">
        <v>735.65306399724602</v>
      </c>
      <c r="T10">
        <v>781.97604553830195</v>
      </c>
      <c r="U10">
        <v>523.848030506241</v>
      </c>
      <c r="V10">
        <v>553.07095782786996</v>
      </c>
      <c r="W10">
        <v>650.547065337763</v>
      </c>
      <c r="X10">
        <v>777.15669988925799</v>
      </c>
      <c r="Y10">
        <v>609.97175141242894</v>
      </c>
      <c r="Z10">
        <v>715</v>
      </c>
      <c r="AA10">
        <v>765</v>
      </c>
      <c r="AB10">
        <v>994.896373056995</v>
      </c>
      <c r="AC10">
        <v>821.35647052178103</v>
      </c>
      <c r="AD10">
        <v>699.81923622022805</v>
      </c>
      <c r="AE10">
        <v>704.61909380747295</v>
      </c>
    </row>
    <row r="11" spans="1:31" x14ac:dyDescent="0.3">
      <c r="A11" t="s">
        <v>302</v>
      </c>
      <c r="B11" t="s">
        <v>140</v>
      </c>
      <c r="C11" t="s">
        <v>0</v>
      </c>
      <c r="D11" t="s">
        <v>141</v>
      </c>
      <c r="E11" t="s">
        <v>123</v>
      </c>
      <c r="F11">
        <v>194.56229687219499</v>
      </c>
      <c r="G11">
        <v>173.71633649303101</v>
      </c>
      <c r="H11">
        <v>175.40290286675</v>
      </c>
      <c r="I11">
        <v>210.15253456676601</v>
      </c>
      <c r="J11">
        <v>195.603512942913</v>
      </c>
      <c r="K11">
        <v>238.54086944257699</v>
      </c>
      <c r="L11">
        <v>229.36622061786201</v>
      </c>
      <c r="M11">
        <v>331.63141452391602</v>
      </c>
      <c r="N11">
        <v>240.92880542335701</v>
      </c>
      <c r="O11">
        <v>206.312597747588</v>
      </c>
      <c r="P11">
        <v>184.87752265692899</v>
      </c>
      <c r="Q11">
        <v>200.39172036240601</v>
      </c>
      <c r="R11">
        <v>249.544406489034</v>
      </c>
      <c r="S11">
        <v>244.60293309321099</v>
      </c>
      <c r="T11">
        <v>244.60293309321099</v>
      </c>
      <c r="U11">
        <v>223.28432883279399</v>
      </c>
      <c r="V11">
        <v>211.125281223087</v>
      </c>
      <c r="W11">
        <v>294.06735598929998</v>
      </c>
      <c r="X11">
        <v>346.02271923829301</v>
      </c>
      <c r="Y11">
        <v>308.25622775800701</v>
      </c>
      <c r="Z11">
        <v>284</v>
      </c>
      <c r="AA11">
        <v>290</v>
      </c>
      <c r="AB11">
        <v>307.694915254237</v>
      </c>
      <c r="AC11">
        <v>288.09651300874401</v>
      </c>
      <c r="AD11">
        <v>232.43040710535999</v>
      </c>
      <c r="AE11">
        <v>266.44461302321702</v>
      </c>
    </row>
    <row r="12" spans="1:31" x14ac:dyDescent="0.3">
      <c r="A12" t="s">
        <v>302</v>
      </c>
      <c r="B12" t="s">
        <v>142</v>
      </c>
      <c r="C12" t="s">
        <v>0</v>
      </c>
      <c r="D12" t="s">
        <v>143</v>
      </c>
      <c r="E12" t="s">
        <v>123</v>
      </c>
      <c r="F12">
        <v>254.94614930962999</v>
      </c>
      <c r="G12">
        <v>225.35418555047701</v>
      </c>
      <c r="H12">
        <v>279.98550325968301</v>
      </c>
      <c r="I12">
        <v>387.23801458899698</v>
      </c>
      <c r="J12">
        <v>397.36924171487198</v>
      </c>
      <c r="K12">
        <v>367.06141819424602</v>
      </c>
      <c r="L12">
        <v>341.40058956668503</v>
      </c>
      <c r="M12">
        <v>324.88120620055503</v>
      </c>
      <c r="N12">
        <v>343.53992412423599</v>
      </c>
      <c r="O12">
        <v>334.75935098368001</v>
      </c>
      <c r="P12">
        <v>358.74862043527901</v>
      </c>
      <c r="Q12">
        <v>392.04564808047002</v>
      </c>
      <c r="R12">
        <v>341.97460063541001</v>
      </c>
      <c r="S12">
        <v>361.09119321751399</v>
      </c>
      <c r="T12">
        <v>316.60144734830698</v>
      </c>
      <c r="U12">
        <v>247.50601747098901</v>
      </c>
      <c r="V12">
        <v>300.54302121477298</v>
      </c>
      <c r="W12">
        <v>263.61623362524398</v>
      </c>
      <c r="X12">
        <v>248.46587537092</v>
      </c>
      <c r="Y12">
        <v>258.52522255192901</v>
      </c>
      <c r="Z12">
        <v>339</v>
      </c>
      <c r="AA12">
        <v>356</v>
      </c>
      <c r="AB12">
        <v>358.99159663865498</v>
      </c>
      <c r="AC12">
        <v>427.79831932773101</v>
      </c>
      <c r="AD12">
        <v>431.759414877062</v>
      </c>
      <c r="AE12">
        <v>465.64188017010503</v>
      </c>
    </row>
    <row r="13" spans="1:31" x14ac:dyDescent="0.3">
      <c r="A13" t="s">
        <v>302</v>
      </c>
      <c r="B13" t="s">
        <v>144</v>
      </c>
      <c r="C13" t="s">
        <v>0</v>
      </c>
      <c r="D13" t="s">
        <v>145</v>
      </c>
      <c r="E13" t="s">
        <v>123</v>
      </c>
      <c r="F13">
        <v>629.49913158590005</v>
      </c>
      <c r="G13">
        <v>644.40530410068504</v>
      </c>
      <c r="H13">
        <v>791.79587897477802</v>
      </c>
      <c r="I13">
        <v>721.56505709146404</v>
      </c>
      <c r="J13">
        <v>532.15422960495505</v>
      </c>
      <c r="K13">
        <v>660.68300539937195</v>
      </c>
      <c r="L13">
        <v>655.08399687903795</v>
      </c>
      <c r="M13">
        <v>969.34726565208996</v>
      </c>
      <c r="N13">
        <v>689.21479897281699</v>
      </c>
      <c r="O13">
        <v>918.20837075470899</v>
      </c>
      <c r="P13">
        <v>588.14070551357099</v>
      </c>
      <c r="Q13">
        <v>564.00060192905903</v>
      </c>
      <c r="R13">
        <v>718.01615091737801</v>
      </c>
      <c r="S13">
        <v>849.43874996922</v>
      </c>
      <c r="T13">
        <v>831.84988425731206</v>
      </c>
      <c r="U13">
        <v>651.59847720778203</v>
      </c>
      <c r="V13">
        <v>628.47724091976397</v>
      </c>
      <c r="W13">
        <v>929.233676343414</v>
      </c>
      <c r="X13">
        <v>428.01682466146298</v>
      </c>
      <c r="Y13">
        <v>540.81184668989499</v>
      </c>
      <c r="Z13">
        <v>577</v>
      </c>
      <c r="AA13">
        <v>514</v>
      </c>
      <c r="AB13">
        <v>591.69767441860495</v>
      </c>
      <c r="AC13">
        <v>688.82727591445598</v>
      </c>
      <c r="AD13">
        <v>751.80576971234905</v>
      </c>
      <c r="AE13">
        <v>621.01481750723701</v>
      </c>
    </row>
    <row r="14" spans="1:31" x14ac:dyDescent="0.3">
      <c r="A14" t="s">
        <v>302</v>
      </c>
      <c r="B14" t="s">
        <v>146</v>
      </c>
      <c r="C14" t="s">
        <v>0</v>
      </c>
      <c r="D14" t="s">
        <v>147</v>
      </c>
      <c r="E14" t="s">
        <v>123</v>
      </c>
      <c r="F14">
        <v>1373.4844539395101</v>
      </c>
      <c r="G14">
        <v>1534.4396633855499</v>
      </c>
      <c r="H14">
        <v>1830.52904224541</v>
      </c>
      <c r="I14">
        <v>2427.6261203310601</v>
      </c>
      <c r="J14">
        <v>3268.9155550595901</v>
      </c>
      <c r="K14">
        <v>3734.7319211593999</v>
      </c>
      <c r="L14">
        <v>3634.2599400941699</v>
      </c>
      <c r="M14">
        <v>3142.85855458164</v>
      </c>
      <c r="N14">
        <v>3504.0397045057598</v>
      </c>
      <c r="O14">
        <v>3775.2281134084401</v>
      </c>
      <c r="P14">
        <v>3934.6480118996601</v>
      </c>
      <c r="Q14">
        <v>3971.64268763277</v>
      </c>
      <c r="R14">
        <v>3947.1899296726201</v>
      </c>
      <c r="S14">
        <v>4409.1350879501997</v>
      </c>
      <c r="T14">
        <v>3849.3195899869302</v>
      </c>
      <c r="U14">
        <v>3865.1186149824698</v>
      </c>
      <c r="V14">
        <v>3489.89661885445</v>
      </c>
      <c r="W14">
        <v>2270.6905911955</v>
      </c>
      <c r="X14">
        <v>2160.6663585810502</v>
      </c>
      <c r="Y14">
        <v>2130.9840637450202</v>
      </c>
      <c r="Z14">
        <v>1777</v>
      </c>
      <c r="AA14">
        <v>1441</v>
      </c>
      <c r="AB14">
        <v>1458.6809815950901</v>
      </c>
      <c r="AC14">
        <v>1347.2268047171799</v>
      </c>
      <c r="AD14">
        <v>1378.4442252464701</v>
      </c>
      <c r="AE14">
        <v>1325.53615354407</v>
      </c>
    </row>
    <row r="15" spans="1:31" x14ac:dyDescent="0.3">
      <c r="A15" t="s">
        <v>302</v>
      </c>
      <c r="B15" t="s">
        <v>148</v>
      </c>
      <c r="C15" t="s">
        <v>0</v>
      </c>
      <c r="D15" t="s">
        <v>149</v>
      </c>
      <c r="E15" t="s">
        <v>123</v>
      </c>
      <c r="F15">
        <v>1634.8495946055</v>
      </c>
      <c r="G15">
        <v>1791.1348941972101</v>
      </c>
      <c r="H15">
        <v>2092.7997184830601</v>
      </c>
      <c r="I15">
        <v>2713.57391150577</v>
      </c>
      <c r="J15">
        <v>3509.2712192931299</v>
      </c>
      <c r="K15">
        <v>3963.5458107873901</v>
      </c>
      <c r="L15">
        <v>3874.8793621159298</v>
      </c>
      <c r="M15">
        <v>3351.2470158840501</v>
      </c>
      <c r="N15">
        <v>3757.8534111618601</v>
      </c>
      <c r="O15">
        <v>4013.2966188692399</v>
      </c>
      <c r="P15">
        <v>4176.0717714409602</v>
      </c>
      <c r="Q15">
        <v>4214.2394617566897</v>
      </c>
      <c r="R15">
        <v>4260.4088533036202</v>
      </c>
      <c r="S15">
        <v>4815.7345532802201</v>
      </c>
      <c r="T15">
        <v>4228.8792579743204</v>
      </c>
      <c r="U15">
        <v>4283.0089124763899</v>
      </c>
      <c r="V15">
        <v>3870.2021103178199</v>
      </c>
      <c r="W15">
        <v>2675.8147368280702</v>
      </c>
      <c r="X15">
        <v>2470.6270653029101</v>
      </c>
      <c r="Y15">
        <v>2516.6635944700502</v>
      </c>
      <c r="Z15">
        <v>2195</v>
      </c>
      <c r="AA15">
        <v>1825</v>
      </c>
      <c r="AB15">
        <v>1512.3114224137901</v>
      </c>
      <c r="AC15">
        <v>1687.5242020979799</v>
      </c>
      <c r="AD15">
        <v>1753.9314044953501</v>
      </c>
      <c r="AE15">
        <v>1647.9765407933701</v>
      </c>
    </row>
    <row r="16" spans="1:31" x14ac:dyDescent="0.3">
      <c r="A16" t="s">
        <v>302</v>
      </c>
      <c r="B16" t="s">
        <v>150</v>
      </c>
      <c r="C16" t="s">
        <v>0</v>
      </c>
      <c r="D16" t="s">
        <v>151</v>
      </c>
      <c r="E16" t="s">
        <v>123</v>
      </c>
      <c r="F16">
        <v>236.93628911046099</v>
      </c>
      <c r="G16">
        <v>235.482692244752</v>
      </c>
      <c r="H16">
        <v>244.097912692731</v>
      </c>
      <c r="I16">
        <v>271.21990299192402</v>
      </c>
      <c r="J16">
        <v>239.979914165629</v>
      </c>
      <c r="K16">
        <v>234.33332794996701</v>
      </c>
      <c r="L16">
        <v>244.03944212540901</v>
      </c>
      <c r="M16">
        <v>211.31906999686299</v>
      </c>
      <c r="N16">
        <v>255.45533145190399</v>
      </c>
      <c r="O16">
        <v>242.21930391553599</v>
      </c>
      <c r="P16">
        <v>246.10517510134599</v>
      </c>
      <c r="Q16">
        <v>247.36725292237901</v>
      </c>
      <c r="R16">
        <v>315.39324747603303</v>
      </c>
      <c r="S16">
        <v>407.231894250663</v>
      </c>
      <c r="T16">
        <v>379.622952267568</v>
      </c>
      <c r="U16">
        <v>417.69723066608498</v>
      </c>
      <c r="V16">
        <v>380.12658028871198</v>
      </c>
      <c r="W16">
        <v>404.82406996848698</v>
      </c>
      <c r="X16">
        <v>310.12229524578203</v>
      </c>
      <c r="Y16">
        <v>385.61259079903101</v>
      </c>
      <c r="Z16">
        <v>418</v>
      </c>
      <c r="AA16">
        <v>384</v>
      </c>
      <c r="AB16">
        <v>52.318766066838002</v>
      </c>
      <c r="AC16">
        <v>341.55269922879199</v>
      </c>
      <c r="AD16">
        <v>376.98756139661998</v>
      </c>
      <c r="AE16">
        <v>323.54122357836502</v>
      </c>
    </row>
    <row r="17" spans="1:31" x14ac:dyDescent="0.3">
      <c r="A17" t="s">
        <v>302</v>
      </c>
      <c r="B17" t="s">
        <v>152</v>
      </c>
      <c r="C17" t="s">
        <v>0</v>
      </c>
      <c r="D17" t="s">
        <v>153</v>
      </c>
      <c r="E17" t="s">
        <v>123</v>
      </c>
      <c r="F17">
        <v>538.77503082123496</v>
      </c>
      <c r="G17">
        <v>556.78422405202798</v>
      </c>
      <c r="H17">
        <v>596.87268818377402</v>
      </c>
      <c r="I17">
        <v>588.07358221546303</v>
      </c>
      <c r="J17">
        <v>553.48101855572997</v>
      </c>
      <c r="K17">
        <v>569.25379369591894</v>
      </c>
      <c r="L17">
        <v>600.17622199544996</v>
      </c>
      <c r="M17">
        <v>533.18616532625401</v>
      </c>
      <c r="N17">
        <v>605.34669897943104</v>
      </c>
      <c r="O17">
        <v>464.93805545247398</v>
      </c>
      <c r="P17">
        <v>517.74265454818396</v>
      </c>
      <c r="Q17">
        <v>573.035559402844</v>
      </c>
      <c r="R17">
        <v>631.08010960097704</v>
      </c>
      <c r="S17">
        <v>873.15473179524497</v>
      </c>
      <c r="T17">
        <v>858.25839122655998</v>
      </c>
      <c r="U17">
        <v>675.864495828999</v>
      </c>
      <c r="V17">
        <v>752.31474207850897</v>
      </c>
      <c r="W17">
        <v>835.42555289636402</v>
      </c>
      <c r="X17">
        <v>798.78408127810201</v>
      </c>
      <c r="Y17">
        <v>875.68883878241297</v>
      </c>
      <c r="Z17">
        <v>899</v>
      </c>
      <c r="AA17">
        <v>882</v>
      </c>
      <c r="AB17">
        <v>913.570469798658</v>
      </c>
      <c r="AC17">
        <v>1088.8428321716001</v>
      </c>
      <c r="AD17">
        <v>1072.27136561214</v>
      </c>
      <c r="AE17">
        <v>1050.46567029024</v>
      </c>
    </row>
    <row r="18" spans="1:31" x14ac:dyDescent="0.3">
      <c r="A18" t="s">
        <v>302</v>
      </c>
      <c r="B18" t="s">
        <v>154</v>
      </c>
      <c r="C18" t="s">
        <v>0</v>
      </c>
      <c r="D18" t="s">
        <v>155</v>
      </c>
      <c r="E18" t="s">
        <v>123</v>
      </c>
      <c r="F18">
        <v>114.081216699292</v>
      </c>
      <c r="G18">
        <v>104.474377398299</v>
      </c>
      <c r="H18">
        <v>97.269247922553902</v>
      </c>
      <c r="I18">
        <v>144.10258951489499</v>
      </c>
      <c r="J18">
        <v>111.947466234711</v>
      </c>
      <c r="K18">
        <v>102.420022299842</v>
      </c>
      <c r="L18">
        <v>131.00235410445001</v>
      </c>
      <c r="M18">
        <v>107.18374426727701</v>
      </c>
      <c r="N18">
        <v>101.294527549295</v>
      </c>
      <c r="O18">
        <v>113.072960985259</v>
      </c>
      <c r="P18">
        <v>129.56276779560901</v>
      </c>
      <c r="Q18">
        <v>160.796649317765</v>
      </c>
      <c r="R18">
        <v>124.30379273501001</v>
      </c>
      <c r="S18">
        <v>141.25430992614801</v>
      </c>
      <c r="T18">
        <v>152.20425643205101</v>
      </c>
      <c r="U18">
        <v>120.04842760837801</v>
      </c>
      <c r="V18">
        <v>152.20425643205101</v>
      </c>
      <c r="W18">
        <v>177.39668508287301</v>
      </c>
      <c r="X18">
        <v>185.6</v>
      </c>
      <c r="Y18">
        <v>96.834782608695605</v>
      </c>
      <c r="Z18">
        <v>116</v>
      </c>
      <c r="AA18">
        <v>142</v>
      </c>
      <c r="AB18">
        <v>237.652777777778</v>
      </c>
      <c r="AC18">
        <v>280.86237373737401</v>
      </c>
      <c r="AD18">
        <v>176.87526650588899</v>
      </c>
      <c r="AE18">
        <v>199.69788153890701</v>
      </c>
    </row>
    <row r="19" spans="1:31" x14ac:dyDescent="0.3">
      <c r="A19" t="s">
        <v>302</v>
      </c>
      <c r="B19" t="s">
        <v>156</v>
      </c>
      <c r="C19" t="s">
        <v>0</v>
      </c>
      <c r="D19" t="s">
        <v>157</v>
      </c>
      <c r="E19" t="s">
        <v>123</v>
      </c>
      <c r="F19">
        <v>275.36605441249299</v>
      </c>
      <c r="G19">
        <v>276.702782831972</v>
      </c>
      <c r="H19">
        <v>358.39598538236299</v>
      </c>
      <c r="I19">
        <v>380.47110042403102</v>
      </c>
      <c r="J19">
        <v>399.55827937506899</v>
      </c>
      <c r="K19">
        <v>432.53769291078902</v>
      </c>
      <c r="L19">
        <v>409.05707529563199</v>
      </c>
      <c r="M19">
        <v>409.05707529563199</v>
      </c>
      <c r="N19">
        <v>357.632757258467</v>
      </c>
      <c r="O19">
        <v>320.83453143122898</v>
      </c>
      <c r="P19">
        <v>317.46913424838402</v>
      </c>
      <c r="Q19">
        <v>328.37872649059602</v>
      </c>
      <c r="R19">
        <v>366.06153116984501</v>
      </c>
      <c r="S19">
        <v>176.71935987509801</v>
      </c>
      <c r="T19">
        <v>117.812906583398</v>
      </c>
      <c r="U19">
        <v>126.008587041374</v>
      </c>
      <c r="V19">
        <v>129.08196721311501</v>
      </c>
      <c r="W19">
        <v>124</v>
      </c>
      <c r="X19">
        <v>97</v>
      </c>
      <c r="Y19">
        <v>105</v>
      </c>
      <c r="Z19">
        <v>128</v>
      </c>
      <c r="AA19">
        <v>186</v>
      </c>
      <c r="AB19">
        <v>144.22459893048099</v>
      </c>
      <c r="AC19">
        <v>187.98930481283401</v>
      </c>
      <c r="AD19">
        <v>185.005347593583</v>
      </c>
      <c r="AE19">
        <v>226.55735079642</v>
      </c>
    </row>
    <row r="20" spans="1:31" x14ac:dyDescent="0.3">
      <c r="A20" t="s">
        <v>302</v>
      </c>
      <c r="B20" t="s">
        <v>158</v>
      </c>
      <c r="C20" t="s">
        <v>0</v>
      </c>
      <c r="D20" t="s">
        <v>159</v>
      </c>
      <c r="E20" t="s">
        <v>123</v>
      </c>
      <c r="F20">
        <v>941.41399007411098</v>
      </c>
      <c r="G20">
        <v>931.29125899804501</v>
      </c>
      <c r="H20">
        <v>1146.7608204743001</v>
      </c>
      <c r="I20">
        <v>934.76657450572702</v>
      </c>
      <c r="J20">
        <v>817.21259619667296</v>
      </c>
      <c r="K20">
        <v>987.11418406574103</v>
      </c>
      <c r="L20">
        <v>1104.36807885808</v>
      </c>
      <c r="M20">
        <v>1075.0956719485901</v>
      </c>
      <c r="N20">
        <v>955.78789084455298</v>
      </c>
      <c r="O20">
        <v>1376.49232697971</v>
      </c>
      <c r="P20">
        <v>1256.9649820599</v>
      </c>
      <c r="Q20">
        <v>1219.51816035007</v>
      </c>
      <c r="R20">
        <v>1288.3424525678499</v>
      </c>
      <c r="S20">
        <v>1669.04184395727</v>
      </c>
      <c r="T20">
        <v>1879.74045082828</v>
      </c>
      <c r="U20">
        <v>1609.62462632763</v>
      </c>
      <c r="V20">
        <v>1672.55233805649</v>
      </c>
      <c r="W20">
        <v>1726.78003623887</v>
      </c>
      <c r="X20">
        <v>1956.47049236565</v>
      </c>
      <c r="Y20">
        <v>2360.13832853026</v>
      </c>
      <c r="Z20">
        <v>2452</v>
      </c>
      <c r="AA20">
        <v>3034</v>
      </c>
      <c r="AB20">
        <v>2962.52886529529</v>
      </c>
      <c r="AC20">
        <v>2342.4416111728701</v>
      </c>
      <c r="AD20">
        <v>2107.0301203490098</v>
      </c>
      <c r="AE20">
        <v>2358.9576347385701</v>
      </c>
    </row>
    <row r="21" spans="1:31" x14ac:dyDescent="0.3">
      <c r="A21" t="s">
        <v>302</v>
      </c>
      <c r="B21" t="s">
        <v>160</v>
      </c>
      <c r="C21" t="s">
        <v>0</v>
      </c>
      <c r="D21" t="s">
        <v>161</v>
      </c>
      <c r="E21" t="s">
        <v>123</v>
      </c>
      <c r="F21">
        <v>1367.9916142224099</v>
      </c>
      <c r="G21">
        <v>1381.44726944427</v>
      </c>
      <c r="H21">
        <v>1637.1047186595999</v>
      </c>
      <c r="I21">
        <v>1418.3346710539699</v>
      </c>
      <c r="J21">
        <v>1326.50005206486</v>
      </c>
      <c r="K21">
        <v>1502.0239201255099</v>
      </c>
      <c r="L21">
        <v>1542.3187338939099</v>
      </c>
      <c r="M21">
        <v>1608.61138122794</v>
      </c>
      <c r="N21">
        <v>1518.4968640521299</v>
      </c>
      <c r="O21">
        <v>1885.1680228258699</v>
      </c>
      <c r="P21">
        <v>1808.6722089698001</v>
      </c>
      <c r="Q21">
        <v>1861.46180784175</v>
      </c>
      <c r="R21">
        <v>1949.92971928214</v>
      </c>
      <c r="S21">
        <v>2340.1479358865499</v>
      </c>
      <c r="T21">
        <v>2548.8935264116399</v>
      </c>
      <c r="U21">
        <v>2355.7119035783599</v>
      </c>
      <c r="V21">
        <v>2303.9501179457402</v>
      </c>
      <c r="W21">
        <v>2338.9226818336001</v>
      </c>
      <c r="X21">
        <v>2540.2192167052599</v>
      </c>
      <c r="Y21">
        <v>2940.6677874915899</v>
      </c>
      <c r="Z21">
        <v>2993</v>
      </c>
      <c r="AA21">
        <v>3705</v>
      </c>
      <c r="AB21">
        <v>3581.2652728753701</v>
      </c>
      <c r="AC21">
        <v>3082.8213237175701</v>
      </c>
      <c r="AD21">
        <v>2719.9081430218298</v>
      </c>
      <c r="AE21">
        <v>3288.8587952236599</v>
      </c>
    </row>
    <row r="22" spans="1:31" x14ac:dyDescent="0.3">
      <c r="A22" t="s">
        <v>302</v>
      </c>
      <c r="B22" t="s">
        <v>162</v>
      </c>
      <c r="C22" t="s">
        <v>0</v>
      </c>
      <c r="D22" t="s">
        <v>163</v>
      </c>
      <c r="E22" t="s">
        <v>123</v>
      </c>
      <c r="F22">
        <v>420.47737944568098</v>
      </c>
      <c r="G22">
        <v>445.96085698784299</v>
      </c>
      <c r="H22">
        <v>481.00063860831699</v>
      </c>
      <c r="I22">
        <v>481.00063860831699</v>
      </c>
      <c r="J22">
        <v>511.73550369511003</v>
      </c>
      <c r="K22">
        <v>513.24060811774302</v>
      </c>
      <c r="L22">
        <v>431.29462867037199</v>
      </c>
      <c r="M22">
        <v>530.07501136584403</v>
      </c>
      <c r="N22">
        <v>561.74183022666102</v>
      </c>
      <c r="O22">
        <v>502.32682895268698</v>
      </c>
      <c r="P22">
        <v>546.91981115736405</v>
      </c>
      <c r="Q22">
        <v>638.07311301692505</v>
      </c>
      <c r="R22">
        <v>657.48218109348602</v>
      </c>
      <c r="S22">
        <v>666.72621878899997</v>
      </c>
      <c r="T22">
        <v>665.64562524152996</v>
      </c>
      <c r="U22">
        <v>740.81673512968996</v>
      </c>
      <c r="V22">
        <v>627.68172712163198</v>
      </c>
      <c r="W22">
        <v>608.88260717456103</v>
      </c>
      <c r="X22">
        <v>581.70933379652297</v>
      </c>
      <c r="Y22">
        <v>579.71376146788998</v>
      </c>
      <c r="Z22">
        <v>541</v>
      </c>
      <c r="AA22">
        <v>671</v>
      </c>
      <c r="AB22">
        <v>618.84454409566501</v>
      </c>
      <c r="AC22">
        <v>739.06593641998199</v>
      </c>
      <c r="AD22">
        <v>612.20416319834703</v>
      </c>
      <c r="AE22">
        <v>927.78308942907404</v>
      </c>
    </row>
    <row r="23" spans="1:31" x14ac:dyDescent="0.3">
      <c r="A23" t="s">
        <v>302</v>
      </c>
      <c r="B23" t="s">
        <v>164</v>
      </c>
      <c r="C23" t="s">
        <v>0</v>
      </c>
      <c r="D23" t="s">
        <v>165</v>
      </c>
      <c r="E23" t="s">
        <v>123</v>
      </c>
      <c r="F23">
        <v>345.05955426688797</v>
      </c>
      <c r="G23">
        <v>365.28282484663202</v>
      </c>
      <c r="H23">
        <v>439.83034012145498</v>
      </c>
      <c r="I23">
        <v>433.72158539754599</v>
      </c>
      <c r="J23">
        <v>585.218702550491</v>
      </c>
      <c r="K23">
        <v>658.52375923740101</v>
      </c>
      <c r="L23">
        <v>589.45616785264599</v>
      </c>
      <c r="M23">
        <v>609.37814569259604</v>
      </c>
      <c r="N23">
        <v>705.10421455618496</v>
      </c>
      <c r="O23">
        <v>708.60638780729096</v>
      </c>
      <c r="P23">
        <v>786.18257732214204</v>
      </c>
      <c r="Q23">
        <v>848.06866941455496</v>
      </c>
      <c r="R23">
        <v>932.87553635601103</v>
      </c>
      <c r="S23">
        <v>1034.56339102989</v>
      </c>
      <c r="T23">
        <v>771.33766901602803</v>
      </c>
      <c r="U23">
        <v>815.32215361916701</v>
      </c>
      <c r="V23">
        <v>861.75771998423204</v>
      </c>
      <c r="W23">
        <v>914.75634974955994</v>
      </c>
      <c r="X23">
        <v>814.72098793929297</v>
      </c>
      <c r="Y23">
        <v>822.888616891065</v>
      </c>
      <c r="Z23">
        <v>830</v>
      </c>
      <c r="AA23">
        <v>947</v>
      </c>
      <c r="AB23">
        <v>1068.7428872497401</v>
      </c>
      <c r="AC23">
        <v>1140.12460142597</v>
      </c>
      <c r="AD23">
        <v>1228.2785654537499</v>
      </c>
      <c r="AE23">
        <v>1255.2313866392601</v>
      </c>
    </row>
    <row r="24" spans="1:31" x14ac:dyDescent="0.3">
      <c r="A24" t="s">
        <v>302</v>
      </c>
      <c r="B24" t="s">
        <v>166</v>
      </c>
      <c r="C24" t="s">
        <v>0</v>
      </c>
      <c r="D24" t="s">
        <v>167</v>
      </c>
      <c r="E24" t="s">
        <v>123</v>
      </c>
      <c r="F24">
        <v>876.95253903951198</v>
      </c>
      <c r="G24">
        <v>1088.7588726210899</v>
      </c>
      <c r="H24">
        <v>1330.15789867735</v>
      </c>
      <c r="I24">
        <v>1407.17990935444</v>
      </c>
      <c r="J24">
        <v>1493.3833377963399</v>
      </c>
      <c r="K24">
        <v>1522.28753143111</v>
      </c>
      <c r="L24">
        <v>1443.8311740419699</v>
      </c>
      <c r="M24">
        <v>1309.0431372247599</v>
      </c>
      <c r="N24">
        <v>1548.8240449197399</v>
      </c>
      <c r="O24">
        <v>1456.3569377603501</v>
      </c>
      <c r="P24">
        <v>1361.55095671399</v>
      </c>
      <c r="Q24">
        <v>1034.14649780267</v>
      </c>
      <c r="R24">
        <v>1586.8799707661601</v>
      </c>
      <c r="S24">
        <v>1642.5025676796199</v>
      </c>
      <c r="T24">
        <v>1471.4085502129899</v>
      </c>
      <c r="U24">
        <v>1413.53814838378</v>
      </c>
      <c r="V24">
        <v>1533.2372987473</v>
      </c>
      <c r="W24">
        <v>1934.69776137195</v>
      </c>
      <c r="X24">
        <v>1623.98612945996</v>
      </c>
      <c r="Y24">
        <v>1657.7339520495</v>
      </c>
      <c r="Z24">
        <v>1315</v>
      </c>
      <c r="AA24">
        <v>1817</v>
      </c>
      <c r="AB24">
        <v>1861.7292122538299</v>
      </c>
      <c r="AC24">
        <v>2004.1834263840699</v>
      </c>
      <c r="AD24">
        <v>1773.22882710452</v>
      </c>
      <c r="AE24">
        <v>1714.3743371256701</v>
      </c>
    </row>
    <row r="25" spans="1:31" x14ac:dyDescent="0.3">
      <c r="A25" t="s">
        <v>302</v>
      </c>
      <c r="B25" t="s">
        <v>168</v>
      </c>
      <c r="C25" t="s">
        <v>0</v>
      </c>
      <c r="D25" t="s">
        <v>169</v>
      </c>
      <c r="E25" t="s">
        <v>123</v>
      </c>
      <c r="F25">
        <v>99.069234257167693</v>
      </c>
      <c r="G25">
        <v>104.085398017024</v>
      </c>
      <c r="H25">
        <v>152.99299467562599</v>
      </c>
      <c r="I25">
        <v>171.65067695314201</v>
      </c>
      <c r="J25">
        <v>186.576822775154</v>
      </c>
      <c r="K25">
        <v>164.335877013877</v>
      </c>
      <c r="L25">
        <v>163.13634506487099</v>
      </c>
      <c r="M25">
        <v>152.57356013261301</v>
      </c>
      <c r="N25">
        <v>166.54976411422601</v>
      </c>
      <c r="O25">
        <v>185.18470275637799</v>
      </c>
      <c r="P25">
        <v>161.03017630989399</v>
      </c>
      <c r="Q25">
        <v>193.68664563147999</v>
      </c>
      <c r="R25">
        <v>151.628974008645</v>
      </c>
      <c r="S25">
        <v>203.24734813924701</v>
      </c>
      <c r="T25">
        <v>174.66568980716499</v>
      </c>
      <c r="U25">
        <v>216.20204287106401</v>
      </c>
      <c r="V25">
        <v>205.39194072751101</v>
      </c>
      <c r="W25">
        <v>206.45066207146701</v>
      </c>
      <c r="X25">
        <v>152.01342281879201</v>
      </c>
      <c r="Y25">
        <v>170.255033557047</v>
      </c>
      <c r="Z25">
        <v>151</v>
      </c>
      <c r="AA25">
        <v>229</v>
      </c>
      <c r="AB25">
        <v>169.26086956521701</v>
      </c>
      <c r="AC25">
        <v>232.24165824064701</v>
      </c>
      <c r="AD25">
        <v>249.65978260869599</v>
      </c>
      <c r="AE25">
        <v>219.282926930071</v>
      </c>
    </row>
    <row r="26" spans="1:31" x14ac:dyDescent="0.3">
      <c r="A26" t="s">
        <v>302</v>
      </c>
      <c r="B26" t="s">
        <v>170</v>
      </c>
      <c r="C26" t="s">
        <v>0</v>
      </c>
      <c r="D26" t="s">
        <v>171</v>
      </c>
      <c r="E26" t="s">
        <v>123</v>
      </c>
      <c r="F26">
        <v>397.12582324802202</v>
      </c>
      <c r="G26">
        <v>659.35493828163703</v>
      </c>
      <c r="H26">
        <v>751.93988217697097</v>
      </c>
      <c r="I26">
        <v>773.03390527434499</v>
      </c>
      <c r="J26">
        <v>779.18863381952303</v>
      </c>
      <c r="K26">
        <v>820.71279298858803</v>
      </c>
      <c r="L26">
        <v>792.33079438379605</v>
      </c>
      <c r="M26">
        <v>659.69900201969597</v>
      </c>
      <c r="N26">
        <v>721.14723946617005</v>
      </c>
      <c r="O26">
        <v>640.36938309739503</v>
      </c>
      <c r="P26">
        <v>690.16302409773505</v>
      </c>
      <c r="Q26">
        <v>412.947542751811</v>
      </c>
      <c r="R26">
        <v>867.87052254158095</v>
      </c>
      <c r="S26">
        <v>871.20848608981805</v>
      </c>
      <c r="T26">
        <v>672.76049551616802</v>
      </c>
      <c r="U26">
        <v>598.85465755962605</v>
      </c>
      <c r="V26">
        <v>798.83714356950099</v>
      </c>
      <c r="W26">
        <v>994.53620283753105</v>
      </c>
      <c r="X26">
        <v>814.938329047455</v>
      </c>
      <c r="Y26">
        <v>890.79422382671498</v>
      </c>
      <c r="Z26">
        <v>564</v>
      </c>
      <c r="AA26">
        <v>924</v>
      </c>
      <c r="AB26">
        <v>1032.2967741935499</v>
      </c>
      <c r="AC26">
        <v>1100.13341935484</v>
      </c>
      <c r="AD26">
        <v>864.80558405270301</v>
      </c>
      <c r="AE26">
        <v>800.99283721180996</v>
      </c>
    </row>
    <row r="27" spans="1:31" x14ac:dyDescent="0.3">
      <c r="A27" t="s">
        <v>302</v>
      </c>
      <c r="B27" t="s">
        <v>172</v>
      </c>
      <c r="C27" t="s">
        <v>0</v>
      </c>
      <c r="D27" t="s">
        <v>173</v>
      </c>
      <c r="E27" t="s">
        <v>123</v>
      </c>
      <c r="F27">
        <v>379.23855747305998</v>
      </c>
      <c r="G27">
        <v>329.72014710237403</v>
      </c>
      <c r="H27">
        <v>429.598877793969</v>
      </c>
      <c r="I27">
        <v>466.69515972046702</v>
      </c>
      <c r="J27">
        <v>530.82121220114198</v>
      </c>
      <c r="K27">
        <v>540.23710953508703</v>
      </c>
      <c r="L27">
        <v>491.85766689015401</v>
      </c>
      <c r="M27">
        <v>498.59544314892298</v>
      </c>
      <c r="N27">
        <v>661.40211846285695</v>
      </c>
      <c r="O27">
        <v>630.665703319145</v>
      </c>
      <c r="P27">
        <v>512.62666793855601</v>
      </c>
      <c r="Q27">
        <v>426.26623575884202</v>
      </c>
      <c r="R27">
        <v>572.00764798487296</v>
      </c>
      <c r="S27">
        <v>572.00764798487296</v>
      </c>
      <c r="T27">
        <v>623.43585853764205</v>
      </c>
      <c r="U27">
        <v>597.01908487079299</v>
      </c>
      <c r="V27">
        <v>528.75737462240795</v>
      </c>
      <c r="W27">
        <v>733.851144172918</v>
      </c>
      <c r="X27">
        <v>657.25737172045501</v>
      </c>
      <c r="Y27">
        <v>596.94915254237299</v>
      </c>
      <c r="Z27">
        <v>600</v>
      </c>
      <c r="AA27">
        <v>664</v>
      </c>
      <c r="AB27">
        <v>660.023952095808</v>
      </c>
      <c r="AC27">
        <v>671.79258125650597</v>
      </c>
      <c r="AD27">
        <v>658.31823148918397</v>
      </c>
      <c r="AE27">
        <v>693.26482340467805</v>
      </c>
    </row>
    <row r="28" spans="1:31" x14ac:dyDescent="0.3">
      <c r="A28" t="s">
        <v>302</v>
      </c>
      <c r="B28" t="s">
        <v>174</v>
      </c>
      <c r="C28" t="s">
        <v>0</v>
      </c>
      <c r="D28" t="s">
        <v>175</v>
      </c>
      <c r="E28" t="s">
        <v>123</v>
      </c>
      <c r="F28">
        <v>1369.3772782475501</v>
      </c>
      <c r="G28">
        <v>1331.8410482854399</v>
      </c>
      <c r="H28">
        <v>1698.30244555494</v>
      </c>
      <c r="I28">
        <v>2044.03301333691</v>
      </c>
      <c r="J28">
        <v>1882.0139095530701</v>
      </c>
      <c r="K28">
        <v>1477.72944009353</v>
      </c>
      <c r="L28">
        <v>1660.78964783127</v>
      </c>
      <c r="M28">
        <v>1305.4848242185899</v>
      </c>
      <c r="N28">
        <v>1308.92332682847</v>
      </c>
      <c r="O28">
        <v>1830.2063286047</v>
      </c>
      <c r="P28">
        <v>1575.22402276194</v>
      </c>
      <c r="Q28">
        <v>1779.3153242078299</v>
      </c>
      <c r="R28">
        <v>1864.20419089948</v>
      </c>
      <c r="S28">
        <v>1625.7979711041701</v>
      </c>
      <c r="T28">
        <v>1837.0108987292899</v>
      </c>
      <c r="U28">
        <v>1380.7315583739301</v>
      </c>
      <c r="V28">
        <v>1611.3949481258101</v>
      </c>
      <c r="W28">
        <v>1482.78097139545</v>
      </c>
      <c r="X28">
        <v>1517.8641676567199</v>
      </c>
      <c r="Y28">
        <v>1272.64684813754</v>
      </c>
      <c r="Z28">
        <v>1427</v>
      </c>
      <c r="AA28">
        <v>2006</v>
      </c>
      <c r="AB28">
        <v>1868.2746268656699</v>
      </c>
      <c r="AC28">
        <v>1980.2126082208299</v>
      </c>
      <c r="AD28">
        <v>2147.6786596579</v>
      </c>
      <c r="AE28">
        <v>1742.4017812554</v>
      </c>
    </row>
    <row r="29" spans="1:31" x14ac:dyDescent="0.3">
      <c r="A29" t="s">
        <v>302</v>
      </c>
      <c r="B29" t="s">
        <v>176</v>
      </c>
      <c r="C29" t="s">
        <v>0</v>
      </c>
      <c r="D29" t="s">
        <v>177</v>
      </c>
      <c r="E29" t="s">
        <v>123</v>
      </c>
      <c r="F29">
        <v>777.30322871450301</v>
      </c>
      <c r="G29">
        <v>758.31152679128695</v>
      </c>
      <c r="H29">
        <v>790.07326613332998</v>
      </c>
      <c r="I29">
        <v>881.52869243815303</v>
      </c>
      <c r="J29">
        <v>845.36980689259894</v>
      </c>
      <c r="K29">
        <v>737.26935744800005</v>
      </c>
      <c r="L29">
        <v>744.11706045835297</v>
      </c>
      <c r="M29">
        <v>701.37690529211397</v>
      </c>
      <c r="N29">
        <v>755.57913908594105</v>
      </c>
      <c r="O29">
        <v>812.70566458031306</v>
      </c>
      <c r="P29">
        <v>827.73588823173202</v>
      </c>
      <c r="Q29">
        <v>682.48159042590601</v>
      </c>
      <c r="R29">
        <v>621.11115283721995</v>
      </c>
      <c r="S29">
        <v>789.26307238705897</v>
      </c>
      <c r="T29">
        <v>688.12896667828102</v>
      </c>
      <c r="U29">
        <v>627.839721863568</v>
      </c>
      <c r="V29">
        <v>753.61556018391798</v>
      </c>
      <c r="W29">
        <v>536.40295623375005</v>
      </c>
      <c r="X29">
        <v>571.49473841726603</v>
      </c>
      <c r="Y29">
        <v>634.43021582733797</v>
      </c>
      <c r="Z29">
        <v>701</v>
      </c>
      <c r="AA29">
        <v>848</v>
      </c>
      <c r="AB29">
        <v>811.25995316159299</v>
      </c>
      <c r="AC29">
        <v>817.16718583024499</v>
      </c>
      <c r="AD29">
        <v>880.702912001257</v>
      </c>
      <c r="AE29">
        <v>800.02041564794104</v>
      </c>
    </row>
    <row r="30" spans="1:31" x14ac:dyDescent="0.3">
      <c r="A30" t="s">
        <v>302</v>
      </c>
      <c r="B30" t="s">
        <v>178</v>
      </c>
      <c r="C30" t="s">
        <v>0</v>
      </c>
      <c r="D30" t="s">
        <v>179</v>
      </c>
      <c r="E30" t="s">
        <v>123</v>
      </c>
      <c r="F30">
        <v>-4.2169972476846302</v>
      </c>
      <c r="G30">
        <v>-14.056657492282101</v>
      </c>
      <c r="H30">
        <v>312.05779632866302</v>
      </c>
      <c r="I30">
        <v>265.58110325843597</v>
      </c>
      <c r="J30">
        <v>143.10438088197299</v>
      </c>
      <c r="K30">
        <v>33.893142840467299</v>
      </c>
      <c r="L30">
        <v>213.877418613983</v>
      </c>
      <c r="M30">
        <v>99.1410950866901</v>
      </c>
      <c r="N30">
        <v>-41.859573481046901</v>
      </c>
      <c r="O30">
        <v>370.12675499031002</v>
      </c>
      <c r="P30">
        <v>122.645551949452</v>
      </c>
      <c r="Q30">
        <v>260.48612803423401</v>
      </c>
      <c r="R30">
        <v>408.71254398676899</v>
      </c>
      <c r="S30">
        <v>18.479024595146502</v>
      </c>
      <c r="T30">
        <v>116.30915480474501</v>
      </c>
      <c r="U30">
        <v>65.693133732309903</v>
      </c>
      <c r="V30">
        <v>263.86742049144499</v>
      </c>
      <c r="W30">
        <v>372.645418326693</v>
      </c>
      <c r="X30">
        <v>262</v>
      </c>
      <c r="Y30">
        <v>26</v>
      </c>
      <c r="Z30">
        <v>104</v>
      </c>
      <c r="AA30">
        <v>110</v>
      </c>
      <c r="AB30">
        <v>-49</v>
      </c>
      <c r="AC30">
        <v>190</v>
      </c>
      <c r="AD30">
        <v>152.19895287958099</v>
      </c>
      <c r="AE30">
        <v>105.748623104644</v>
      </c>
    </row>
    <row r="31" spans="1:31" x14ac:dyDescent="0.3">
      <c r="A31" t="s">
        <v>302</v>
      </c>
      <c r="B31" t="s">
        <v>180</v>
      </c>
      <c r="C31" t="s">
        <v>0</v>
      </c>
      <c r="D31" t="s">
        <v>181</v>
      </c>
      <c r="E31" t="s">
        <v>123</v>
      </c>
      <c r="F31">
        <v>143.970005477668</v>
      </c>
      <c r="G31">
        <v>189.701654276456</v>
      </c>
      <c r="H31">
        <v>131.96636819231799</v>
      </c>
      <c r="I31">
        <v>226.917779452644</v>
      </c>
      <c r="J31">
        <v>449.14070829592202</v>
      </c>
      <c r="K31">
        <v>239.03420746596501</v>
      </c>
      <c r="L31">
        <v>319.189390807846</v>
      </c>
      <c r="M31">
        <v>101.373454591333</v>
      </c>
      <c r="N31">
        <v>82.450409734284193</v>
      </c>
      <c r="O31">
        <v>183.823864325617</v>
      </c>
      <c r="P31">
        <v>350.455568678335</v>
      </c>
      <c r="Q31">
        <v>424.79462870101202</v>
      </c>
      <c r="R31">
        <v>387.625098689673</v>
      </c>
      <c r="S31">
        <v>312.21680304014598</v>
      </c>
      <c r="T31">
        <v>535.795784878218</v>
      </c>
      <c r="U31">
        <v>176.420563313559</v>
      </c>
      <c r="V31">
        <v>127.12658238771201</v>
      </c>
      <c r="W31">
        <v>155.376934029426</v>
      </c>
      <c r="X31">
        <v>365.37857142857098</v>
      </c>
      <c r="Y31">
        <v>132.75</v>
      </c>
      <c r="Z31">
        <v>177</v>
      </c>
      <c r="AA31">
        <v>383</v>
      </c>
      <c r="AB31">
        <v>399</v>
      </c>
      <c r="AC31">
        <v>273.74430379746798</v>
      </c>
      <c r="AD31">
        <v>417.71353023910001</v>
      </c>
      <c r="AE31">
        <v>156.39971713603501</v>
      </c>
    </row>
    <row r="32" spans="1:31" x14ac:dyDescent="0.3">
      <c r="A32" t="s">
        <v>302</v>
      </c>
      <c r="B32" t="s">
        <v>182</v>
      </c>
      <c r="C32" t="s">
        <v>0</v>
      </c>
      <c r="D32" t="s">
        <v>183</v>
      </c>
      <c r="E32" t="s">
        <v>123</v>
      </c>
      <c r="F32">
        <v>368.80301545098501</v>
      </c>
      <c r="G32">
        <v>311.85549100634802</v>
      </c>
      <c r="H32">
        <v>343.04104010698302</v>
      </c>
      <c r="I32">
        <v>523.17069823265695</v>
      </c>
      <c r="J32">
        <v>345.29266083355401</v>
      </c>
      <c r="K32">
        <v>329.88927075919503</v>
      </c>
      <c r="L32">
        <v>287.56385488820399</v>
      </c>
      <c r="M32">
        <v>303.271124272853</v>
      </c>
      <c r="N32">
        <v>420.006437981055</v>
      </c>
      <c r="O32">
        <v>383.79898643096402</v>
      </c>
      <c r="P32">
        <v>238.384463621717</v>
      </c>
      <c r="Q32">
        <v>362.29717986072802</v>
      </c>
      <c r="R32">
        <v>423.25511805951697</v>
      </c>
      <c r="S32">
        <v>424.36602388119599</v>
      </c>
      <c r="T32">
        <v>442.40157989614602</v>
      </c>
      <c r="U32">
        <v>419.85198480435298</v>
      </c>
      <c r="V32">
        <v>385.31403232687398</v>
      </c>
      <c r="W32">
        <v>323.20056809931799</v>
      </c>
      <c r="X32">
        <v>287.73969072164903</v>
      </c>
      <c r="Y32">
        <v>389</v>
      </c>
      <c r="Z32">
        <v>456</v>
      </c>
      <c r="AA32">
        <v>639</v>
      </c>
      <c r="AB32">
        <v>653.02194357366795</v>
      </c>
      <c r="AC32">
        <v>644.15739230343695</v>
      </c>
      <c r="AD32">
        <v>656.63734178174502</v>
      </c>
      <c r="AE32">
        <v>624.65214175226197</v>
      </c>
    </row>
    <row r="33" spans="1:31" x14ac:dyDescent="0.3">
      <c r="A33" t="s">
        <v>302</v>
      </c>
      <c r="B33" t="s">
        <v>184</v>
      </c>
      <c r="C33" t="s">
        <v>0</v>
      </c>
      <c r="D33" t="s">
        <v>185</v>
      </c>
      <c r="E33" t="s">
        <v>123</v>
      </c>
      <c r="F33">
        <v>73.524776922835599</v>
      </c>
      <c r="G33">
        <v>84.9337940315514</v>
      </c>
      <c r="H33">
        <v>115.818810043025</v>
      </c>
      <c r="I33">
        <v>154.85885837213399</v>
      </c>
      <c r="J33">
        <v>145.749513762009</v>
      </c>
      <c r="K33">
        <v>154.940924539793</v>
      </c>
      <c r="L33">
        <v>116.20569340484499</v>
      </c>
      <c r="M33">
        <v>92.464745289876404</v>
      </c>
      <c r="N33">
        <v>89.999018748813</v>
      </c>
      <c r="O33">
        <v>70.273206420306096</v>
      </c>
      <c r="P33">
        <v>50.0249944008958</v>
      </c>
      <c r="Q33">
        <v>83.7627813224303</v>
      </c>
      <c r="R33">
        <v>53.200685434516501</v>
      </c>
      <c r="S33">
        <v>96.426242350061202</v>
      </c>
      <c r="T33">
        <v>113.380306939083</v>
      </c>
      <c r="U33">
        <v>91.128097165991903</v>
      </c>
      <c r="V33">
        <v>70.995145466528598</v>
      </c>
      <c r="W33">
        <v>100.664758497317</v>
      </c>
      <c r="X33">
        <v>66.767441860465098</v>
      </c>
      <c r="Y33">
        <v>87</v>
      </c>
      <c r="Z33">
        <v>-11</v>
      </c>
      <c r="AA33">
        <v>26</v>
      </c>
      <c r="AB33">
        <v>55.12</v>
      </c>
      <c r="AC33">
        <v>56.16</v>
      </c>
      <c r="AD33">
        <v>44.72</v>
      </c>
      <c r="AE33">
        <v>57.2</v>
      </c>
    </row>
    <row r="34" spans="1:31" x14ac:dyDescent="0.3">
      <c r="A34" t="s">
        <v>302</v>
      </c>
      <c r="B34" t="s">
        <v>186</v>
      </c>
      <c r="C34" t="s">
        <v>0</v>
      </c>
      <c r="D34" t="s">
        <v>187</v>
      </c>
      <c r="E34" t="s">
        <v>123</v>
      </c>
      <c r="F34">
        <v>100.54733483115599</v>
      </c>
      <c r="G34">
        <v>120.882750864423</v>
      </c>
      <c r="H34">
        <v>151.385874914325</v>
      </c>
      <c r="I34">
        <v>176.056165641104</v>
      </c>
      <c r="J34">
        <v>168.15620949054099</v>
      </c>
      <c r="K34">
        <v>159.06668465321499</v>
      </c>
      <c r="L34">
        <v>131.79811014123499</v>
      </c>
      <c r="M34">
        <v>165.02452446255501</v>
      </c>
      <c r="N34">
        <v>153.94905302211501</v>
      </c>
      <c r="O34">
        <v>165.02452446255501</v>
      </c>
      <c r="P34">
        <v>177.207543047039</v>
      </c>
      <c r="Q34">
        <v>225.042708041331</v>
      </c>
      <c r="R34">
        <v>217.50539246100001</v>
      </c>
      <c r="S34">
        <v>225.952203818708</v>
      </c>
      <c r="T34">
        <v>210.47602547496101</v>
      </c>
      <c r="U34">
        <v>221.93759121864699</v>
      </c>
      <c r="V34">
        <v>203.62235310837099</v>
      </c>
      <c r="W34">
        <v>231.196213425129</v>
      </c>
      <c r="X34">
        <v>170.57142857142901</v>
      </c>
      <c r="Y34">
        <v>186.816326530612</v>
      </c>
      <c r="Z34">
        <v>199</v>
      </c>
      <c r="AA34">
        <v>255</v>
      </c>
      <c r="AB34">
        <v>255.99221789883299</v>
      </c>
      <c r="AC34">
        <v>301.91448599518799</v>
      </c>
      <c r="AD34">
        <v>291.33786387433798</v>
      </c>
      <c r="AE34">
        <v>293.23583041423598</v>
      </c>
    </row>
    <row r="35" spans="1:31" x14ac:dyDescent="0.3">
      <c r="A35" t="s">
        <v>302</v>
      </c>
      <c r="B35" t="s">
        <v>188</v>
      </c>
      <c r="C35" t="s">
        <v>0</v>
      </c>
      <c r="D35" t="s">
        <v>189</v>
      </c>
      <c r="E35" t="s">
        <v>123</v>
      </c>
      <c r="F35">
        <v>1179.6087674246601</v>
      </c>
      <c r="G35">
        <v>1303.05619657376</v>
      </c>
      <c r="H35">
        <v>1451.31503493948</v>
      </c>
      <c r="I35">
        <v>1575.0526514641999</v>
      </c>
      <c r="J35">
        <v>1827.38970069282</v>
      </c>
      <c r="K35">
        <v>2001.5961118483599</v>
      </c>
      <c r="L35">
        <v>2037.6713906084201</v>
      </c>
      <c r="M35">
        <v>1934.58514825049</v>
      </c>
      <c r="N35">
        <v>1697.32470554052</v>
      </c>
      <c r="O35">
        <v>1448.4902833429201</v>
      </c>
      <c r="P35">
        <v>1617.05005254497</v>
      </c>
      <c r="Q35">
        <v>1525.09574997306</v>
      </c>
      <c r="R35">
        <v>1780.19865963547</v>
      </c>
      <c r="S35">
        <v>1715.84098750404</v>
      </c>
      <c r="T35">
        <v>1556.8482591843201</v>
      </c>
      <c r="U35">
        <v>1796.8535160572101</v>
      </c>
      <c r="V35">
        <v>1804.2654044558001</v>
      </c>
      <c r="W35">
        <v>1881.2640434002799</v>
      </c>
      <c r="X35">
        <v>2034.7113552600099</v>
      </c>
      <c r="Y35">
        <v>2259.8928104575202</v>
      </c>
      <c r="Z35">
        <v>2301</v>
      </c>
      <c r="AA35">
        <v>2251</v>
      </c>
      <c r="AB35">
        <v>2354.3115622241799</v>
      </c>
      <c r="AC35">
        <v>2861.0472315288898</v>
      </c>
      <c r="AD35">
        <v>2318.25132456653</v>
      </c>
      <c r="AE35">
        <v>2636.9276453419802</v>
      </c>
    </row>
    <row r="36" spans="1:31" x14ac:dyDescent="0.3">
      <c r="A36" t="s">
        <v>302</v>
      </c>
      <c r="B36" t="s">
        <v>190</v>
      </c>
      <c r="C36" t="s">
        <v>0</v>
      </c>
      <c r="D36" t="s">
        <v>191</v>
      </c>
      <c r="E36" t="s">
        <v>123</v>
      </c>
      <c r="F36">
        <v>384.49260463597699</v>
      </c>
      <c r="G36">
        <v>417.80604330479798</v>
      </c>
      <c r="H36">
        <v>520.15450357744999</v>
      </c>
      <c r="I36">
        <v>504.77359083725702</v>
      </c>
      <c r="J36">
        <v>414.88240342788202</v>
      </c>
      <c r="K36">
        <v>461.74619650611498</v>
      </c>
      <c r="L36">
        <v>488.74889805618</v>
      </c>
      <c r="M36">
        <v>410.33998392951997</v>
      </c>
      <c r="N36">
        <v>412.920738545429</v>
      </c>
      <c r="O36">
        <v>407.759229313611</v>
      </c>
      <c r="P36">
        <v>441.53069922608802</v>
      </c>
      <c r="Q36">
        <v>432.92146553644301</v>
      </c>
      <c r="R36">
        <v>480.08330116750801</v>
      </c>
      <c r="S36">
        <v>427.53687019394999</v>
      </c>
      <c r="T36">
        <v>475.43034472387302</v>
      </c>
      <c r="U36">
        <v>597.71651512159997</v>
      </c>
      <c r="V36">
        <v>588.76196058794301</v>
      </c>
      <c r="W36">
        <v>609.28760692036701</v>
      </c>
      <c r="X36">
        <v>588.20499076395299</v>
      </c>
      <c r="Y36">
        <v>437.54195804195803</v>
      </c>
      <c r="Z36">
        <v>578</v>
      </c>
      <c r="AA36">
        <v>627</v>
      </c>
      <c r="AB36">
        <v>709.681318681319</v>
      </c>
      <c r="AC36">
        <v>717.45864820111399</v>
      </c>
      <c r="AD36">
        <v>699.234431201353</v>
      </c>
      <c r="AE36">
        <v>667.32306118679503</v>
      </c>
    </row>
    <row r="37" spans="1:31" x14ac:dyDescent="0.3">
      <c r="A37" t="s">
        <v>302</v>
      </c>
      <c r="B37" t="s">
        <v>192</v>
      </c>
      <c r="C37" t="s">
        <v>0</v>
      </c>
      <c r="D37" t="s">
        <v>193</v>
      </c>
      <c r="E37" t="s">
        <v>123</v>
      </c>
      <c r="F37">
        <v>651.24745398899199</v>
      </c>
      <c r="G37">
        <v>731.16836874054297</v>
      </c>
      <c r="H37">
        <v>766.19439838080802</v>
      </c>
      <c r="I37">
        <v>823.958698685478</v>
      </c>
      <c r="J37">
        <v>1039.96949266518</v>
      </c>
      <c r="K37">
        <v>1108.3295562994299</v>
      </c>
      <c r="L37">
        <v>1063.4712030829601</v>
      </c>
      <c r="M37">
        <v>987.12493875648204</v>
      </c>
      <c r="N37">
        <v>746.78147540707698</v>
      </c>
      <c r="O37">
        <v>632.13926899594799</v>
      </c>
      <c r="P37">
        <v>599.09320265720498</v>
      </c>
      <c r="Q37">
        <v>537.45364931521794</v>
      </c>
      <c r="R37">
        <v>555.47477759600497</v>
      </c>
      <c r="S37">
        <v>605.49877257650803</v>
      </c>
      <c r="T37">
        <v>561.59245348579998</v>
      </c>
      <c r="U37">
        <v>625.01455205796697</v>
      </c>
      <c r="V37">
        <v>606.54121554393805</v>
      </c>
      <c r="W37">
        <v>563.86997424939</v>
      </c>
      <c r="X37">
        <v>607.01305057096204</v>
      </c>
      <c r="Y37">
        <v>569.13703099510599</v>
      </c>
      <c r="Z37">
        <v>611</v>
      </c>
      <c r="AA37">
        <v>701</v>
      </c>
      <c r="AB37">
        <v>679.93991416308995</v>
      </c>
      <c r="AC37">
        <v>702.63747298130602</v>
      </c>
      <c r="AD37">
        <v>586.50711286356295</v>
      </c>
      <c r="AE37">
        <v>751.31076441200196</v>
      </c>
    </row>
    <row r="38" spans="1:31" x14ac:dyDescent="0.3">
      <c r="A38" t="s">
        <v>302</v>
      </c>
      <c r="B38" t="s">
        <v>194</v>
      </c>
      <c r="C38" t="s">
        <v>0</v>
      </c>
      <c r="D38" t="s">
        <v>195</v>
      </c>
      <c r="E38" t="s">
        <v>123</v>
      </c>
      <c r="F38">
        <v>152.71082260949001</v>
      </c>
      <c r="G38">
        <v>162.75758725485099</v>
      </c>
      <c r="H38">
        <v>186.301137612471</v>
      </c>
      <c r="I38">
        <v>253.57654841697399</v>
      </c>
      <c r="J38">
        <v>345.59166725182598</v>
      </c>
      <c r="K38">
        <v>403.00625733839098</v>
      </c>
      <c r="L38">
        <v>460.42084742495598</v>
      </c>
      <c r="M38">
        <v>505.798863637512</v>
      </c>
      <c r="N38">
        <v>521.25996427272003</v>
      </c>
      <c r="O38">
        <v>402.59014261914302</v>
      </c>
      <c r="P38">
        <v>570.15468846602903</v>
      </c>
      <c r="Q38">
        <v>550.75433989818703</v>
      </c>
      <c r="R38">
        <v>737.54117997993706</v>
      </c>
      <c r="S38">
        <v>670.87676916396003</v>
      </c>
      <c r="T38">
        <v>518.92163038568196</v>
      </c>
      <c r="U38">
        <v>577.96061827387405</v>
      </c>
      <c r="V38">
        <v>612.38787531906803</v>
      </c>
      <c r="W38">
        <v>712.72845624128001</v>
      </c>
      <c r="X38">
        <v>842.22275372717797</v>
      </c>
      <c r="Y38">
        <v>1252.2522522522499</v>
      </c>
      <c r="Z38">
        <v>1112</v>
      </c>
      <c r="AA38">
        <v>923</v>
      </c>
      <c r="AB38">
        <v>963.69139784946196</v>
      </c>
      <c r="AC38">
        <v>1440.14513066212</v>
      </c>
      <c r="AD38">
        <v>1031.02398205898</v>
      </c>
      <c r="AE38">
        <v>1219.77630260151</v>
      </c>
    </row>
    <row r="39" spans="1:31" x14ac:dyDescent="0.3">
      <c r="A39" t="s">
        <v>302</v>
      </c>
      <c r="B39" t="s">
        <v>196</v>
      </c>
      <c r="C39" t="s">
        <v>0</v>
      </c>
      <c r="D39" t="s">
        <v>197</v>
      </c>
      <c r="E39" t="s">
        <v>123</v>
      </c>
      <c r="F39">
        <v>19.457174056833999</v>
      </c>
      <c r="G39">
        <v>73.937261415969104</v>
      </c>
      <c r="H39">
        <v>-24.645753805323</v>
      </c>
      <c r="I39">
        <v>157.35365891090899</v>
      </c>
      <c r="J39">
        <v>193.20639132098901</v>
      </c>
      <c r="K39">
        <v>311.21894385759299</v>
      </c>
      <c r="L39">
        <v>311.21894385759299</v>
      </c>
      <c r="M39">
        <v>377.20175880973301</v>
      </c>
      <c r="N39">
        <v>312.63569198644501</v>
      </c>
      <c r="O39">
        <v>263.89780844483198</v>
      </c>
      <c r="P39">
        <v>395.84671266724803</v>
      </c>
      <c r="Q39">
        <v>444.17683456266798</v>
      </c>
      <c r="R39">
        <v>663.439699461288</v>
      </c>
      <c r="S39">
        <v>715.75793079464495</v>
      </c>
      <c r="T39">
        <v>666.95625369500999</v>
      </c>
      <c r="U39">
        <v>473.46327247717102</v>
      </c>
      <c r="V39">
        <v>499.11365292740101</v>
      </c>
      <c r="W39">
        <v>451.92853868006301</v>
      </c>
      <c r="X39">
        <v>433.35613298088202</v>
      </c>
      <c r="Y39">
        <v>536.10019267822702</v>
      </c>
      <c r="Z39">
        <v>523</v>
      </c>
      <c r="AA39">
        <v>618</v>
      </c>
      <c r="AB39">
        <v>675.25878594249195</v>
      </c>
      <c r="AC39">
        <v>563.69429087373203</v>
      </c>
      <c r="AD39">
        <v>683.23635600729995</v>
      </c>
      <c r="AE39">
        <v>506.66965726384001</v>
      </c>
    </row>
    <row r="40" spans="1:31" x14ac:dyDescent="0.3">
      <c r="A40" t="s">
        <v>302</v>
      </c>
      <c r="B40" t="s">
        <v>198</v>
      </c>
      <c r="C40" t="s">
        <v>0</v>
      </c>
      <c r="D40" t="s">
        <v>199</v>
      </c>
      <c r="E40" t="s">
        <v>123</v>
      </c>
      <c r="F40">
        <v>7990.3072262717797</v>
      </c>
      <c r="G40">
        <v>8999.4552408161708</v>
      </c>
      <c r="H40">
        <v>9746.8148455898299</v>
      </c>
      <c r="I40">
        <v>11564.6606244462</v>
      </c>
      <c r="J40">
        <v>12845.8070177031</v>
      </c>
      <c r="K40">
        <v>14708.9502651983</v>
      </c>
      <c r="L40">
        <v>14444.7499121944</v>
      </c>
      <c r="M40">
        <v>13840.904634356501</v>
      </c>
      <c r="N40">
        <v>14488.715507466</v>
      </c>
      <c r="O40">
        <v>16151.827283901501</v>
      </c>
      <c r="P40">
        <v>17599.0228265148</v>
      </c>
      <c r="Q40">
        <v>18143.711063217899</v>
      </c>
      <c r="R40">
        <v>19867.6152363535</v>
      </c>
      <c r="S40">
        <v>19193.969119871101</v>
      </c>
      <c r="T40">
        <v>15647.768198752399</v>
      </c>
      <c r="U40">
        <v>17806.4874182846</v>
      </c>
      <c r="V40">
        <v>19190.144926685</v>
      </c>
      <c r="W40">
        <v>18996.107987077201</v>
      </c>
      <c r="X40">
        <v>17774.0699576925</v>
      </c>
      <c r="Y40">
        <v>16334.1299645287</v>
      </c>
      <c r="Z40">
        <v>17251</v>
      </c>
      <c r="AA40">
        <v>18557</v>
      </c>
      <c r="AB40">
        <v>19511.069831079301</v>
      </c>
      <c r="AC40">
        <v>20823.978393911399</v>
      </c>
      <c r="AD40">
        <v>20510.910913263899</v>
      </c>
      <c r="AE40">
        <v>19458.135424987999</v>
      </c>
    </row>
    <row r="41" spans="1:31" x14ac:dyDescent="0.3">
      <c r="A41" t="s">
        <v>302</v>
      </c>
      <c r="B41" t="s">
        <v>200</v>
      </c>
      <c r="C41" t="s">
        <v>0</v>
      </c>
      <c r="D41" t="s">
        <v>201</v>
      </c>
      <c r="E41" t="s">
        <v>123</v>
      </c>
      <c r="F41">
        <v>5218.6838955416297</v>
      </c>
      <c r="G41">
        <v>5313.8375157684204</v>
      </c>
      <c r="H41">
        <v>5992.5519648229501</v>
      </c>
      <c r="I41">
        <v>6950.0264838447401</v>
      </c>
      <c r="J41">
        <v>7855.7718707716003</v>
      </c>
      <c r="K41">
        <v>8202.4558152608806</v>
      </c>
      <c r="L41">
        <v>7304.6411980472803</v>
      </c>
      <c r="M41">
        <v>7424.4739077700497</v>
      </c>
      <c r="N41">
        <v>8475.1566304601492</v>
      </c>
      <c r="O41">
        <v>9585.1236721121695</v>
      </c>
      <c r="P41">
        <v>10224.901188482399</v>
      </c>
      <c r="Q41">
        <v>10775.6883815695</v>
      </c>
      <c r="R41">
        <v>10871.8684672655</v>
      </c>
      <c r="S41">
        <v>9779.7273513639793</v>
      </c>
      <c r="T41">
        <v>8646.9080606910502</v>
      </c>
      <c r="U41">
        <v>10894.499326528899</v>
      </c>
      <c r="V41">
        <v>11567.0130996641</v>
      </c>
      <c r="W41">
        <v>11310.593484602799</v>
      </c>
      <c r="X41">
        <v>10705.202915125101</v>
      </c>
      <c r="Y41">
        <v>10103.0036761053</v>
      </c>
      <c r="Z41">
        <v>10102</v>
      </c>
      <c r="AA41">
        <v>11107</v>
      </c>
      <c r="AB41">
        <v>11553.6648187258</v>
      </c>
      <c r="AC41">
        <v>11969.8767493169</v>
      </c>
      <c r="AD41">
        <v>11545.9795443475</v>
      </c>
      <c r="AE41">
        <v>11060.803206841199</v>
      </c>
    </row>
    <row r="42" spans="1:31" x14ac:dyDescent="0.3">
      <c r="A42" t="s">
        <v>302</v>
      </c>
      <c r="B42" t="s">
        <v>202</v>
      </c>
      <c r="C42" t="s">
        <v>0</v>
      </c>
      <c r="D42" t="s">
        <v>203</v>
      </c>
      <c r="E42" t="s">
        <v>123</v>
      </c>
      <c r="F42">
        <v>959.71027313519699</v>
      </c>
      <c r="G42">
        <v>1013.29015702123</v>
      </c>
      <c r="H42">
        <v>1122.62693688219</v>
      </c>
      <c r="I42">
        <v>1180.0425810295901</v>
      </c>
      <c r="J42">
        <v>1280.85023870549</v>
      </c>
      <c r="K42">
        <v>1323.44732233216</v>
      </c>
      <c r="L42">
        <v>1289.47648197284</v>
      </c>
      <c r="M42">
        <v>1440.77869074555</v>
      </c>
      <c r="N42">
        <v>1316.1851333121699</v>
      </c>
      <c r="O42">
        <v>1352.7821380120099</v>
      </c>
      <c r="P42">
        <v>1355.3178121226199</v>
      </c>
      <c r="Q42">
        <v>1355.3178121226199</v>
      </c>
      <c r="R42">
        <v>1492.7788713592599</v>
      </c>
      <c r="S42">
        <v>1436.09106611777</v>
      </c>
      <c r="T42">
        <v>1232.3902056755301</v>
      </c>
      <c r="U42">
        <v>1405.7808134197301</v>
      </c>
      <c r="V42">
        <v>1489.6267643363201</v>
      </c>
      <c r="W42">
        <v>1361.4868276192201</v>
      </c>
      <c r="X42">
        <v>1249.0704840543301</v>
      </c>
      <c r="Y42">
        <v>1237.8634894991901</v>
      </c>
      <c r="Z42">
        <v>1251</v>
      </c>
      <c r="AA42">
        <v>1172</v>
      </c>
      <c r="AB42">
        <v>1169.0404040404001</v>
      </c>
      <c r="AC42">
        <v>1312.4688905865401</v>
      </c>
      <c r="AD42">
        <v>1504.2987955492199</v>
      </c>
      <c r="AE42">
        <v>1389.6127374387399</v>
      </c>
    </row>
    <row r="43" spans="1:31" x14ac:dyDescent="0.3">
      <c r="A43" t="s">
        <v>302</v>
      </c>
      <c r="B43" t="s">
        <v>204</v>
      </c>
      <c r="C43" t="s">
        <v>0</v>
      </c>
      <c r="D43" t="s">
        <v>205</v>
      </c>
      <c r="E43" t="s">
        <v>123</v>
      </c>
      <c r="F43">
        <v>1113.85962709913</v>
      </c>
      <c r="G43">
        <v>1290.10323898191</v>
      </c>
      <c r="H43">
        <v>1303.9011345859899</v>
      </c>
      <c r="I43">
        <v>1439.0204231441201</v>
      </c>
      <c r="J43">
        <v>1532.11786271907</v>
      </c>
      <c r="K43">
        <v>1677.0301283244801</v>
      </c>
      <c r="L43">
        <v>1582.7290420813099</v>
      </c>
      <c r="M43">
        <v>1821.49221017134</v>
      </c>
      <c r="N43">
        <v>1785.32757330493</v>
      </c>
      <c r="O43">
        <v>1786.52017689431</v>
      </c>
      <c r="P43">
        <v>1804.0236404171201</v>
      </c>
      <c r="Q43">
        <v>1952.3620801731099</v>
      </c>
      <c r="R43">
        <v>2079.6655510672599</v>
      </c>
      <c r="S43">
        <v>2167.5230796952401</v>
      </c>
      <c r="T43">
        <v>1749.6480743458801</v>
      </c>
      <c r="U43">
        <v>1956.99793776867</v>
      </c>
      <c r="V43">
        <v>2100.1408000290398</v>
      </c>
      <c r="W43">
        <v>1985.3962650901101</v>
      </c>
      <c r="X43">
        <v>1841.0787795695401</v>
      </c>
      <c r="Y43">
        <v>1865.46392896781</v>
      </c>
      <c r="Z43">
        <v>1821</v>
      </c>
      <c r="AA43">
        <v>1852</v>
      </c>
      <c r="AB43">
        <v>1925.4841823056299</v>
      </c>
      <c r="AC43">
        <v>2114.5677189742</v>
      </c>
      <c r="AD43">
        <v>2329.0748212247299</v>
      </c>
      <c r="AE43">
        <v>2120.0676914430301</v>
      </c>
    </row>
    <row r="44" spans="1:31" x14ac:dyDescent="0.3">
      <c r="A44" t="s">
        <v>302</v>
      </c>
      <c r="B44" t="s">
        <v>206</v>
      </c>
      <c r="C44" t="s">
        <v>0</v>
      </c>
      <c r="D44" t="s">
        <v>207</v>
      </c>
      <c r="E44" t="s">
        <v>123</v>
      </c>
      <c r="F44">
        <v>14530.361375681599</v>
      </c>
      <c r="G44">
        <v>15868.525030806701</v>
      </c>
      <c r="H44">
        <v>17630.5052572272</v>
      </c>
      <c r="I44">
        <v>19324.553655811302</v>
      </c>
      <c r="J44">
        <v>19770.878514379001</v>
      </c>
      <c r="K44">
        <v>20587.640962094501</v>
      </c>
      <c r="L44">
        <v>21585.644456454302</v>
      </c>
      <c r="M44">
        <v>20362.126360535502</v>
      </c>
      <c r="N44">
        <v>20517.2054176817</v>
      </c>
      <c r="O44">
        <v>20707.1228162927</v>
      </c>
      <c r="P44">
        <v>20851.591115011001</v>
      </c>
      <c r="Q44">
        <v>21282.0192768128</v>
      </c>
      <c r="R44">
        <v>24309.242971812</v>
      </c>
      <c r="S44">
        <v>24889.5697271073</v>
      </c>
      <c r="T44">
        <v>22347.6329812228</v>
      </c>
      <c r="U44">
        <v>21115.457025314001</v>
      </c>
      <c r="V44">
        <v>21599.280917874399</v>
      </c>
      <c r="W44">
        <v>21300.434897547901</v>
      </c>
      <c r="X44">
        <v>20304.434250164599</v>
      </c>
      <c r="Y44">
        <v>20671.779204863</v>
      </c>
      <c r="Z44">
        <v>20586</v>
      </c>
      <c r="AA44">
        <v>22686</v>
      </c>
      <c r="AB44">
        <v>23753.529608006698</v>
      </c>
      <c r="AC44">
        <v>23996.194403836002</v>
      </c>
      <c r="AD44">
        <v>23199.724972559699</v>
      </c>
      <c r="AE44">
        <v>22999.497196617001</v>
      </c>
    </row>
    <row r="45" spans="1:31" x14ac:dyDescent="0.3">
      <c r="A45" t="s">
        <v>302</v>
      </c>
      <c r="B45" t="s">
        <v>208</v>
      </c>
      <c r="C45" t="s">
        <v>0</v>
      </c>
      <c r="D45" t="s">
        <v>209</v>
      </c>
      <c r="E45" t="s">
        <v>123</v>
      </c>
      <c r="F45">
        <v>13354.385196178901</v>
      </c>
      <c r="G45">
        <v>14705.0114812514</v>
      </c>
      <c r="H45">
        <v>16140.6640798877</v>
      </c>
      <c r="I45">
        <v>17708.311158147899</v>
      </c>
      <c r="J45">
        <v>18046.527267515001</v>
      </c>
      <c r="K45">
        <v>18920.210425559701</v>
      </c>
      <c r="L45">
        <v>19839.421240932399</v>
      </c>
      <c r="M45">
        <v>18560.701262421899</v>
      </c>
      <c r="N45">
        <v>18752.695785128501</v>
      </c>
      <c r="O45">
        <v>19029.623990005599</v>
      </c>
      <c r="P45">
        <v>19122.210938522599</v>
      </c>
      <c r="Q45">
        <v>19551.102723698699</v>
      </c>
      <c r="R45">
        <v>22410.771328396699</v>
      </c>
      <c r="S45">
        <v>23070.545161829199</v>
      </c>
      <c r="T45">
        <v>20598.974320279998</v>
      </c>
      <c r="U45">
        <v>19466.7228443596</v>
      </c>
      <c r="V45">
        <v>19891.321694278198</v>
      </c>
      <c r="W45">
        <v>19648.396828899098</v>
      </c>
      <c r="X45">
        <v>18585.459205214702</v>
      </c>
      <c r="Y45">
        <v>18984.720463968901</v>
      </c>
      <c r="Z45">
        <v>19231</v>
      </c>
      <c r="AA45">
        <v>21320</v>
      </c>
      <c r="AB45">
        <v>22295.066803699901</v>
      </c>
      <c r="AC45">
        <v>22494.3501124457</v>
      </c>
      <c r="AD45">
        <v>21636.1143301468</v>
      </c>
      <c r="AE45">
        <v>21488.0395455666</v>
      </c>
    </row>
    <row r="46" spans="1:31" x14ac:dyDescent="0.3">
      <c r="A46" t="s">
        <v>302</v>
      </c>
      <c r="B46" t="s">
        <v>210</v>
      </c>
      <c r="C46" t="s">
        <v>0</v>
      </c>
      <c r="D46" t="s">
        <v>211</v>
      </c>
      <c r="E46" t="s">
        <v>123</v>
      </c>
      <c r="F46">
        <v>201.60960835075599</v>
      </c>
      <c r="G46">
        <v>302.97134514588703</v>
      </c>
      <c r="H46">
        <v>236.252023651667</v>
      </c>
      <c r="I46">
        <v>302.23231854537602</v>
      </c>
      <c r="J46">
        <v>304.345831262476</v>
      </c>
      <c r="K46">
        <v>389.06065027368101</v>
      </c>
      <c r="L46">
        <v>338.00282215377501</v>
      </c>
      <c r="M46">
        <v>420.51527579719698</v>
      </c>
      <c r="N46">
        <v>483.98927969111298</v>
      </c>
      <c r="O46">
        <v>457.320482646909</v>
      </c>
      <c r="P46">
        <v>470.13334099692997</v>
      </c>
      <c r="Q46">
        <v>597.72694084995896</v>
      </c>
      <c r="R46">
        <v>596.74545162031995</v>
      </c>
      <c r="S46">
        <v>721.80596705890196</v>
      </c>
      <c r="T46">
        <v>518.55016589533795</v>
      </c>
      <c r="U46">
        <v>554.86885455726804</v>
      </c>
      <c r="V46">
        <v>613.33008322596402</v>
      </c>
      <c r="W46">
        <v>624.57446808510599</v>
      </c>
      <c r="X46">
        <v>592.23404255319099</v>
      </c>
      <c r="Y46">
        <v>627.60638297872299</v>
      </c>
      <c r="Z46">
        <v>570</v>
      </c>
      <c r="AA46">
        <v>680</v>
      </c>
      <c r="AB46">
        <v>757.34121122599697</v>
      </c>
      <c r="AC46">
        <v>802.48075361695101</v>
      </c>
      <c r="AD46">
        <v>824.33047710652102</v>
      </c>
      <c r="AE46">
        <v>729.32960579532505</v>
      </c>
    </row>
    <row r="47" spans="1:31" x14ac:dyDescent="0.3">
      <c r="A47" t="s">
        <v>302</v>
      </c>
      <c r="B47" t="s">
        <v>212</v>
      </c>
      <c r="C47" t="s">
        <v>0</v>
      </c>
      <c r="D47" t="s">
        <v>213</v>
      </c>
      <c r="E47" t="s">
        <v>123</v>
      </c>
      <c r="F47">
        <v>2790.09211947212</v>
      </c>
      <c r="G47">
        <v>2884.1732025312499</v>
      </c>
      <c r="H47">
        <v>3261.3230688531198</v>
      </c>
      <c r="I47">
        <v>3609.3694042643301</v>
      </c>
      <c r="J47">
        <v>3566.6549734446298</v>
      </c>
      <c r="K47">
        <v>3357.3475330967599</v>
      </c>
      <c r="L47">
        <v>3047.81448111695</v>
      </c>
      <c r="M47">
        <v>3342.4632126685001</v>
      </c>
      <c r="N47">
        <v>3608.9987407024801</v>
      </c>
      <c r="O47">
        <v>3789.38137078608</v>
      </c>
      <c r="P47">
        <v>3882.4125178558602</v>
      </c>
      <c r="Q47">
        <v>3327.0559645651902</v>
      </c>
      <c r="R47">
        <v>3118.5815893579202</v>
      </c>
      <c r="S47">
        <v>3564.9191842752898</v>
      </c>
      <c r="T47">
        <v>3505.8502563983702</v>
      </c>
      <c r="U47">
        <v>3426.3475104264999</v>
      </c>
      <c r="V47">
        <v>3287.2342962883399</v>
      </c>
      <c r="W47">
        <v>3676.8713326854599</v>
      </c>
      <c r="X47">
        <v>3692.0985745381099</v>
      </c>
      <c r="Y47">
        <v>3905.3352872215701</v>
      </c>
      <c r="Z47">
        <v>3388</v>
      </c>
      <c r="AA47">
        <v>3640</v>
      </c>
      <c r="AB47">
        <v>3760.4895688456199</v>
      </c>
      <c r="AC47">
        <v>4011.3872114927499</v>
      </c>
      <c r="AD47">
        <v>4001.6649933359599</v>
      </c>
      <c r="AE47">
        <v>4669.0872550679796</v>
      </c>
    </row>
    <row r="48" spans="1:31" x14ac:dyDescent="0.3">
      <c r="A48" t="s">
        <v>302</v>
      </c>
      <c r="B48" t="s">
        <v>214</v>
      </c>
      <c r="C48" t="s">
        <v>0</v>
      </c>
      <c r="D48" t="s">
        <v>215</v>
      </c>
      <c r="E48" t="s">
        <v>123</v>
      </c>
      <c r="F48">
        <v>4893.6365886640797</v>
      </c>
      <c r="G48">
        <v>5319.0399529679098</v>
      </c>
      <c r="H48">
        <v>6069.7708574533199</v>
      </c>
      <c r="I48">
        <v>6204.6220815261704</v>
      </c>
      <c r="J48">
        <v>6226.3115085182199</v>
      </c>
      <c r="K48">
        <v>6006.2754200958998</v>
      </c>
      <c r="L48">
        <v>5960.9709426414602</v>
      </c>
      <c r="M48">
        <v>6595.5130403071498</v>
      </c>
      <c r="N48">
        <v>6962.8176406148104</v>
      </c>
      <c r="O48">
        <v>7116.7507159552597</v>
      </c>
      <c r="P48">
        <v>6983.5218312327297</v>
      </c>
      <c r="Q48">
        <v>6607.2167701512599</v>
      </c>
      <c r="R48">
        <v>6564.94797341295</v>
      </c>
      <c r="S48">
        <v>7011.06471892846</v>
      </c>
      <c r="T48">
        <v>7009.9721422230004</v>
      </c>
      <c r="U48">
        <v>7104.96709181387</v>
      </c>
      <c r="V48">
        <v>7043.4236800363697</v>
      </c>
      <c r="W48">
        <v>7399.6892595037098</v>
      </c>
      <c r="X48">
        <v>7419.2026662949002</v>
      </c>
      <c r="Y48">
        <v>7661.2647434986502</v>
      </c>
      <c r="Z48">
        <v>7040</v>
      </c>
      <c r="AA48">
        <v>7666</v>
      </c>
      <c r="AB48">
        <v>7971.0449934980497</v>
      </c>
      <c r="AC48">
        <v>8253.3446686244006</v>
      </c>
      <c r="AD48">
        <v>8574.5164173510093</v>
      </c>
      <c r="AE48">
        <v>9367.8813842810396</v>
      </c>
    </row>
    <row r="49" spans="1:31" x14ac:dyDescent="0.3">
      <c r="A49" t="s">
        <v>302</v>
      </c>
      <c r="B49" t="s">
        <v>216</v>
      </c>
      <c r="C49" t="s">
        <v>0</v>
      </c>
      <c r="D49" t="s">
        <v>217</v>
      </c>
      <c r="E49" t="s">
        <v>123</v>
      </c>
      <c r="F49">
        <v>1590.1454456316301</v>
      </c>
      <c r="G49">
        <v>1840.1683144416299</v>
      </c>
      <c r="H49">
        <v>2197.7054735755701</v>
      </c>
      <c r="I49">
        <v>1996.4385025834199</v>
      </c>
      <c r="J49">
        <v>2027.9529225137001</v>
      </c>
      <c r="K49">
        <v>1920.2467733665401</v>
      </c>
      <c r="L49">
        <v>2115.67666857424</v>
      </c>
      <c r="M49">
        <v>2349.96774728226</v>
      </c>
      <c r="N49">
        <v>2445.6866224667201</v>
      </c>
      <c r="O49">
        <v>2437.4519873742402</v>
      </c>
      <c r="P49">
        <v>2198.7737019584902</v>
      </c>
      <c r="Q49">
        <v>2211.5572699931299</v>
      </c>
      <c r="R49">
        <v>2289.8754869743402</v>
      </c>
      <c r="S49">
        <v>2259.9971533760299</v>
      </c>
      <c r="T49">
        <v>2232.8907407418401</v>
      </c>
      <c r="U49">
        <v>2458.0561935897499</v>
      </c>
      <c r="V49">
        <v>2516.89855052754</v>
      </c>
      <c r="W49">
        <v>2299.7755425206601</v>
      </c>
      <c r="X49">
        <v>2259.08078473558</v>
      </c>
      <c r="Y49">
        <v>2327.3217281879201</v>
      </c>
      <c r="Z49">
        <v>2405</v>
      </c>
      <c r="AA49">
        <v>2531</v>
      </c>
      <c r="AB49">
        <v>2543.7629945694298</v>
      </c>
      <c r="AC49">
        <v>2593.2978982437498</v>
      </c>
      <c r="AD49">
        <v>2840.7353456353499</v>
      </c>
      <c r="AE49">
        <v>2925.5884793361502</v>
      </c>
    </row>
    <row r="50" spans="1:31" x14ac:dyDescent="0.3">
      <c r="A50" t="s">
        <v>302</v>
      </c>
      <c r="B50" t="s">
        <v>218</v>
      </c>
      <c r="C50" t="s">
        <v>0</v>
      </c>
      <c r="D50" t="s">
        <v>219</v>
      </c>
      <c r="E50" t="s">
        <v>123</v>
      </c>
      <c r="F50">
        <v>542.08747438484897</v>
      </c>
      <c r="G50">
        <v>633.52391584735301</v>
      </c>
      <c r="H50">
        <v>671.56158367255705</v>
      </c>
      <c r="I50">
        <v>636.00832336047995</v>
      </c>
      <c r="J50">
        <v>668.52408631346998</v>
      </c>
      <c r="K50">
        <v>749.40412700167803</v>
      </c>
      <c r="L50">
        <v>827.44125097044798</v>
      </c>
      <c r="M50">
        <v>934.43796445800604</v>
      </c>
      <c r="N50">
        <v>945.23378176239896</v>
      </c>
      <c r="O50">
        <v>930.76591775583097</v>
      </c>
      <c r="P50">
        <v>936.71710648828605</v>
      </c>
      <c r="Q50">
        <v>1082.2489873976899</v>
      </c>
      <c r="R50">
        <v>1164.2886302637601</v>
      </c>
      <c r="S50">
        <v>1192.2659910649199</v>
      </c>
      <c r="T50">
        <v>1271.6129930632001</v>
      </c>
      <c r="U50">
        <v>1224.7860006836199</v>
      </c>
      <c r="V50">
        <v>1244.4174770970701</v>
      </c>
      <c r="W50">
        <v>1420.9685379062</v>
      </c>
      <c r="X50">
        <v>1465.2772015247399</v>
      </c>
      <c r="Y50">
        <v>1424.85576148268</v>
      </c>
      <c r="Z50">
        <v>1247</v>
      </c>
      <c r="AA50">
        <v>1495</v>
      </c>
      <c r="AB50">
        <v>1666.47659854977</v>
      </c>
      <c r="AC50">
        <v>1650.98349827272</v>
      </c>
      <c r="AD50">
        <v>1731.9786955639099</v>
      </c>
      <c r="AE50">
        <v>1784.8496241653399</v>
      </c>
    </row>
    <row r="51" spans="1:31" x14ac:dyDescent="0.3">
      <c r="A51" t="s">
        <v>302</v>
      </c>
      <c r="B51" t="s">
        <v>220</v>
      </c>
      <c r="C51" t="s">
        <v>0</v>
      </c>
      <c r="D51" t="s">
        <v>221</v>
      </c>
      <c r="E51" t="s">
        <v>123</v>
      </c>
      <c r="F51">
        <v>324.72546723240902</v>
      </c>
      <c r="G51">
        <v>353.56209173567299</v>
      </c>
      <c r="H51">
        <v>406.40767128335301</v>
      </c>
      <c r="I51">
        <v>383.75956576291901</v>
      </c>
      <c r="J51">
        <v>397.554844270736</v>
      </c>
      <c r="K51">
        <v>450.48010217674698</v>
      </c>
      <c r="L51">
        <v>502.551726890726</v>
      </c>
      <c r="M51">
        <v>615.273609557805</v>
      </c>
      <c r="N51">
        <v>599.89176931886004</v>
      </c>
      <c r="O51">
        <v>589.17941629530901</v>
      </c>
      <c r="P51">
        <v>624.53018127302698</v>
      </c>
      <c r="Q51">
        <v>743.925657104636</v>
      </c>
      <c r="R51">
        <v>730.50143472079299</v>
      </c>
      <c r="S51">
        <v>722.959384509811</v>
      </c>
      <c r="T51">
        <v>822.39219384067303</v>
      </c>
      <c r="U51">
        <v>784.77323707032497</v>
      </c>
      <c r="V51">
        <v>813.11227063119804</v>
      </c>
      <c r="W51">
        <v>950.057495158557</v>
      </c>
      <c r="X51">
        <v>991.36434277414696</v>
      </c>
      <c r="Y51">
        <v>946.808641975309</v>
      </c>
      <c r="Z51">
        <v>815</v>
      </c>
      <c r="AA51">
        <v>996</v>
      </c>
      <c r="AB51">
        <v>1192.4360753220999</v>
      </c>
      <c r="AC51">
        <v>1200.20438851638</v>
      </c>
      <c r="AD51">
        <v>1239.92746520487</v>
      </c>
      <c r="AE51">
        <v>1285.74887929226</v>
      </c>
    </row>
    <row r="52" spans="1:31" x14ac:dyDescent="0.3">
      <c r="A52" t="s">
        <v>302</v>
      </c>
      <c r="B52" t="s">
        <v>222</v>
      </c>
      <c r="C52" t="s">
        <v>0</v>
      </c>
      <c r="D52" t="s">
        <v>223</v>
      </c>
      <c r="E52" t="s">
        <v>123</v>
      </c>
      <c r="F52">
        <v>218.26104881426701</v>
      </c>
      <c r="G52">
        <v>284.01918531600103</v>
      </c>
      <c r="H52">
        <v>265.74072289467398</v>
      </c>
      <c r="I52">
        <v>252.951062434503</v>
      </c>
      <c r="J52">
        <v>272.30250983386401</v>
      </c>
      <c r="K52">
        <v>300.06150355479099</v>
      </c>
      <c r="L52">
        <v>325.81785579125398</v>
      </c>
      <c r="M52">
        <v>318.523426183987</v>
      </c>
      <c r="N52">
        <v>345.57947010695102</v>
      </c>
      <c r="O52">
        <v>341.87683292723398</v>
      </c>
      <c r="P52">
        <v>311.56860305779799</v>
      </c>
      <c r="Q52">
        <v>337.24092241087499</v>
      </c>
      <c r="R52">
        <v>433.43380296431297</v>
      </c>
      <c r="S52">
        <v>468.83804924605198</v>
      </c>
      <c r="T52">
        <v>449.43080973477697</v>
      </c>
      <c r="U52">
        <v>440.132241257506</v>
      </c>
      <c r="V52">
        <v>431.39512480574399</v>
      </c>
      <c r="W52">
        <v>471.00212137599902</v>
      </c>
      <c r="X52">
        <v>474.08056661375002</v>
      </c>
      <c r="Y52">
        <v>478.10672853828299</v>
      </c>
      <c r="Z52">
        <v>432</v>
      </c>
      <c r="AA52">
        <v>499</v>
      </c>
      <c r="AB52">
        <v>474.44291338582701</v>
      </c>
      <c r="AC52">
        <v>451.34630096947802</v>
      </c>
      <c r="AD52">
        <v>492.37778287579403</v>
      </c>
      <c r="AE52">
        <v>499.57892046812799</v>
      </c>
    </row>
    <row r="53" spans="1:31" x14ac:dyDescent="0.3">
      <c r="A53" t="s">
        <v>302</v>
      </c>
      <c r="B53" t="s">
        <v>224</v>
      </c>
      <c r="C53" t="s">
        <v>0</v>
      </c>
      <c r="D53" t="s">
        <v>225</v>
      </c>
      <c r="E53" t="s">
        <v>123</v>
      </c>
      <c r="F53">
        <v>369.80930897565401</v>
      </c>
      <c r="G53">
        <v>471.920834588334</v>
      </c>
      <c r="H53">
        <v>551.27035544831995</v>
      </c>
      <c r="I53">
        <v>512.58471646948999</v>
      </c>
      <c r="J53">
        <v>366.71619343163002</v>
      </c>
      <c r="K53">
        <v>482.79901725171402</v>
      </c>
      <c r="L53">
        <v>459.74760528744201</v>
      </c>
      <c r="M53">
        <v>475.85735965061298</v>
      </c>
      <c r="N53">
        <v>563.61287272903803</v>
      </c>
      <c r="O53">
        <v>516.85023263361597</v>
      </c>
      <c r="P53">
        <v>486.58968037169501</v>
      </c>
      <c r="Q53">
        <v>545.074016954831</v>
      </c>
      <c r="R53">
        <v>599.69521280834203</v>
      </c>
      <c r="S53">
        <v>561.18267620597203</v>
      </c>
      <c r="T53">
        <v>548.548169424599</v>
      </c>
      <c r="U53">
        <v>548.548169424599</v>
      </c>
      <c r="V53">
        <v>561.45518517576602</v>
      </c>
      <c r="W53">
        <v>632.684574339856</v>
      </c>
      <c r="X53">
        <v>610.306663350343</v>
      </c>
      <c r="Y53">
        <v>570.22083981337505</v>
      </c>
      <c r="Z53">
        <v>641</v>
      </c>
      <c r="AA53">
        <v>746</v>
      </c>
      <c r="AB53">
        <v>817.53424657534197</v>
      </c>
      <c r="AC53">
        <v>960.80311576685494</v>
      </c>
      <c r="AD53">
        <v>935.41604156976302</v>
      </c>
      <c r="AE53">
        <v>853.66220053825896</v>
      </c>
    </row>
    <row r="54" spans="1:31" x14ac:dyDescent="0.3">
      <c r="A54" t="s">
        <v>302</v>
      </c>
      <c r="B54" t="s">
        <v>226</v>
      </c>
      <c r="C54" t="s">
        <v>0</v>
      </c>
      <c r="D54" t="s">
        <v>227</v>
      </c>
      <c r="E54" t="s">
        <v>123</v>
      </c>
      <c r="F54">
        <v>503.11541225642202</v>
      </c>
      <c r="G54">
        <v>613.17190868751402</v>
      </c>
      <c r="H54">
        <v>731.850342627033</v>
      </c>
      <c r="I54">
        <v>726.59468487028596</v>
      </c>
      <c r="J54">
        <v>615.20940341067001</v>
      </c>
      <c r="K54">
        <v>686.92092896160705</v>
      </c>
      <c r="L54">
        <v>666.06797218955899</v>
      </c>
      <c r="M54">
        <v>670.83411152544102</v>
      </c>
      <c r="N54">
        <v>798.32833876029395</v>
      </c>
      <c r="O54">
        <v>775.68917691485296</v>
      </c>
      <c r="P54">
        <v>727.57532479154099</v>
      </c>
      <c r="Q54">
        <v>757.17932861717497</v>
      </c>
      <c r="R54">
        <v>842.79285035509304</v>
      </c>
      <c r="S54">
        <v>841.71648656153604</v>
      </c>
      <c r="T54">
        <v>831.35051997826599</v>
      </c>
      <c r="U54">
        <v>848.01920208309298</v>
      </c>
      <c r="V54">
        <v>825.61869485825696</v>
      </c>
      <c r="W54">
        <v>881.98204444402904</v>
      </c>
      <c r="X54">
        <v>840.32160225254904</v>
      </c>
      <c r="Y54">
        <v>797.20247469066396</v>
      </c>
      <c r="Z54">
        <v>887</v>
      </c>
      <c r="AA54">
        <v>983</v>
      </c>
      <c r="AB54">
        <v>1041.83797729618</v>
      </c>
      <c r="AC54">
        <v>1181.4143570296401</v>
      </c>
      <c r="AD54">
        <v>1169.7268283533399</v>
      </c>
      <c r="AE54">
        <v>1082.2350655821899</v>
      </c>
    </row>
    <row r="55" spans="1:31" x14ac:dyDescent="0.3">
      <c r="A55" t="s">
        <v>302</v>
      </c>
      <c r="B55" t="s">
        <v>228</v>
      </c>
      <c r="C55" t="s">
        <v>0</v>
      </c>
      <c r="D55" t="s">
        <v>229</v>
      </c>
      <c r="E55" t="s">
        <v>123</v>
      </c>
      <c r="F55">
        <v>137.08237532607299</v>
      </c>
      <c r="G55">
        <v>148.899821474872</v>
      </c>
      <c r="H55">
        <v>187.89739376591001</v>
      </c>
      <c r="I55">
        <v>216.438770034149</v>
      </c>
      <c r="J55">
        <v>241.007495281269</v>
      </c>
      <c r="K55">
        <v>205.598811140419</v>
      </c>
      <c r="L55">
        <v>206.72230191167799</v>
      </c>
      <c r="M55">
        <v>196.826021501013</v>
      </c>
      <c r="N55">
        <v>236.63353146751001</v>
      </c>
      <c r="O55">
        <v>257.84125362733403</v>
      </c>
      <c r="P55">
        <v>240.21108243914</v>
      </c>
      <c r="Q55">
        <v>214.35876863403101</v>
      </c>
      <c r="R55">
        <v>245.13304729931201</v>
      </c>
      <c r="S55">
        <v>280.15205405635697</v>
      </c>
      <c r="T55">
        <v>282.16031250837398</v>
      </c>
      <c r="U55">
        <v>298.28375893742401</v>
      </c>
      <c r="V55">
        <v>263.74563948151098</v>
      </c>
      <c r="W55">
        <v>249.265486725664</v>
      </c>
      <c r="X55">
        <v>230.01327433628299</v>
      </c>
      <c r="Y55">
        <v>227</v>
      </c>
      <c r="Z55">
        <v>246</v>
      </c>
      <c r="AA55">
        <v>237</v>
      </c>
      <c r="AB55">
        <v>225.10041841004201</v>
      </c>
      <c r="AC55">
        <v>222.15150463174399</v>
      </c>
      <c r="AD55">
        <v>235.73281932538799</v>
      </c>
      <c r="AE55">
        <v>229.983238366232</v>
      </c>
    </row>
    <row r="56" spans="1:31" x14ac:dyDescent="0.3">
      <c r="A56" t="s">
        <v>302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31" x14ac:dyDescent="0.3">
      <c r="A57" t="s">
        <v>302</v>
      </c>
      <c r="B57" t="s">
        <v>232</v>
      </c>
      <c r="C57" t="s">
        <v>0</v>
      </c>
      <c r="D57" t="s">
        <v>233</v>
      </c>
      <c r="E57" t="s">
        <v>123</v>
      </c>
      <c r="F57">
        <v>27656.191468597201</v>
      </c>
      <c r="G57">
        <v>30423.411847659401</v>
      </c>
      <c r="H57">
        <v>33734.665177280498</v>
      </c>
      <c r="I57">
        <v>37334.739712042203</v>
      </c>
      <c r="J57">
        <v>39027.2702375386</v>
      </c>
      <c r="K57">
        <v>41453.715580374497</v>
      </c>
      <c r="L57">
        <v>42185.019208699603</v>
      </c>
      <c r="M57">
        <v>40939.258001865499</v>
      </c>
      <c r="N57">
        <v>42084.1175363359</v>
      </c>
      <c r="O57">
        <v>44045.989061127002</v>
      </c>
      <c r="P57">
        <v>45478.206670116</v>
      </c>
      <c r="Q57">
        <v>46095.138069715897</v>
      </c>
      <c r="R57">
        <v>50841.913683226703</v>
      </c>
      <c r="S57">
        <v>51164.288011642602</v>
      </c>
      <c r="T57">
        <v>45009.476743361003</v>
      </c>
      <c r="U57">
        <v>46046.248247444702</v>
      </c>
      <c r="V57">
        <v>47835.453821912102</v>
      </c>
      <c r="W57">
        <v>47699.788287401498</v>
      </c>
      <c r="X57">
        <v>45501.660313299501</v>
      </c>
      <c r="Y57">
        <v>44667.862904129201</v>
      </c>
      <c r="Z57">
        <v>44877</v>
      </c>
      <c r="AA57">
        <v>48909</v>
      </c>
      <c r="AB57">
        <v>51237.105570602696</v>
      </c>
      <c r="AC57">
        <v>53100.837225378498</v>
      </c>
      <c r="AD57">
        <v>52316.691495437502</v>
      </c>
      <c r="AE57">
        <v>51789.395929436898</v>
      </c>
    </row>
    <row r="58" spans="1:31" x14ac:dyDescent="0.3">
      <c r="A58" t="s">
        <v>302</v>
      </c>
      <c r="B58" t="s">
        <v>234</v>
      </c>
      <c r="C58" t="s">
        <v>0</v>
      </c>
      <c r="D58" t="s">
        <v>235</v>
      </c>
      <c r="E58" t="s">
        <v>123</v>
      </c>
      <c r="F58">
        <v>27656.191468597201</v>
      </c>
      <c r="G58">
        <v>30423.411847659401</v>
      </c>
      <c r="H58">
        <v>33734.665177280498</v>
      </c>
      <c r="I58">
        <v>37334.739712042203</v>
      </c>
      <c r="J58">
        <v>39027.2702375386</v>
      </c>
      <c r="K58">
        <v>41453.715580374497</v>
      </c>
      <c r="L58">
        <v>42185.019208699603</v>
      </c>
      <c r="M58">
        <v>40939.258001865499</v>
      </c>
      <c r="N58">
        <v>42084.1175363359</v>
      </c>
      <c r="O58">
        <v>44045.989061127002</v>
      </c>
      <c r="P58">
        <v>45478.206670116</v>
      </c>
      <c r="Q58">
        <v>46095.138069715897</v>
      </c>
      <c r="R58">
        <v>50841.913683226703</v>
      </c>
      <c r="S58">
        <v>51164.288011642602</v>
      </c>
      <c r="T58">
        <v>45009.476743361003</v>
      </c>
      <c r="U58">
        <v>46046.248247444702</v>
      </c>
      <c r="V58">
        <v>47835.453821912102</v>
      </c>
      <c r="W58">
        <v>47699.788287401498</v>
      </c>
      <c r="X58">
        <v>45501.660313299501</v>
      </c>
      <c r="Y58">
        <v>44667.862904129201</v>
      </c>
      <c r="Z58">
        <v>44877</v>
      </c>
      <c r="AA58">
        <v>48909</v>
      </c>
      <c r="AB58">
        <v>51237.105570602696</v>
      </c>
      <c r="AC58">
        <v>53100.837225378498</v>
      </c>
      <c r="AD58">
        <v>52316.691495437502</v>
      </c>
      <c r="AE58">
        <v>51789.395929436898</v>
      </c>
    </row>
    <row r="59" spans="1:31" x14ac:dyDescent="0.3">
      <c r="A59" t="s">
        <v>302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303</v>
      </c>
      <c r="B2" t="s">
        <v>121</v>
      </c>
      <c r="C2" t="s">
        <v>0</v>
      </c>
      <c r="D2" t="s">
        <v>122</v>
      </c>
      <c r="E2" t="s">
        <v>123</v>
      </c>
      <c r="F2">
        <v>10.1272258322855</v>
      </c>
      <c r="G2">
        <v>10.957326310341699</v>
      </c>
      <c r="H2">
        <v>12.326992099134401</v>
      </c>
      <c r="I2">
        <v>15.815763447946001</v>
      </c>
      <c r="J2">
        <v>19.7697043099325</v>
      </c>
      <c r="K2">
        <v>20.463378145368701</v>
      </c>
      <c r="L2">
        <v>17.654679184239701</v>
      </c>
      <c r="M2">
        <v>17.1900823636018</v>
      </c>
      <c r="N2">
        <v>18.264462511326901</v>
      </c>
      <c r="O2">
        <v>22.043316824015299</v>
      </c>
      <c r="P2">
        <v>24.715234014804999</v>
      </c>
      <c r="Q2">
        <v>24.715234014804999</v>
      </c>
      <c r="R2">
        <v>24.715234014804999</v>
      </c>
      <c r="S2">
        <v>25.4213835580851</v>
      </c>
      <c r="T2">
        <v>26.874034047118599</v>
      </c>
      <c r="U2">
        <v>30.0356851114854</v>
      </c>
      <c r="V2">
        <v>31.6592356580522</v>
      </c>
      <c r="W2">
        <v>33.370545693622603</v>
      </c>
      <c r="X2">
        <v>34.248717948718003</v>
      </c>
      <c r="Y2">
        <v>36.051282051282101</v>
      </c>
      <c r="Z2">
        <v>37</v>
      </c>
      <c r="AA2">
        <v>40</v>
      </c>
      <c r="AB2">
        <v>40</v>
      </c>
      <c r="AC2">
        <v>38</v>
      </c>
      <c r="AD2">
        <v>34.102564102564102</v>
      </c>
      <c r="AE2">
        <v>30.415800415800401</v>
      </c>
    </row>
    <row r="3" spans="1:31" x14ac:dyDescent="0.3">
      <c r="A3" t="s">
        <v>303</v>
      </c>
      <c r="B3" t="s">
        <v>124</v>
      </c>
      <c r="C3" t="s">
        <v>0</v>
      </c>
      <c r="D3" t="s">
        <v>125</v>
      </c>
      <c r="E3" t="s">
        <v>123</v>
      </c>
      <c r="F3">
        <v>0.133333333333333</v>
      </c>
      <c r="G3">
        <v>0.22222222222222199</v>
      </c>
      <c r="H3">
        <v>0.22222222222222199</v>
      </c>
      <c r="I3">
        <v>0.44444444444444398</v>
      </c>
      <c r="J3">
        <v>0.44444444444444398</v>
      </c>
      <c r="K3">
        <v>0.44444444444444398</v>
      </c>
      <c r="L3">
        <v>0.44444444444444398</v>
      </c>
      <c r="M3">
        <v>0.44444444444444398</v>
      </c>
      <c r="N3">
        <v>0.592592592592593</v>
      </c>
      <c r="O3">
        <v>0.44444444444444398</v>
      </c>
      <c r="P3">
        <v>0.44444444444444398</v>
      </c>
      <c r="Q3">
        <v>0.44444444444444398</v>
      </c>
      <c r="R3">
        <v>0.296296296296296</v>
      </c>
      <c r="S3">
        <v>0.88888888888888895</v>
      </c>
      <c r="T3">
        <v>0.88888888888888895</v>
      </c>
      <c r="U3">
        <v>1.3333333333333299</v>
      </c>
      <c r="V3">
        <v>2</v>
      </c>
      <c r="W3">
        <v>5</v>
      </c>
      <c r="X3">
        <v>9</v>
      </c>
      <c r="Y3">
        <v>9</v>
      </c>
      <c r="Z3">
        <v>9</v>
      </c>
      <c r="AA3">
        <v>8</v>
      </c>
      <c r="AB3">
        <v>8</v>
      </c>
      <c r="AC3">
        <v>8</v>
      </c>
      <c r="AD3">
        <v>8</v>
      </c>
      <c r="AE3">
        <v>11</v>
      </c>
    </row>
    <row r="4" spans="1:31" x14ac:dyDescent="0.3">
      <c r="A4" t="s">
        <v>303</v>
      </c>
      <c r="B4" t="s">
        <v>126</v>
      </c>
      <c r="C4" t="s">
        <v>0</v>
      </c>
      <c r="D4" t="s">
        <v>127</v>
      </c>
      <c r="E4" t="s">
        <v>123</v>
      </c>
      <c r="F4">
        <v>28.427048202855499</v>
      </c>
      <c r="G4">
        <v>36.450811808500198</v>
      </c>
      <c r="H4">
        <v>40.369274077914</v>
      </c>
      <c r="I4">
        <v>52.179434047516501</v>
      </c>
      <c r="J4">
        <v>61.654803911866502</v>
      </c>
      <c r="K4">
        <v>64.816588727859695</v>
      </c>
      <c r="L4">
        <v>61.631958645855001</v>
      </c>
      <c r="M4">
        <v>58.539315559683097</v>
      </c>
      <c r="N4">
        <v>61.703602887233501</v>
      </c>
      <c r="O4">
        <v>71.315721929968404</v>
      </c>
      <c r="P4">
        <v>77.670588240559596</v>
      </c>
      <c r="Q4">
        <v>107.297513651907</v>
      </c>
      <c r="R4">
        <v>149.264686330274</v>
      </c>
      <c r="S4">
        <v>165.58301216702401</v>
      </c>
      <c r="T4">
        <v>182.194900119056</v>
      </c>
      <c r="U4">
        <v>190.50554468588999</v>
      </c>
      <c r="V4">
        <v>200.60811144953601</v>
      </c>
      <c r="W4">
        <v>225.98146941943699</v>
      </c>
      <c r="X4">
        <v>220.74637746377499</v>
      </c>
      <c r="Y4">
        <v>229.12915129151301</v>
      </c>
      <c r="Z4">
        <v>262</v>
      </c>
      <c r="AA4">
        <v>266</v>
      </c>
      <c r="AB4">
        <v>288.82835820895502</v>
      </c>
      <c r="AC4">
        <v>289.81412052366198</v>
      </c>
      <c r="AD4">
        <v>282.03387567738901</v>
      </c>
      <c r="AE4">
        <v>271.62322925976702</v>
      </c>
    </row>
    <row r="5" spans="1:31" x14ac:dyDescent="0.3">
      <c r="A5" t="s">
        <v>303</v>
      </c>
      <c r="B5" t="s">
        <v>128</v>
      </c>
      <c r="C5" t="s">
        <v>0</v>
      </c>
      <c r="D5" t="s">
        <v>129</v>
      </c>
      <c r="E5" t="s">
        <v>123</v>
      </c>
      <c r="F5">
        <v>2.94171524405429</v>
      </c>
      <c r="G5">
        <v>3.5300582928651498</v>
      </c>
      <c r="H5">
        <v>3.6835390882071102</v>
      </c>
      <c r="I5">
        <v>4.9413329232046603</v>
      </c>
      <c r="J5">
        <v>5.8197921095521501</v>
      </c>
      <c r="K5">
        <v>5.8197921095521501</v>
      </c>
      <c r="L5">
        <v>5.6625004309156104</v>
      </c>
      <c r="M5">
        <v>5.6625004309156104</v>
      </c>
      <c r="N5">
        <v>6.5336543433641596</v>
      </c>
      <c r="O5">
        <v>7.8403852120369999</v>
      </c>
      <c r="P5">
        <v>8.7812314374814395</v>
      </c>
      <c r="Q5">
        <v>10.888726982476999</v>
      </c>
      <c r="R5">
        <v>14.518302643302601</v>
      </c>
      <c r="S5">
        <v>16.7867874313187</v>
      </c>
      <c r="T5">
        <v>21.1188616071429</v>
      </c>
      <c r="U5">
        <v>21.7400045955882</v>
      </c>
      <c r="V5">
        <v>23.189338235294102</v>
      </c>
      <c r="W5">
        <v>25.508272058823501</v>
      </c>
      <c r="X5">
        <v>26.387867647058801</v>
      </c>
      <c r="Y5">
        <v>29.117647058823501</v>
      </c>
      <c r="Z5">
        <v>33</v>
      </c>
      <c r="AA5">
        <v>34</v>
      </c>
      <c r="AB5">
        <v>44.685714285714297</v>
      </c>
      <c r="AC5">
        <v>42.742857142857098</v>
      </c>
      <c r="AD5">
        <v>37.8857142857143</v>
      </c>
      <c r="AE5">
        <v>35.9914285714286</v>
      </c>
    </row>
    <row r="6" spans="1:31" x14ac:dyDescent="0.3">
      <c r="A6" t="s">
        <v>303</v>
      </c>
      <c r="B6" t="s">
        <v>130</v>
      </c>
      <c r="C6" t="s">
        <v>0</v>
      </c>
      <c r="D6" t="s">
        <v>131</v>
      </c>
      <c r="E6" t="s">
        <v>123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>
        <v>0</v>
      </c>
      <c r="AA6" t="e">
        <v>#NUM!</v>
      </c>
      <c r="AB6" t="e">
        <v>#NUM!</v>
      </c>
      <c r="AC6" t="e">
        <v>#NUM!</v>
      </c>
      <c r="AD6" t="e">
        <v>#NUM!</v>
      </c>
      <c r="AE6" t="e">
        <v>#NUM!</v>
      </c>
    </row>
    <row r="7" spans="1:31" x14ac:dyDescent="0.3">
      <c r="A7" t="s">
        <v>303</v>
      </c>
      <c r="B7" t="s">
        <v>132</v>
      </c>
      <c r="C7" t="s">
        <v>0</v>
      </c>
      <c r="D7" t="s">
        <v>133</v>
      </c>
      <c r="E7" t="s">
        <v>123</v>
      </c>
      <c r="F7">
        <v>8.6224615000222897</v>
      </c>
      <c r="G7">
        <v>13.7798216495683</v>
      </c>
      <c r="H7">
        <v>14.8548431966978</v>
      </c>
      <c r="I7">
        <v>19.496981695665799</v>
      </c>
      <c r="J7">
        <v>22.2822647950467</v>
      </c>
      <c r="K7">
        <v>22.452358419436301</v>
      </c>
      <c r="L7">
        <v>21.657584670075799</v>
      </c>
      <c r="M7">
        <v>19.561689379423299</v>
      </c>
      <c r="N7">
        <v>21.765823394006201</v>
      </c>
      <c r="O7">
        <v>22.095608596945699</v>
      </c>
      <c r="P7">
        <v>23.200389026792902</v>
      </c>
      <c r="Q7">
        <v>28.7856678665764</v>
      </c>
      <c r="R7">
        <v>32.499947591295999</v>
      </c>
      <c r="S7">
        <v>37.142797247195404</v>
      </c>
      <c r="T7">
        <v>34.328948970892696</v>
      </c>
      <c r="U7">
        <v>35.015527950310599</v>
      </c>
      <c r="V7">
        <v>37.349896480331303</v>
      </c>
      <c r="W7">
        <v>39.047619047619101</v>
      </c>
      <c r="X7">
        <v>39.047619047619101</v>
      </c>
      <c r="Y7">
        <v>38.071428571428598</v>
      </c>
      <c r="Z7">
        <v>41</v>
      </c>
      <c r="AA7">
        <v>47</v>
      </c>
      <c r="AB7">
        <v>67</v>
      </c>
      <c r="AC7">
        <v>64</v>
      </c>
      <c r="AD7">
        <v>62.030769230769202</v>
      </c>
      <c r="AE7">
        <v>58.153846153846096</v>
      </c>
    </row>
    <row r="8" spans="1:31" x14ac:dyDescent="0.3">
      <c r="A8" t="s">
        <v>303</v>
      </c>
      <c r="B8" t="s">
        <v>134</v>
      </c>
      <c r="C8" t="s">
        <v>0</v>
      </c>
      <c r="D8" t="s">
        <v>135</v>
      </c>
      <c r="E8" t="s">
        <v>123</v>
      </c>
      <c r="F8">
        <v>0.26858078741288899</v>
      </c>
      <c r="G8">
        <v>0.32229694489546701</v>
      </c>
      <c r="H8">
        <v>0.709053278770027</v>
      </c>
      <c r="I8">
        <v>0.63814795089302401</v>
      </c>
      <c r="J8">
        <v>0.82047593686246001</v>
      </c>
      <c r="K8">
        <v>0.82047593686246001</v>
      </c>
      <c r="L8">
        <v>1.09396791581661</v>
      </c>
      <c r="M8">
        <v>0.91163992984717701</v>
      </c>
      <c r="N8">
        <v>1.1395499123089701</v>
      </c>
      <c r="O8">
        <v>1.1395499123089701</v>
      </c>
      <c r="P8">
        <v>3.0387997661572599</v>
      </c>
      <c r="Q8">
        <v>6.0775995323145198</v>
      </c>
      <c r="R8">
        <v>17.297783284279799</v>
      </c>
      <c r="S8">
        <v>16.280266620498601</v>
      </c>
      <c r="T8">
        <v>14.0347126038781</v>
      </c>
      <c r="U8">
        <v>16.039671547289299</v>
      </c>
      <c r="V8">
        <v>13.8524436090226</v>
      </c>
      <c r="W8">
        <v>15.4821428571429</v>
      </c>
      <c r="X8">
        <v>16.3928571428571</v>
      </c>
      <c r="Y8">
        <v>17.3571428571429</v>
      </c>
      <c r="Z8">
        <v>27</v>
      </c>
      <c r="AA8">
        <v>15</v>
      </c>
      <c r="AB8">
        <v>0</v>
      </c>
      <c r="AC8" t="e">
        <v>#NUM!</v>
      </c>
      <c r="AD8" t="e">
        <v>#NUM!</v>
      </c>
      <c r="AE8" t="e">
        <v>#NUM!</v>
      </c>
    </row>
    <row r="9" spans="1:31" x14ac:dyDescent="0.3">
      <c r="A9" t="s">
        <v>303</v>
      </c>
      <c r="B9" t="s">
        <v>136</v>
      </c>
      <c r="C9" t="s">
        <v>0</v>
      </c>
      <c r="D9" t="s">
        <v>137</v>
      </c>
      <c r="E9" t="s">
        <v>123</v>
      </c>
      <c r="F9">
        <v>2.3837200036679298</v>
      </c>
      <c r="G9">
        <v>2.3837200036679298</v>
      </c>
      <c r="H9">
        <v>2.4688528609417899</v>
      </c>
      <c r="I9">
        <v>2.98319720697133</v>
      </c>
      <c r="J9">
        <v>3.8911267917017298</v>
      </c>
      <c r="K9">
        <v>3.5798366483655899</v>
      </c>
      <c r="L9">
        <v>3.2218529835290299</v>
      </c>
      <c r="M9">
        <v>3.43664318243097</v>
      </c>
      <c r="N9">
        <v>3.7010003503102702</v>
      </c>
      <c r="O9">
        <v>4.3178337420286503</v>
      </c>
      <c r="P9">
        <v>4.6499747991077802</v>
      </c>
      <c r="Q9">
        <v>5.8124684988847299</v>
      </c>
      <c r="R9">
        <v>9.9642317123738096</v>
      </c>
      <c r="S9">
        <v>10.438718936772601</v>
      </c>
      <c r="T9">
        <v>12.086937716263</v>
      </c>
      <c r="U9">
        <v>10.8146284829721</v>
      </c>
      <c r="V9">
        <v>11.5356037151703</v>
      </c>
      <c r="W9">
        <v>13.0736842105263</v>
      </c>
      <c r="X9">
        <v>16.342105263157901</v>
      </c>
      <c r="Y9">
        <v>17.25</v>
      </c>
      <c r="Z9">
        <v>23</v>
      </c>
      <c r="AA9">
        <v>30</v>
      </c>
      <c r="AB9">
        <v>38</v>
      </c>
      <c r="AC9">
        <v>38.974358974358999</v>
      </c>
      <c r="AD9">
        <v>37.0731707317073</v>
      </c>
      <c r="AE9">
        <v>36.146341463414601</v>
      </c>
    </row>
    <row r="10" spans="1:31" x14ac:dyDescent="0.3">
      <c r="A10" t="s">
        <v>303</v>
      </c>
      <c r="B10" t="s">
        <v>138</v>
      </c>
      <c r="C10" t="s">
        <v>0</v>
      </c>
      <c r="D10" t="s">
        <v>139</v>
      </c>
      <c r="E10" t="s">
        <v>123</v>
      </c>
      <c r="F10">
        <v>2.5239454388048101</v>
      </c>
      <c r="G10">
        <v>2.5239454388048101</v>
      </c>
      <c r="H10">
        <v>2.60536303360497</v>
      </c>
      <c r="I10">
        <v>3.0878376694577399</v>
      </c>
      <c r="J10">
        <v>4.0759457236842103</v>
      </c>
      <c r="K10">
        <v>3.9249847709551702</v>
      </c>
      <c r="L10">
        <v>3.5681679735956102</v>
      </c>
      <c r="M10">
        <v>4.0141889702950602</v>
      </c>
      <c r="N10">
        <v>4.0141889702950602</v>
      </c>
      <c r="O10">
        <v>4.6317565041866002</v>
      </c>
      <c r="P10">
        <v>4.6317565041866002</v>
      </c>
      <c r="Q10">
        <v>6.1756753389154699</v>
      </c>
      <c r="R10">
        <v>10.7045039207868</v>
      </c>
      <c r="S10">
        <v>11.169917134734099</v>
      </c>
      <c r="T10">
        <v>12.7656195825532</v>
      </c>
      <c r="U10">
        <v>11.549846288976701</v>
      </c>
      <c r="V10">
        <v>12.2292490118577</v>
      </c>
      <c r="W10">
        <v>14.3873517786561</v>
      </c>
      <c r="X10">
        <v>18.383838383838398</v>
      </c>
      <c r="Y10">
        <v>20.2222222222222</v>
      </c>
      <c r="Z10">
        <v>26</v>
      </c>
      <c r="AA10">
        <v>33</v>
      </c>
      <c r="AB10">
        <v>41</v>
      </c>
      <c r="AC10">
        <v>42.952380952380999</v>
      </c>
      <c r="AD10">
        <v>41.043386243386301</v>
      </c>
      <c r="AE10">
        <v>40.110582010582</v>
      </c>
    </row>
    <row r="11" spans="1:31" x14ac:dyDescent="0.3">
      <c r="A11" t="s">
        <v>303</v>
      </c>
      <c r="B11" t="s">
        <v>140</v>
      </c>
      <c r="C11" t="s">
        <v>0</v>
      </c>
      <c r="D11" t="s">
        <v>141</v>
      </c>
      <c r="E11" t="s">
        <v>123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>
        <v>0</v>
      </c>
      <c r="Q11">
        <v>0.44444444444444398</v>
      </c>
      <c r="R11">
        <v>0.88888888888888895</v>
      </c>
      <c r="S11">
        <v>0.88888888888888895</v>
      </c>
      <c r="T11">
        <v>0.88888888888888895</v>
      </c>
      <c r="U11">
        <v>0.88888888888888895</v>
      </c>
      <c r="V11">
        <v>0.88888888888888895</v>
      </c>
      <c r="W11">
        <v>1.3333333333333299</v>
      </c>
      <c r="X11">
        <v>2</v>
      </c>
      <c r="Y11">
        <v>3</v>
      </c>
      <c r="Z11">
        <v>3</v>
      </c>
      <c r="AA11">
        <v>3</v>
      </c>
      <c r="AB11">
        <v>3</v>
      </c>
      <c r="AC11">
        <v>4</v>
      </c>
      <c r="AD11">
        <v>4</v>
      </c>
      <c r="AE11">
        <v>4</v>
      </c>
    </row>
    <row r="12" spans="1:31" x14ac:dyDescent="0.3">
      <c r="A12" t="s">
        <v>303</v>
      </c>
      <c r="B12" t="s">
        <v>142</v>
      </c>
      <c r="C12" t="s">
        <v>0</v>
      </c>
      <c r="D12" t="s">
        <v>143</v>
      </c>
      <c r="E12" t="s">
        <v>123</v>
      </c>
      <c r="F12">
        <v>2.4140171333418201</v>
      </c>
      <c r="G12">
        <v>2.5997107589834898</v>
      </c>
      <c r="H12">
        <v>2.81635332223212</v>
      </c>
      <c r="I12">
        <v>4.3525460434496397</v>
      </c>
      <c r="J12">
        <v>5.8033947245995199</v>
      </c>
      <c r="K12">
        <v>6.6038629624753096</v>
      </c>
      <c r="L12">
        <v>5.5032191353960904</v>
      </c>
      <c r="M12">
        <v>4.7527801623875403</v>
      </c>
      <c r="N12">
        <v>5.0498289225367596</v>
      </c>
      <c r="O12">
        <v>5.6810575378538504</v>
      </c>
      <c r="P12">
        <v>6.3494172481896003</v>
      </c>
      <c r="Q12">
        <v>9.1272872942725503</v>
      </c>
      <c r="R12">
        <v>12.4463008558262</v>
      </c>
      <c r="S12">
        <v>12.9072749615975</v>
      </c>
      <c r="T12">
        <v>15.3894432234432</v>
      </c>
      <c r="U12">
        <v>16.005020952380999</v>
      </c>
      <c r="V12">
        <v>17.396761904761899</v>
      </c>
      <c r="W12">
        <v>19.769047619047601</v>
      </c>
      <c r="X12">
        <v>18.05</v>
      </c>
      <c r="Y12">
        <v>19</v>
      </c>
      <c r="Z12">
        <v>19</v>
      </c>
      <c r="AA12">
        <v>18</v>
      </c>
      <c r="AB12">
        <v>15.157894736842101</v>
      </c>
      <c r="AC12">
        <v>14.210526315789499</v>
      </c>
      <c r="AD12">
        <v>14.210526315789499</v>
      </c>
      <c r="AE12">
        <v>14.210526315789499</v>
      </c>
    </row>
    <row r="13" spans="1:31" x14ac:dyDescent="0.3">
      <c r="A13" t="s">
        <v>303</v>
      </c>
      <c r="B13" t="s">
        <v>144</v>
      </c>
      <c r="C13" t="s">
        <v>0</v>
      </c>
      <c r="D13" t="s">
        <v>145</v>
      </c>
      <c r="E13" t="s">
        <v>123</v>
      </c>
      <c r="F13">
        <v>4.9380188318727196</v>
      </c>
      <c r="G13">
        <v>5.6641980718540097</v>
      </c>
      <c r="H13">
        <v>6.7098961774270496</v>
      </c>
      <c r="I13">
        <v>8.5680212727145495</v>
      </c>
      <c r="J13">
        <v>8.9405439367456108</v>
      </c>
      <c r="K13">
        <v>9.5365801991953205</v>
      </c>
      <c r="L13">
        <v>8.8301668511067799</v>
      </c>
      <c r="M13">
        <v>9.8813771905242493</v>
      </c>
      <c r="N13">
        <v>9.3873083309980405</v>
      </c>
      <c r="O13">
        <v>14.2323706953841</v>
      </c>
      <c r="P13">
        <v>14.2323706953841</v>
      </c>
      <c r="Q13">
        <v>16.2090888475208</v>
      </c>
      <c r="R13">
        <v>21.4660906359059</v>
      </c>
      <c r="S13">
        <v>22.929687724717699</v>
      </c>
      <c r="T13">
        <v>29.861918897306801</v>
      </c>
      <c r="U13">
        <v>32.403358803460499</v>
      </c>
      <c r="V13">
        <v>30.963209523306698</v>
      </c>
      <c r="W13">
        <v>41.026252618381399</v>
      </c>
      <c r="X13">
        <v>36.002629848783698</v>
      </c>
      <c r="Y13">
        <v>35.102564102564102</v>
      </c>
      <c r="Z13">
        <v>37</v>
      </c>
      <c r="AA13">
        <v>39</v>
      </c>
      <c r="AB13">
        <v>40</v>
      </c>
      <c r="AC13">
        <v>43</v>
      </c>
      <c r="AD13">
        <v>47</v>
      </c>
      <c r="AE13">
        <v>43.163265306122398</v>
      </c>
    </row>
    <row r="14" spans="1:31" x14ac:dyDescent="0.3">
      <c r="A14" t="s">
        <v>303</v>
      </c>
      <c r="B14" t="s">
        <v>146</v>
      </c>
      <c r="C14" t="s">
        <v>0</v>
      </c>
      <c r="D14" t="s">
        <v>147</v>
      </c>
      <c r="E14" t="s">
        <v>123</v>
      </c>
      <c r="F14">
        <v>3.1727079352202798</v>
      </c>
      <c r="G14">
        <v>3.2718550581959098</v>
      </c>
      <c r="H14">
        <v>3.50555899092419</v>
      </c>
      <c r="I14">
        <v>5.0480049469308304</v>
      </c>
      <c r="J14">
        <v>7.4037405888318899</v>
      </c>
      <c r="K14">
        <v>8.8433568144380903</v>
      </c>
      <c r="L14">
        <v>8.5906894768827105</v>
      </c>
      <c r="M14">
        <v>7.4452642132983504</v>
      </c>
      <c r="N14">
        <v>6.4741427941724803</v>
      </c>
      <c r="O14">
        <v>7.1934919935249804</v>
      </c>
      <c r="P14">
        <v>8.0397851692338005</v>
      </c>
      <c r="Q14">
        <v>19.206153459836301</v>
      </c>
      <c r="R14">
        <v>26.701237736845599</v>
      </c>
      <c r="S14">
        <v>30.227816305862898</v>
      </c>
      <c r="T14">
        <v>31.3684886192917</v>
      </c>
      <c r="U14">
        <v>35.372976528137499</v>
      </c>
      <c r="V14">
        <v>40.531535605157501</v>
      </c>
      <c r="W14">
        <v>42.963427741467001</v>
      </c>
      <c r="X14">
        <v>39.456209150326799</v>
      </c>
      <c r="Y14">
        <v>42.274509803921603</v>
      </c>
      <c r="Z14">
        <v>49</v>
      </c>
      <c r="AA14">
        <v>51</v>
      </c>
      <c r="AB14">
        <v>54</v>
      </c>
      <c r="AC14">
        <v>53.018181818181802</v>
      </c>
      <c r="AD14">
        <v>50.177922077922098</v>
      </c>
      <c r="AE14">
        <v>52.866025046382198</v>
      </c>
    </row>
    <row r="15" spans="1:31" x14ac:dyDescent="0.3">
      <c r="A15" t="s">
        <v>303</v>
      </c>
      <c r="B15" t="s">
        <v>148</v>
      </c>
      <c r="C15" t="s">
        <v>0</v>
      </c>
      <c r="D15" t="s">
        <v>149</v>
      </c>
      <c r="E15" t="s">
        <v>123</v>
      </c>
      <c r="F15">
        <v>4.1124271275637403</v>
      </c>
      <c r="G15">
        <v>4.5236698403201201</v>
      </c>
      <c r="H15">
        <v>4.8904538814271499</v>
      </c>
      <c r="I15">
        <v>6.7603333066787101</v>
      </c>
      <c r="J15">
        <v>9.2954582966832309</v>
      </c>
      <c r="K15">
        <v>10.9479842160936</v>
      </c>
      <c r="L15">
        <v>10.6933799319984</v>
      </c>
      <c r="M15">
        <v>8.9111499433319903</v>
      </c>
      <c r="N15">
        <v>8.2510647623444306</v>
      </c>
      <c r="O15">
        <v>8.6261131606328192</v>
      </c>
      <c r="P15">
        <v>9.9200301347277406</v>
      </c>
      <c r="Q15">
        <v>21.643702112133202</v>
      </c>
      <c r="R15">
        <v>30.1129768516636</v>
      </c>
      <c r="S15">
        <v>34.128040431885502</v>
      </c>
      <c r="T15">
        <v>36.972043801209203</v>
      </c>
      <c r="U15">
        <v>41.677576648635899</v>
      </c>
      <c r="V15">
        <v>48.375758610023802</v>
      </c>
      <c r="W15">
        <v>50.015614834092403</v>
      </c>
      <c r="X15">
        <v>47.383214053350699</v>
      </c>
      <c r="Y15">
        <v>49.241379310344797</v>
      </c>
      <c r="Z15">
        <v>56</v>
      </c>
      <c r="AA15">
        <v>57</v>
      </c>
      <c r="AB15">
        <v>60</v>
      </c>
      <c r="AC15">
        <v>60</v>
      </c>
      <c r="AD15">
        <v>56.190476190476197</v>
      </c>
      <c r="AE15">
        <v>58.909370199692802</v>
      </c>
    </row>
    <row r="16" spans="1:31" x14ac:dyDescent="0.3">
      <c r="A16" t="s">
        <v>303</v>
      </c>
      <c r="B16" t="s">
        <v>150</v>
      </c>
      <c r="C16" t="s">
        <v>0</v>
      </c>
      <c r="D16" t="s">
        <v>151</v>
      </c>
      <c r="E16" t="s">
        <v>123</v>
      </c>
      <c r="F16">
        <v>1.0305682945154</v>
      </c>
      <c r="G16">
        <v>1.4170314049586801</v>
      </c>
      <c r="H16">
        <v>1.5744793388429701</v>
      </c>
      <c r="I16">
        <v>1.9243636363636401</v>
      </c>
      <c r="J16">
        <v>2.1168</v>
      </c>
      <c r="K16">
        <v>2.3519999999999999</v>
      </c>
      <c r="L16">
        <v>2.3519999999999999</v>
      </c>
      <c r="M16">
        <v>1.5680000000000001</v>
      </c>
      <c r="N16">
        <v>1.96</v>
      </c>
      <c r="O16">
        <v>1.47</v>
      </c>
      <c r="P16">
        <v>1.96</v>
      </c>
      <c r="Q16">
        <v>2.4500000000000002</v>
      </c>
      <c r="R16">
        <v>3.43</v>
      </c>
      <c r="S16">
        <v>3.92</v>
      </c>
      <c r="T16">
        <v>5.6</v>
      </c>
      <c r="U16">
        <v>6.3</v>
      </c>
      <c r="V16">
        <v>7.875</v>
      </c>
      <c r="W16">
        <v>7</v>
      </c>
      <c r="X16">
        <v>7.875</v>
      </c>
      <c r="Y16">
        <v>7</v>
      </c>
      <c r="Z16">
        <v>7</v>
      </c>
      <c r="AA16">
        <v>6</v>
      </c>
      <c r="AB16">
        <v>6</v>
      </c>
      <c r="AC16">
        <v>7</v>
      </c>
      <c r="AD16">
        <v>6</v>
      </c>
      <c r="AE16">
        <v>6</v>
      </c>
    </row>
    <row r="17" spans="1:31" x14ac:dyDescent="0.3">
      <c r="A17" t="s">
        <v>303</v>
      </c>
      <c r="B17" t="s">
        <v>152</v>
      </c>
      <c r="C17" t="s">
        <v>0</v>
      </c>
      <c r="D17" t="s">
        <v>153</v>
      </c>
      <c r="E17" t="s">
        <v>123</v>
      </c>
      <c r="F17">
        <v>1.9701974811271199</v>
      </c>
      <c r="G17">
        <v>2.7207489025088898</v>
      </c>
      <c r="H17">
        <v>3.19392262468434</v>
      </c>
      <c r="I17">
        <v>3.61052122790404</v>
      </c>
      <c r="J17">
        <v>4.2982395570286203</v>
      </c>
      <c r="K17">
        <v>4.5029176311728403</v>
      </c>
      <c r="L17">
        <v>4.0025934499314104</v>
      </c>
      <c r="M17">
        <v>3.4307943856555001</v>
      </c>
      <c r="N17">
        <v>4.1169532627866001</v>
      </c>
      <c r="O17">
        <v>4.9403439153439104</v>
      </c>
      <c r="P17">
        <v>5.43437830687831</v>
      </c>
      <c r="Q17">
        <v>6.4224470899470898</v>
      </c>
      <c r="R17">
        <v>7.9045502645502603</v>
      </c>
      <c r="S17">
        <v>10.944761904761901</v>
      </c>
      <c r="T17">
        <v>13.52</v>
      </c>
      <c r="U17">
        <v>11.266666666666699</v>
      </c>
      <c r="V17">
        <v>12.0714285714286</v>
      </c>
      <c r="W17">
        <v>13</v>
      </c>
      <c r="X17">
        <v>12</v>
      </c>
      <c r="Y17">
        <v>12</v>
      </c>
      <c r="Z17">
        <v>12</v>
      </c>
      <c r="AA17">
        <v>12</v>
      </c>
      <c r="AB17">
        <v>11</v>
      </c>
      <c r="AC17">
        <v>13</v>
      </c>
      <c r="AD17">
        <v>15</v>
      </c>
      <c r="AE17">
        <v>14</v>
      </c>
    </row>
    <row r="18" spans="1:31" x14ac:dyDescent="0.3">
      <c r="A18" t="s">
        <v>303</v>
      </c>
      <c r="B18" t="s">
        <v>154</v>
      </c>
      <c r="C18" t="s">
        <v>0</v>
      </c>
      <c r="D18" t="s">
        <v>155</v>
      </c>
      <c r="E18" t="s">
        <v>123</v>
      </c>
      <c r="F18">
        <v>5.8309037900874598E-2</v>
      </c>
      <c r="G18">
        <v>7.4968763015410306E-2</v>
      </c>
      <c r="H18">
        <v>7.4968763015410306E-2</v>
      </c>
      <c r="I18">
        <v>8.7463556851312005E-2</v>
      </c>
      <c r="J18">
        <v>0.116618075801749</v>
      </c>
      <c r="K18">
        <v>0.16326530612244899</v>
      </c>
      <c r="L18">
        <v>0.22857142857142901</v>
      </c>
      <c r="M18">
        <v>0.22857142857142901</v>
      </c>
      <c r="N18">
        <v>0.30476190476190501</v>
      </c>
      <c r="O18">
        <v>0.50793650793650802</v>
      </c>
      <c r="P18">
        <v>0.84656084656084696</v>
      </c>
      <c r="Q18">
        <v>1.0582010582010599</v>
      </c>
      <c r="R18">
        <v>1.3227513227513199</v>
      </c>
      <c r="S18">
        <v>1.6534391534391499</v>
      </c>
      <c r="T18">
        <v>2.8935185185185199</v>
      </c>
      <c r="U18">
        <v>3.4722222222222201</v>
      </c>
      <c r="V18">
        <v>4.1666666666666696</v>
      </c>
      <c r="W18">
        <v>5</v>
      </c>
      <c r="X18">
        <v>4</v>
      </c>
      <c r="Y18">
        <v>3</v>
      </c>
      <c r="Z18">
        <v>3</v>
      </c>
      <c r="AA18">
        <v>1</v>
      </c>
      <c r="AB18">
        <v>1</v>
      </c>
      <c r="AC18">
        <v>1</v>
      </c>
      <c r="AD18">
        <v>0</v>
      </c>
      <c r="AE18" t="e">
        <v>#NUM!</v>
      </c>
    </row>
    <row r="19" spans="1:31" x14ac:dyDescent="0.3">
      <c r="A19" t="s">
        <v>303</v>
      </c>
      <c r="B19" t="s">
        <v>156</v>
      </c>
      <c r="C19" t="s">
        <v>0</v>
      </c>
      <c r="D19" t="s">
        <v>157</v>
      </c>
      <c r="E19" t="s">
        <v>123</v>
      </c>
      <c r="F19">
        <v>0.42101801658163301</v>
      </c>
      <c r="G19">
        <v>0.56135735544217702</v>
      </c>
      <c r="H19">
        <v>0.71445481601731597</v>
      </c>
      <c r="I19">
        <v>0.89306852002164505</v>
      </c>
      <c r="J19">
        <v>1.09916125541126</v>
      </c>
      <c r="K19">
        <v>1.18371212121212</v>
      </c>
      <c r="L19">
        <v>1.08506944444444</v>
      </c>
      <c r="M19">
        <v>1.08506944444444</v>
      </c>
      <c r="N19">
        <v>0.93005952380952395</v>
      </c>
      <c r="O19">
        <v>0.93005952380952395</v>
      </c>
      <c r="P19">
        <v>0.77504960317460303</v>
      </c>
      <c r="Q19">
        <v>0.93005952380952395</v>
      </c>
      <c r="R19">
        <v>1.24007936507936</v>
      </c>
      <c r="S19">
        <v>1.59438775510204</v>
      </c>
      <c r="T19">
        <v>1.59438775510204</v>
      </c>
      <c r="U19">
        <v>1.8601190476190499</v>
      </c>
      <c r="V19">
        <v>2.2321428571428599</v>
      </c>
      <c r="W19">
        <v>3.125</v>
      </c>
      <c r="X19">
        <v>3.75</v>
      </c>
      <c r="Y19">
        <v>6</v>
      </c>
      <c r="Z19">
        <v>8</v>
      </c>
      <c r="AA19">
        <v>10</v>
      </c>
      <c r="AB19">
        <v>9</v>
      </c>
      <c r="AC19">
        <v>9</v>
      </c>
      <c r="AD19">
        <v>9</v>
      </c>
      <c r="AE19">
        <v>7</v>
      </c>
    </row>
    <row r="20" spans="1:31" x14ac:dyDescent="0.3">
      <c r="A20" t="s">
        <v>303</v>
      </c>
      <c r="B20" t="s">
        <v>158</v>
      </c>
      <c r="C20" t="s">
        <v>0</v>
      </c>
      <c r="D20" t="s">
        <v>159</v>
      </c>
      <c r="E20" t="s">
        <v>123</v>
      </c>
      <c r="F20">
        <v>6.8759380785526796</v>
      </c>
      <c r="G20">
        <v>7.2527018088843302</v>
      </c>
      <c r="H20">
        <v>8.4614854436983897</v>
      </c>
      <c r="I20">
        <v>9.1225389939873196</v>
      </c>
      <c r="J20">
        <v>9.92276171275814</v>
      </c>
      <c r="K20">
        <v>11.479273353975101</v>
      </c>
      <c r="L20">
        <v>10.3313460185776</v>
      </c>
      <c r="M20">
        <v>11.1469785989916</v>
      </c>
      <c r="N20">
        <v>11.783948804648301</v>
      </c>
      <c r="O20">
        <v>15.466432806100901</v>
      </c>
      <c r="P20">
        <v>18.315512533540499</v>
      </c>
      <c r="Q20">
        <v>19.254769586542601</v>
      </c>
      <c r="R20">
        <v>21.788291900561301</v>
      </c>
      <c r="S20">
        <v>21.214915797915001</v>
      </c>
      <c r="T20">
        <v>27.643678160919499</v>
      </c>
      <c r="U20">
        <v>26.8965517241379</v>
      </c>
      <c r="V20">
        <v>26.8965517241379</v>
      </c>
      <c r="W20">
        <v>26</v>
      </c>
      <c r="X20">
        <v>26</v>
      </c>
      <c r="Y20">
        <v>25</v>
      </c>
      <c r="Z20">
        <v>26</v>
      </c>
      <c r="AA20">
        <v>29</v>
      </c>
      <c r="AB20">
        <v>29</v>
      </c>
      <c r="AC20">
        <v>28.033333333333299</v>
      </c>
      <c r="AD20">
        <v>26.164444444444399</v>
      </c>
      <c r="AE20">
        <v>25.262222222222199</v>
      </c>
    </row>
    <row r="21" spans="1:31" x14ac:dyDescent="0.3">
      <c r="A21" t="s">
        <v>303</v>
      </c>
      <c r="B21" t="s">
        <v>160</v>
      </c>
      <c r="C21" t="s">
        <v>0</v>
      </c>
      <c r="D21" t="s">
        <v>161</v>
      </c>
      <c r="E21" t="s">
        <v>123</v>
      </c>
      <c r="F21">
        <v>7.1657498065627099</v>
      </c>
      <c r="G21">
        <v>7.5332241556172104</v>
      </c>
      <c r="H21">
        <v>8.5942416423238601</v>
      </c>
      <c r="I21">
        <v>9.3638752222334602</v>
      </c>
      <c r="J21">
        <v>10.1441981574196</v>
      </c>
      <c r="K21">
        <v>12.0581978097629</v>
      </c>
      <c r="L21">
        <v>10.9206319786532</v>
      </c>
      <c r="M21">
        <v>11.4666635775859</v>
      </c>
      <c r="N21">
        <v>12.422218875718</v>
      </c>
      <c r="O21">
        <v>16.1865276259356</v>
      </c>
      <c r="P21">
        <v>19.921880154997599</v>
      </c>
      <c r="Q21">
        <v>21.379578702924299</v>
      </c>
      <c r="R21">
        <v>25.121004975936099</v>
      </c>
      <c r="S21">
        <v>24.5228858098423</v>
      </c>
      <c r="T21">
        <v>31.334798534798502</v>
      </c>
      <c r="U21">
        <v>31.334798534798502</v>
      </c>
      <c r="V21">
        <v>33.028571428571396</v>
      </c>
      <c r="W21">
        <v>33.028571428571396</v>
      </c>
      <c r="X21">
        <v>34</v>
      </c>
      <c r="Y21">
        <v>33</v>
      </c>
      <c r="Z21">
        <v>35</v>
      </c>
      <c r="AA21">
        <v>40</v>
      </c>
      <c r="AB21">
        <v>41</v>
      </c>
      <c r="AC21">
        <v>41</v>
      </c>
      <c r="AD21">
        <v>39.093023255814003</v>
      </c>
      <c r="AE21">
        <v>37.274743104380697</v>
      </c>
    </row>
    <row r="22" spans="1:31" x14ac:dyDescent="0.3">
      <c r="A22" t="s">
        <v>303</v>
      </c>
      <c r="B22" t="s">
        <v>162</v>
      </c>
      <c r="C22" t="s">
        <v>0</v>
      </c>
      <c r="D22" t="s">
        <v>163</v>
      </c>
      <c r="E22" t="s">
        <v>123</v>
      </c>
      <c r="F22">
        <v>0.15625</v>
      </c>
      <c r="G22">
        <v>0.15625</v>
      </c>
      <c r="H22">
        <v>0.125</v>
      </c>
      <c r="I22">
        <v>0.16666666666666699</v>
      </c>
      <c r="J22">
        <v>0.16666666666666699</v>
      </c>
      <c r="K22">
        <v>0.33333333333333298</v>
      </c>
      <c r="L22">
        <v>0.33333333333333298</v>
      </c>
      <c r="M22">
        <v>0.16666666666666699</v>
      </c>
      <c r="N22">
        <v>0.33333333333333298</v>
      </c>
      <c r="O22">
        <v>0.33333333333333298</v>
      </c>
      <c r="P22">
        <v>1</v>
      </c>
      <c r="Q22">
        <v>1.5</v>
      </c>
      <c r="R22">
        <v>3</v>
      </c>
      <c r="S22">
        <v>3</v>
      </c>
      <c r="T22">
        <v>3</v>
      </c>
      <c r="U22">
        <v>4</v>
      </c>
      <c r="V22">
        <v>6</v>
      </c>
      <c r="W22">
        <v>7</v>
      </c>
      <c r="X22">
        <v>8</v>
      </c>
      <c r="Y22">
        <v>8</v>
      </c>
      <c r="Z22">
        <v>9</v>
      </c>
      <c r="AA22">
        <v>11</v>
      </c>
      <c r="AB22">
        <v>12</v>
      </c>
      <c r="AC22">
        <v>13</v>
      </c>
      <c r="AD22">
        <v>13</v>
      </c>
      <c r="AE22">
        <v>12.0714285714286</v>
      </c>
    </row>
    <row r="23" spans="1:31" x14ac:dyDescent="0.3">
      <c r="A23" t="s">
        <v>303</v>
      </c>
      <c r="B23" t="s">
        <v>164</v>
      </c>
      <c r="C23" t="s">
        <v>0</v>
      </c>
      <c r="D23" t="s">
        <v>165</v>
      </c>
      <c r="E23" t="s">
        <v>123</v>
      </c>
      <c r="F23">
        <v>2.2198315043367698</v>
      </c>
      <c r="G23">
        <v>2.8672823597683301</v>
      </c>
      <c r="H23">
        <v>3.5044562174946199</v>
      </c>
      <c r="I23">
        <v>4.4479636606662503</v>
      </c>
      <c r="J23">
        <v>6.7543151884191204</v>
      </c>
      <c r="K23">
        <v>8.1870487132352991</v>
      </c>
      <c r="L23">
        <v>7.4853016806722703</v>
      </c>
      <c r="M23">
        <v>7.77319789915967</v>
      </c>
      <c r="N23">
        <v>9.8931609625668493</v>
      </c>
      <c r="O23">
        <v>12.904122994652401</v>
      </c>
      <c r="P23">
        <v>16.727566844919799</v>
      </c>
      <c r="Q23">
        <v>17.2671657754011</v>
      </c>
      <c r="R23">
        <v>18.381176470588201</v>
      </c>
      <c r="S23">
        <v>20.16</v>
      </c>
      <c r="T23">
        <v>20.16</v>
      </c>
      <c r="U23">
        <v>20.16</v>
      </c>
      <c r="V23">
        <v>21</v>
      </c>
      <c r="W23">
        <v>21</v>
      </c>
      <c r="X23">
        <v>21</v>
      </c>
      <c r="Y23">
        <v>20</v>
      </c>
      <c r="Z23">
        <v>18</v>
      </c>
      <c r="AA23">
        <v>15</v>
      </c>
      <c r="AB23">
        <v>13</v>
      </c>
      <c r="AC23">
        <v>13</v>
      </c>
      <c r="AD23">
        <v>11</v>
      </c>
      <c r="AE23">
        <v>10</v>
      </c>
    </row>
    <row r="24" spans="1:31" x14ac:dyDescent="0.3">
      <c r="A24" t="s">
        <v>303</v>
      </c>
      <c r="B24" t="s">
        <v>166</v>
      </c>
      <c r="C24" t="s">
        <v>0</v>
      </c>
      <c r="D24" t="s">
        <v>167</v>
      </c>
      <c r="E24" t="s">
        <v>123</v>
      </c>
      <c r="F24">
        <v>8.1021449235104193</v>
      </c>
      <c r="G24">
        <v>9.6673320110067493</v>
      </c>
      <c r="H24">
        <v>12.491496418716601</v>
      </c>
      <c r="I24">
        <v>17.080209388857401</v>
      </c>
      <c r="J24">
        <v>22.465860997956501</v>
      </c>
      <c r="K24">
        <v>24.164959728894399</v>
      </c>
      <c r="L24">
        <v>21.504597189933602</v>
      </c>
      <c r="M24">
        <v>20.7273225927071</v>
      </c>
      <c r="N24">
        <v>22.8610175654857</v>
      </c>
      <c r="O24">
        <v>25.004237962249999</v>
      </c>
      <c r="P24">
        <v>28.576271956857202</v>
      </c>
      <c r="Q24">
        <v>29.483455193582799</v>
      </c>
      <c r="R24">
        <v>35.380146232299303</v>
      </c>
      <c r="S24">
        <v>49.532204725219103</v>
      </c>
      <c r="T24">
        <v>53.112846030656598</v>
      </c>
      <c r="U24">
        <v>59.486387554335401</v>
      </c>
      <c r="V24">
        <v>64.965396934340006</v>
      </c>
      <c r="W24">
        <v>75.933580832345399</v>
      </c>
      <c r="X24">
        <v>78.613589567604706</v>
      </c>
      <c r="Y24">
        <v>88.085106382978694</v>
      </c>
      <c r="Z24">
        <v>92</v>
      </c>
      <c r="AA24">
        <v>102</v>
      </c>
      <c r="AB24">
        <v>97</v>
      </c>
      <c r="AC24">
        <v>96.020202020202007</v>
      </c>
      <c r="AD24">
        <v>85.351290684624004</v>
      </c>
      <c r="AE24">
        <v>72.074423244793607</v>
      </c>
    </row>
    <row r="25" spans="1:31" x14ac:dyDescent="0.3">
      <c r="A25" t="s">
        <v>303</v>
      </c>
      <c r="B25" t="s">
        <v>168</v>
      </c>
      <c r="C25" t="s">
        <v>0</v>
      </c>
      <c r="D25" t="s">
        <v>169</v>
      </c>
      <c r="E25" t="s">
        <v>123</v>
      </c>
      <c r="F25">
        <v>0.94938153832961703</v>
      </c>
      <c r="G25">
        <v>1.0443196921625799</v>
      </c>
      <c r="H25">
        <v>1.5084617775681699</v>
      </c>
      <c r="I25">
        <v>2.1941262219173399</v>
      </c>
      <c r="J25">
        <v>2.8692419825072899</v>
      </c>
      <c r="K25">
        <v>2.8692419825072899</v>
      </c>
      <c r="L25">
        <v>2.3910349854227402</v>
      </c>
      <c r="M25">
        <v>2.1253644314868798</v>
      </c>
      <c r="N25">
        <v>2.1253644314868798</v>
      </c>
      <c r="O25">
        <v>2.4795918367346901</v>
      </c>
      <c r="P25">
        <v>2.8928571428571401</v>
      </c>
      <c r="Q25">
        <v>3.375</v>
      </c>
      <c r="R25">
        <v>3.375</v>
      </c>
      <c r="S25">
        <v>6.75</v>
      </c>
      <c r="T25">
        <v>6.75</v>
      </c>
      <c r="U25">
        <v>8.25</v>
      </c>
      <c r="V25">
        <v>9.9</v>
      </c>
      <c r="W25">
        <v>9</v>
      </c>
      <c r="X25">
        <v>9</v>
      </c>
      <c r="Y25">
        <v>11</v>
      </c>
      <c r="Z25">
        <v>11</v>
      </c>
      <c r="AA25">
        <v>14</v>
      </c>
      <c r="AB25">
        <v>13</v>
      </c>
      <c r="AC25">
        <v>13</v>
      </c>
      <c r="AD25">
        <v>12</v>
      </c>
      <c r="AE25">
        <v>10</v>
      </c>
    </row>
    <row r="26" spans="1:31" x14ac:dyDescent="0.3">
      <c r="A26" t="s">
        <v>303</v>
      </c>
      <c r="B26" t="s">
        <v>170</v>
      </c>
      <c r="C26" t="s">
        <v>0</v>
      </c>
      <c r="D26" t="s">
        <v>171</v>
      </c>
      <c r="E26" t="s">
        <v>123</v>
      </c>
      <c r="F26">
        <v>4.1975772277500099</v>
      </c>
      <c r="G26">
        <v>5.2692990731329896</v>
      </c>
      <c r="H26">
        <v>7.1662467394608704</v>
      </c>
      <c r="I26">
        <v>9.6373663047922093</v>
      </c>
      <c r="J26">
        <v>12.157908261430199</v>
      </c>
      <c r="K26">
        <v>13.246676165438799</v>
      </c>
      <c r="L26">
        <v>11.964739762331901</v>
      </c>
      <c r="M26">
        <v>11.710170831218401</v>
      </c>
      <c r="N26">
        <v>12.610953202850601</v>
      </c>
      <c r="O26">
        <v>14.0522049974621</v>
      </c>
      <c r="P26">
        <v>16.059662854242401</v>
      </c>
      <c r="Q26">
        <v>15.6008153441212</v>
      </c>
      <c r="R26">
        <v>19.501019180151498</v>
      </c>
      <c r="S26">
        <v>26.543053884095102</v>
      </c>
      <c r="T26">
        <v>28.312590809701401</v>
      </c>
      <c r="U26">
        <v>31.1438498906715</v>
      </c>
      <c r="V26">
        <v>33.479638632471897</v>
      </c>
      <c r="W26">
        <v>39.3385753931545</v>
      </c>
      <c r="X26">
        <v>39.3385753931545</v>
      </c>
      <c r="Y26">
        <v>44.021739130434803</v>
      </c>
      <c r="Z26">
        <v>45</v>
      </c>
      <c r="AA26">
        <v>50</v>
      </c>
      <c r="AB26">
        <v>48</v>
      </c>
      <c r="AC26">
        <v>48</v>
      </c>
      <c r="AD26">
        <v>42.24</v>
      </c>
      <c r="AE26">
        <v>34.7306666666667</v>
      </c>
    </row>
    <row r="27" spans="1:31" x14ac:dyDescent="0.3">
      <c r="A27" t="s">
        <v>303</v>
      </c>
      <c r="B27" t="s">
        <v>172</v>
      </c>
      <c r="C27" t="s">
        <v>0</v>
      </c>
      <c r="D27" t="s">
        <v>173</v>
      </c>
      <c r="E27" t="s">
        <v>123</v>
      </c>
      <c r="F27">
        <v>2.9863418716927299</v>
      </c>
      <c r="G27">
        <v>3.3716763067498601</v>
      </c>
      <c r="H27">
        <v>3.8212331476498398</v>
      </c>
      <c r="I27">
        <v>5.2706664105514998</v>
      </c>
      <c r="J27">
        <v>7.5067067059369803</v>
      </c>
      <c r="K27">
        <v>8.0993414458793804</v>
      </c>
      <c r="L27">
        <v>7.1737024234931601</v>
      </c>
      <c r="M27">
        <v>6.9080097411415604</v>
      </c>
      <c r="N27">
        <v>8.1640115122582095</v>
      </c>
      <c r="O27">
        <v>8.5189685345303108</v>
      </c>
      <c r="P27">
        <v>9.6806460619662609</v>
      </c>
      <c r="Q27">
        <v>10.560704794872301</v>
      </c>
      <c r="R27">
        <v>12.480832939394499</v>
      </c>
      <c r="S27">
        <v>16.279347312253702</v>
      </c>
      <c r="T27">
        <v>18.088163680281902</v>
      </c>
      <c r="U27">
        <v>20.175259489545201</v>
      </c>
      <c r="V27">
        <v>21.7272025272025</v>
      </c>
      <c r="W27">
        <v>27.576833976833999</v>
      </c>
      <c r="X27">
        <v>30.2455598455598</v>
      </c>
      <c r="Y27">
        <v>33.081081081081102</v>
      </c>
      <c r="Z27">
        <v>36</v>
      </c>
      <c r="AA27">
        <v>38</v>
      </c>
      <c r="AB27">
        <v>36</v>
      </c>
      <c r="AC27">
        <v>35.027027027027003</v>
      </c>
      <c r="AD27">
        <v>31.135135135135101</v>
      </c>
      <c r="AE27">
        <v>27.361179361179399</v>
      </c>
    </row>
    <row r="28" spans="1:31" x14ac:dyDescent="0.3">
      <c r="A28" t="s">
        <v>303</v>
      </c>
      <c r="B28" t="s">
        <v>174</v>
      </c>
      <c r="C28" t="s">
        <v>0</v>
      </c>
      <c r="D28" t="s">
        <v>175</v>
      </c>
      <c r="E28" t="s">
        <v>123</v>
      </c>
      <c r="F28">
        <v>4.2371181369201896</v>
      </c>
      <c r="G28">
        <v>4.4601243546528302</v>
      </c>
      <c r="H28">
        <v>4.1813665824870299</v>
      </c>
      <c r="I28">
        <v>5.22670822810879</v>
      </c>
      <c r="J28">
        <v>5.8967990265842696</v>
      </c>
      <c r="K28">
        <v>5.7416201048320596</v>
      </c>
      <c r="L28">
        <v>4.3062150786240396</v>
      </c>
      <c r="M28">
        <v>3.28092577418975</v>
      </c>
      <c r="N28">
        <v>3.7856835856035498</v>
      </c>
      <c r="O28">
        <v>4.4166308498708098</v>
      </c>
      <c r="P28">
        <v>5.0961125190817098</v>
      </c>
      <c r="Q28">
        <v>6.6641471403376196</v>
      </c>
      <c r="R28">
        <v>9.77408247249517</v>
      </c>
      <c r="S28">
        <v>12.217603090619001</v>
      </c>
      <c r="T28">
        <v>14.994331065759599</v>
      </c>
      <c r="U28">
        <v>17.6020408163265</v>
      </c>
      <c r="V28">
        <v>20.663265306122401</v>
      </c>
      <c r="W28">
        <v>23.1428571428571</v>
      </c>
      <c r="X28">
        <v>27</v>
      </c>
      <c r="Y28">
        <v>30</v>
      </c>
      <c r="Z28">
        <v>30</v>
      </c>
      <c r="AA28">
        <v>35</v>
      </c>
      <c r="AB28">
        <v>33</v>
      </c>
      <c r="AC28">
        <v>31.0588235294118</v>
      </c>
      <c r="AD28">
        <v>33</v>
      </c>
      <c r="AE28">
        <v>29.117647058823501</v>
      </c>
    </row>
    <row r="29" spans="1:31" x14ac:dyDescent="0.3">
      <c r="A29" t="s">
        <v>303</v>
      </c>
      <c r="B29" t="s">
        <v>176</v>
      </c>
      <c r="C29" t="s">
        <v>0</v>
      </c>
      <c r="D29" t="s">
        <v>177</v>
      </c>
      <c r="E29" t="s">
        <v>123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>
        <v>0</v>
      </c>
      <c r="P29">
        <v>0.22222222222222199</v>
      </c>
      <c r="Q29">
        <v>0.44444444444444398</v>
      </c>
      <c r="R29">
        <v>0.88888888888888895</v>
      </c>
      <c r="S29">
        <v>0.88888888888888895</v>
      </c>
      <c r="T29">
        <v>0.88888888888888895</v>
      </c>
      <c r="U29">
        <v>0.88888888888888895</v>
      </c>
      <c r="V29">
        <v>1.3333333333333299</v>
      </c>
      <c r="W29">
        <v>2</v>
      </c>
      <c r="X29">
        <v>3</v>
      </c>
      <c r="Y29">
        <v>3</v>
      </c>
      <c r="Z29">
        <v>3</v>
      </c>
      <c r="AA29">
        <v>7</v>
      </c>
      <c r="AB29">
        <v>7</v>
      </c>
      <c r="AC29">
        <v>8</v>
      </c>
      <c r="AD29">
        <v>11</v>
      </c>
      <c r="AE29">
        <v>9</v>
      </c>
    </row>
    <row r="30" spans="1:31" x14ac:dyDescent="0.3">
      <c r="A30" t="s">
        <v>303</v>
      </c>
      <c r="B30" t="s">
        <v>178</v>
      </c>
      <c r="C30" t="s">
        <v>0</v>
      </c>
      <c r="D30" t="s">
        <v>179</v>
      </c>
      <c r="E30" t="s">
        <v>123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>
        <v>0</v>
      </c>
      <c r="P30">
        <v>0.169312169312169</v>
      </c>
      <c r="Q30">
        <v>0.33862433862433899</v>
      </c>
      <c r="R30">
        <v>0.50793650793650802</v>
      </c>
      <c r="S30">
        <v>0.76190476190476197</v>
      </c>
      <c r="T30">
        <v>1.1428571428571399</v>
      </c>
      <c r="U30">
        <v>1.71428571428571</v>
      </c>
      <c r="V30">
        <v>5.1428571428571397</v>
      </c>
      <c r="W30">
        <v>6</v>
      </c>
      <c r="X30">
        <v>7</v>
      </c>
      <c r="Y30">
        <v>7</v>
      </c>
      <c r="Z30">
        <v>6</v>
      </c>
      <c r="AA30">
        <v>6</v>
      </c>
      <c r="AB30">
        <v>5</v>
      </c>
      <c r="AC30">
        <v>5</v>
      </c>
      <c r="AD30">
        <v>4</v>
      </c>
      <c r="AE30">
        <v>5</v>
      </c>
    </row>
    <row r="31" spans="1:31" x14ac:dyDescent="0.3">
      <c r="A31" t="s">
        <v>303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>
        <v>0</v>
      </c>
      <c r="AA31" t="e">
        <v>#NUM!</v>
      </c>
      <c r="AB31" t="e">
        <v>#NUM!</v>
      </c>
      <c r="AC31" t="e">
        <v>#NUM!</v>
      </c>
      <c r="AD31" t="e">
        <v>#NUM!</v>
      </c>
      <c r="AE31" t="e">
        <v>#NUM!</v>
      </c>
    </row>
    <row r="32" spans="1:31" x14ac:dyDescent="0.3">
      <c r="A32" t="s">
        <v>303</v>
      </c>
      <c r="B32" t="s">
        <v>182</v>
      </c>
      <c r="C32" t="s">
        <v>0</v>
      </c>
      <c r="D32" t="s">
        <v>183</v>
      </c>
      <c r="E32" t="s">
        <v>123</v>
      </c>
      <c r="F32">
        <v>2.5275548696844998</v>
      </c>
      <c r="G32">
        <v>2.67623456790123</v>
      </c>
      <c r="H32">
        <v>2.5839506172839499</v>
      </c>
      <c r="I32">
        <v>2.9069444444444401</v>
      </c>
      <c r="J32">
        <v>3.0333333333333301</v>
      </c>
      <c r="K32">
        <v>3.1850000000000001</v>
      </c>
      <c r="L32">
        <v>2.3002777777777799</v>
      </c>
      <c r="M32">
        <v>2.09116161616162</v>
      </c>
      <c r="N32">
        <v>2.6139520202020199</v>
      </c>
      <c r="O32">
        <v>3.5941840277777799</v>
      </c>
      <c r="P32">
        <v>3.9536024305555602</v>
      </c>
      <c r="Q32">
        <v>5.2714699074074103</v>
      </c>
      <c r="R32">
        <v>7.1883680555555598</v>
      </c>
      <c r="S32">
        <v>8.2152777777777803</v>
      </c>
      <c r="T32">
        <v>10.5625</v>
      </c>
      <c r="U32">
        <v>11.266666666666699</v>
      </c>
      <c r="V32">
        <v>11.266666666666699</v>
      </c>
      <c r="W32">
        <v>12.133333333333301</v>
      </c>
      <c r="X32">
        <v>14</v>
      </c>
      <c r="Y32">
        <v>16</v>
      </c>
      <c r="Z32">
        <v>17</v>
      </c>
      <c r="AA32">
        <v>18</v>
      </c>
      <c r="AB32">
        <v>15</v>
      </c>
      <c r="AC32">
        <v>12.1875</v>
      </c>
      <c r="AD32">
        <v>13.125</v>
      </c>
      <c r="AE32">
        <v>11.25</v>
      </c>
    </row>
    <row r="33" spans="1:31" x14ac:dyDescent="0.3">
      <c r="A33" t="s">
        <v>303</v>
      </c>
      <c r="B33" t="s">
        <v>184</v>
      </c>
      <c r="C33" t="s">
        <v>0</v>
      </c>
      <c r="D33" t="s">
        <v>185</v>
      </c>
      <c r="E33" t="s">
        <v>123</v>
      </c>
      <c r="F33">
        <v>2.35335232668566</v>
      </c>
      <c r="G33">
        <v>2.2062678062678098</v>
      </c>
      <c r="H33">
        <v>2.2062678062678098</v>
      </c>
      <c r="I33">
        <v>2.8681481481481499</v>
      </c>
      <c r="J33">
        <v>3.9111111111111101</v>
      </c>
      <c r="K33">
        <v>3.9111111111111101</v>
      </c>
      <c r="L33">
        <v>3.2</v>
      </c>
      <c r="M33">
        <v>2.4</v>
      </c>
      <c r="N33">
        <v>2.4</v>
      </c>
      <c r="O33">
        <v>1.8</v>
      </c>
      <c r="P33">
        <v>1.2</v>
      </c>
      <c r="Q33">
        <v>0.6</v>
      </c>
      <c r="R33">
        <v>1.2</v>
      </c>
      <c r="S33">
        <v>1.2</v>
      </c>
      <c r="T33">
        <v>1.8</v>
      </c>
      <c r="U33">
        <v>3</v>
      </c>
      <c r="V33">
        <v>3</v>
      </c>
      <c r="W33">
        <v>3</v>
      </c>
      <c r="X33">
        <v>3</v>
      </c>
      <c r="Y33">
        <v>4</v>
      </c>
      <c r="Z33">
        <v>4</v>
      </c>
      <c r="AA33">
        <v>4</v>
      </c>
      <c r="AB33">
        <v>6</v>
      </c>
      <c r="AC33">
        <v>6</v>
      </c>
      <c r="AD33">
        <v>5</v>
      </c>
      <c r="AE33">
        <v>4</v>
      </c>
    </row>
    <row r="34" spans="1:31" x14ac:dyDescent="0.3">
      <c r="A34" t="s">
        <v>303</v>
      </c>
      <c r="B34" t="s">
        <v>186</v>
      </c>
      <c r="C34" t="s">
        <v>0</v>
      </c>
      <c r="D34" t="s">
        <v>187</v>
      </c>
      <c r="E34" t="s">
        <v>123</v>
      </c>
      <c r="F34">
        <v>0.893851513923963</v>
      </c>
      <c r="G34">
        <v>1.16200696810115</v>
      </c>
      <c r="H34">
        <v>1.6268097553416101</v>
      </c>
      <c r="I34">
        <v>2.57578211262422</v>
      </c>
      <c r="J34">
        <v>3.2626573426573402</v>
      </c>
      <c r="K34">
        <v>3.2626573426573402</v>
      </c>
      <c r="L34">
        <v>2.79656343656344</v>
      </c>
      <c r="M34">
        <v>2.79656343656344</v>
      </c>
      <c r="N34">
        <v>3.4957042957043001</v>
      </c>
      <c r="O34">
        <v>4.3696303696303698</v>
      </c>
      <c r="P34">
        <v>4.8551448551448599</v>
      </c>
      <c r="Q34">
        <v>4.8551448551448599</v>
      </c>
      <c r="R34">
        <v>5.9340659340659396</v>
      </c>
      <c r="S34">
        <v>8.3076923076923102</v>
      </c>
      <c r="T34">
        <v>10.2248520710059</v>
      </c>
      <c r="U34">
        <v>10.2248520710059</v>
      </c>
      <c r="V34">
        <v>11.0769230769231</v>
      </c>
      <c r="W34">
        <v>12</v>
      </c>
      <c r="X34">
        <v>11</v>
      </c>
      <c r="Y34">
        <v>11</v>
      </c>
      <c r="Z34">
        <v>10</v>
      </c>
      <c r="AA34">
        <v>11</v>
      </c>
      <c r="AB34">
        <v>9</v>
      </c>
      <c r="AC34">
        <v>9</v>
      </c>
      <c r="AD34">
        <v>8.1</v>
      </c>
      <c r="AE34">
        <v>6.48</v>
      </c>
    </row>
    <row r="35" spans="1:31" x14ac:dyDescent="0.3">
      <c r="A35" t="s">
        <v>303</v>
      </c>
      <c r="B35" t="s">
        <v>188</v>
      </c>
      <c r="C35" t="s">
        <v>0</v>
      </c>
      <c r="D35" t="s">
        <v>189</v>
      </c>
      <c r="E35" t="s">
        <v>123</v>
      </c>
      <c r="F35">
        <v>14.2667787673058</v>
      </c>
      <c r="G35">
        <v>19.170983968567199</v>
      </c>
      <c r="H35">
        <v>24.389751826677202</v>
      </c>
      <c r="I35">
        <v>34.4776596502766</v>
      </c>
      <c r="J35">
        <v>46.022215370278701</v>
      </c>
      <c r="K35">
        <v>55.418417675043997</v>
      </c>
      <c r="L35">
        <v>52.225587027099003</v>
      </c>
      <c r="M35">
        <v>54.390378199206801</v>
      </c>
      <c r="N35">
        <v>55.971493844532603</v>
      </c>
      <c r="O35">
        <v>67.386732720720104</v>
      </c>
      <c r="P35">
        <v>95.327573117116302</v>
      </c>
      <c r="Q35">
        <v>112.068024981585</v>
      </c>
      <c r="R35">
        <v>125.01810786834599</v>
      </c>
      <c r="S35">
        <v>148.49312375628901</v>
      </c>
      <c r="T35">
        <v>149.69064894787201</v>
      </c>
      <c r="U35">
        <v>195.31065624627101</v>
      </c>
      <c r="V35">
        <v>241.58908483474499</v>
      </c>
      <c r="W35">
        <v>289.226369168357</v>
      </c>
      <c r="X35">
        <v>323.67966706302002</v>
      </c>
      <c r="Y35">
        <v>410.49753694581301</v>
      </c>
      <c r="Z35">
        <v>591</v>
      </c>
      <c r="AA35">
        <v>714</v>
      </c>
      <c r="AB35">
        <v>826.6843575419</v>
      </c>
      <c r="AC35">
        <v>1176.0975806823999</v>
      </c>
      <c r="AD35">
        <v>1051.1852559367201</v>
      </c>
      <c r="AE35">
        <v>924.13958937319205</v>
      </c>
    </row>
    <row r="36" spans="1:31" x14ac:dyDescent="0.3">
      <c r="A36" t="s">
        <v>303</v>
      </c>
      <c r="B36" t="s">
        <v>190</v>
      </c>
      <c r="C36" t="s">
        <v>0</v>
      </c>
      <c r="D36" t="s">
        <v>191</v>
      </c>
      <c r="E36" t="s">
        <v>123</v>
      </c>
      <c r="F36">
        <v>1.8454397410610399</v>
      </c>
      <c r="G36">
        <v>2.1530130312378799</v>
      </c>
      <c r="H36">
        <v>2.83291188320774</v>
      </c>
      <c r="I36">
        <v>3.50741471254292</v>
      </c>
      <c r="J36">
        <v>3.50741471254292</v>
      </c>
      <c r="K36">
        <v>3.8766162612316499</v>
      </c>
      <c r="L36">
        <v>3.4685513916283099</v>
      </c>
      <c r="M36">
        <v>3.2207977207977199</v>
      </c>
      <c r="N36">
        <v>3.2207977207977199</v>
      </c>
      <c r="O36">
        <v>3.2207977207977199</v>
      </c>
      <c r="P36">
        <v>4.2943969610636303</v>
      </c>
      <c r="Q36">
        <v>4.2943969610636303</v>
      </c>
      <c r="R36">
        <v>4.7238366571699899</v>
      </c>
      <c r="S36">
        <v>9.4476733143399798</v>
      </c>
      <c r="T36">
        <v>8.9504273504273506</v>
      </c>
      <c r="U36">
        <v>10.7405128205128</v>
      </c>
      <c r="V36">
        <v>10.069230769230799</v>
      </c>
      <c r="W36">
        <v>11.507692307692301</v>
      </c>
      <c r="X36">
        <v>11.507692307692301</v>
      </c>
      <c r="Y36">
        <v>10.685714285714299</v>
      </c>
      <c r="Z36">
        <v>34</v>
      </c>
      <c r="AA36">
        <v>54</v>
      </c>
      <c r="AB36">
        <v>70</v>
      </c>
      <c r="AC36">
        <v>69.014084507042298</v>
      </c>
      <c r="AD36">
        <v>57.3497321959929</v>
      </c>
      <c r="AE36">
        <v>44.923956886861099</v>
      </c>
    </row>
    <row r="37" spans="1:31" x14ac:dyDescent="0.3">
      <c r="A37" t="s">
        <v>303</v>
      </c>
      <c r="B37" t="s">
        <v>192</v>
      </c>
      <c r="C37" t="s">
        <v>0</v>
      </c>
      <c r="D37" t="s">
        <v>193</v>
      </c>
      <c r="E37" t="s">
        <v>123</v>
      </c>
      <c r="F37">
        <v>9.6318575641997395</v>
      </c>
      <c r="G37">
        <v>13.016023735405099</v>
      </c>
      <c r="H37">
        <v>16.165061735906299</v>
      </c>
      <c r="I37">
        <v>22.984697155741699</v>
      </c>
      <c r="J37">
        <v>30.283891522767799</v>
      </c>
      <c r="K37">
        <v>35.299058271761197</v>
      </c>
      <c r="L37">
        <v>32.727603695672698</v>
      </c>
      <c r="M37">
        <v>33.559661416749101</v>
      </c>
      <c r="N37">
        <v>32.268905208412598</v>
      </c>
      <c r="O37">
        <v>38.272422456489402</v>
      </c>
      <c r="P37">
        <v>60.736670420080898</v>
      </c>
      <c r="Q37">
        <v>59.3241897126372</v>
      </c>
      <c r="R37">
        <v>56.810452860406798</v>
      </c>
      <c r="S37">
        <v>61.222915218496603</v>
      </c>
      <c r="T37">
        <v>57.585910354031498</v>
      </c>
      <c r="U37">
        <v>66.223796907136204</v>
      </c>
      <c r="V37">
        <v>84.356503203137805</v>
      </c>
      <c r="W37">
        <v>100.546135131013</v>
      </c>
      <c r="X37">
        <v>115.039271726474</v>
      </c>
      <c r="Y37">
        <v>126.35460992907799</v>
      </c>
      <c r="Z37">
        <v>136</v>
      </c>
      <c r="AA37">
        <v>150</v>
      </c>
      <c r="AB37">
        <v>147</v>
      </c>
      <c r="AC37">
        <v>152.88</v>
      </c>
      <c r="AD37">
        <v>146.10683544303799</v>
      </c>
      <c r="AE37">
        <v>148.93470967741899</v>
      </c>
    </row>
    <row r="38" spans="1:31" x14ac:dyDescent="0.3">
      <c r="A38" t="s">
        <v>303</v>
      </c>
      <c r="B38" t="s">
        <v>194</v>
      </c>
      <c r="C38" t="s">
        <v>0</v>
      </c>
      <c r="D38" t="s">
        <v>195</v>
      </c>
      <c r="E38" t="s">
        <v>123</v>
      </c>
      <c r="F38">
        <v>2.8247711889871301</v>
      </c>
      <c r="G38">
        <v>4.0093526553365804</v>
      </c>
      <c r="H38">
        <v>5.41804412883321</v>
      </c>
      <c r="I38">
        <v>7.9980651425633198</v>
      </c>
      <c r="J38">
        <v>12.2323349239204</v>
      </c>
      <c r="K38">
        <v>16.2460698208317</v>
      </c>
      <c r="L38">
        <v>16.023520919176502</v>
      </c>
      <c r="M38">
        <v>17.5996049440135</v>
      </c>
      <c r="N38">
        <v>20.378489935173601</v>
      </c>
      <c r="O38">
        <v>25.8370140249522</v>
      </c>
      <c r="P38">
        <v>30.348238695975599</v>
      </c>
      <c r="Q38">
        <v>48.281288834506597</v>
      </c>
      <c r="R38">
        <v>63.213646206003503</v>
      </c>
      <c r="S38">
        <v>76.837276853849104</v>
      </c>
      <c r="T38">
        <v>82.239897882635404</v>
      </c>
      <c r="U38">
        <v>117.281245676106</v>
      </c>
      <c r="V38">
        <v>146.40477648158199</v>
      </c>
      <c r="W38">
        <v>176.37066640471301</v>
      </c>
      <c r="X38">
        <v>196.371463625866</v>
      </c>
      <c r="Y38">
        <v>273.21247113163997</v>
      </c>
      <c r="Z38">
        <v>421</v>
      </c>
      <c r="AA38">
        <v>510</v>
      </c>
      <c r="AB38">
        <v>609.609375</v>
      </c>
      <c r="AC38">
        <v>953.36673821884995</v>
      </c>
      <c r="AD38">
        <v>847.01125284971204</v>
      </c>
      <c r="AE38">
        <v>729.63164463883197</v>
      </c>
    </row>
    <row r="39" spans="1:31" x14ac:dyDescent="0.3">
      <c r="A39" t="s">
        <v>303</v>
      </c>
      <c r="B39" t="s">
        <v>196</v>
      </c>
      <c r="C39" t="s">
        <v>0</v>
      </c>
      <c r="D39" t="s">
        <v>197</v>
      </c>
      <c r="E39" t="s">
        <v>123</v>
      </c>
      <c r="F39">
        <v>3.0459278691944598</v>
      </c>
      <c r="G39">
        <v>7.3972533966151204</v>
      </c>
      <c r="H39">
        <v>11.733574353251599</v>
      </c>
      <c r="I39">
        <v>15.945626685188</v>
      </c>
      <c r="J39">
        <v>18.780404762554799</v>
      </c>
      <c r="K39">
        <v>33.719363096405203</v>
      </c>
      <c r="L39">
        <v>40.261926085260001</v>
      </c>
      <c r="M39">
        <v>52.881335753774302</v>
      </c>
      <c r="N39">
        <v>70.276511988568402</v>
      </c>
      <c r="O39">
        <v>67.007837012356006</v>
      </c>
      <c r="P39">
        <v>79.571806452172694</v>
      </c>
      <c r="Q39">
        <v>59.4694553484659</v>
      </c>
      <c r="R39">
        <v>70.358228862973803</v>
      </c>
      <c r="S39">
        <v>87.312018950437306</v>
      </c>
      <c r="T39">
        <v>87.312018950437306</v>
      </c>
      <c r="U39">
        <v>88.231092834126102</v>
      </c>
      <c r="V39">
        <v>89.140691729323294</v>
      </c>
      <c r="W39">
        <v>90.041102756892201</v>
      </c>
      <c r="X39">
        <v>98.482456140350905</v>
      </c>
      <c r="Y39">
        <v>109</v>
      </c>
      <c r="Z39">
        <v>109</v>
      </c>
      <c r="AA39">
        <v>112</v>
      </c>
      <c r="AB39">
        <v>173</v>
      </c>
      <c r="AC39">
        <v>173.97191011236001</v>
      </c>
      <c r="AD39">
        <v>203.442561552158</v>
      </c>
      <c r="AE39">
        <v>207.14151721674301</v>
      </c>
    </row>
    <row r="40" spans="1:31" x14ac:dyDescent="0.3">
      <c r="A40" t="s">
        <v>303</v>
      </c>
      <c r="B40" t="s">
        <v>198</v>
      </c>
      <c r="C40" t="s">
        <v>0</v>
      </c>
      <c r="D40" t="s">
        <v>199</v>
      </c>
      <c r="E40" t="s">
        <v>123</v>
      </c>
      <c r="F40">
        <v>5.7378518916980502E-2</v>
      </c>
      <c r="G40">
        <v>8.6067778375470694E-2</v>
      </c>
      <c r="H40">
        <v>0.12910166756320601</v>
      </c>
      <c r="I40">
        <v>0.12910166756320601</v>
      </c>
      <c r="J40">
        <v>0.19365250134480899</v>
      </c>
      <c r="K40">
        <v>0.29047875201721401</v>
      </c>
      <c r="L40">
        <v>0.29047875201721401</v>
      </c>
      <c r="M40">
        <v>0.29047875201721401</v>
      </c>
      <c r="N40">
        <v>0.58095750403442703</v>
      </c>
      <c r="O40">
        <v>0.58095750403442703</v>
      </c>
      <c r="P40">
        <v>1.74287251210328</v>
      </c>
      <c r="Q40">
        <v>2.3238300161377099</v>
      </c>
      <c r="R40">
        <v>2.3238300161377099</v>
      </c>
      <c r="S40">
        <v>7.5524475524475498</v>
      </c>
      <c r="T40">
        <v>8.1818181818181799</v>
      </c>
      <c r="U40">
        <v>7.5</v>
      </c>
      <c r="V40">
        <v>7.5</v>
      </c>
      <c r="W40">
        <v>9.1666666666666696</v>
      </c>
      <c r="X40">
        <v>11</v>
      </c>
      <c r="Y40">
        <v>12</v>
      </c>
      <c r="Z40">
        <v>13</v>
      </c>
      <c r="AA40">
        <v>14</v>
      </c>
      <c r="AB40">
        <v>15</v>
      </c>
      <c r="AC40">
        <v>16</v>
      </c>
      <c r="AD40">
        <v>16</v>
      </c>
      <c r="AE40">
        <v>16</v>
      </c>
    </row>
    <row r="41" spans="1:31" x14ac:dyDescent="0.3">
      <c r="A41" t="s">
        <v>303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303</v>
      </c>
      <c r="B42" t="s">
        <v>202</v>
      </c>
      <c r="C42" t="s">
        <v>0</v>
      </c>
      <c r="D42" t="s">
        <v>203</v>
      </c>
      <c r="E42" t="s">
        <v>123</v>
      </c>
      <c r="F42">
        <v>2.7920355632320599</v>
      </c>
      <c r="G42">
        <v>3.72271408430941</v>
      </c>
      <c r="H42">
        <v>3.64674032748677</v>
      </c>
      <c r="I42">
        <v>4.5584254093584597</v>
      </c>
      <c r="J42">
        <v>5.6103697345950296</v>
      </c>
      <c r="K42">
        <v>6.0532936610104304</v>
      </c>
      <c r="L42">
        <v>4.9183010995709697</v>
      </c>
      <c r="M42">
        <v>4.4498914710403996</v>
      </c>
      <c r="N42">
        <v>5.9331886280538697</v>
      </c>
      <c r="O42">
        <v>8.8997829420808099</v>
      </c>
      <c r="P42">
        <v>9.8366021991419501</v>
      </c>
      <c r="Q42">
        <v>13.4606135356679</v>
      </c>
      <c r="R42">
        <v>19.383283491361802</v>
      </c>
      <c r="S42">
        <v>39.9413114367456</v>
      </c>
      <c r="T42">
        <v>34.703106658156003</v>
      </c>
      <c r="U42">
        <v>36.918198572506398</v>
      </c>
      <c r="V42">
        <v>94.703205033820694</v>
      </c>
      <c r="W42">
        <v>100.729772626882</v>
      </c>
      <c r="X42">
        <v>98.8983222154841</v>
      </c>
      <c r="Y42">
        <v>97.9381443298969</v>
      </c>
      <c r="Z42">
        <v>95</v>
      </c>
      <c r="AA42">
        <v>102</v>
      </c>
      <c r="AB42">
        <v>109</v>
      </c>
      <c r="AC42">
        <v>101.21428571428601</v>
      </c>
      <c r="AD42">
        <v>96.394557823129205</v>
      </c>
      <c r="AE42">
        <v>85.999066293183901</v>
      </c>
    </row>
    <row r="43" spans="1:31" x14ac:dyDescent="0.3">
      <c r="A43" t="s">
        <v>303</v>
      </c>
      <c r="B43" t="s">
        <v>204</v>
      </c>
      <c r="C43" t="s">
        <v>0</v>
      </c>
      <c r="D43" t="s">
        <v>205</v>
      </c>
      <c r="E43" t="s">
        <v>123</v>
      </c>
      <c r="F43">
        <v>2.6721300671148902</v>
      </c>
      <c r="G43">
        <v>3.56284008948652</v>
      </c>
      <c r="H43">
        <v>3.3719736561211699</v>
      </c>
      <c r="I43">
        <v>4.3682385999751503</v>
      </c>
      <c r="J43">
        <v>5.4856949860153099</v>
      </c>
      <c r="K43">
        <v>5.99599219401673</v>
      </c>
      <c r="L43">
        <v>4.9966601616806097</v>
      </c>
      <c r="M43">
        <v>4.3720776414705398</v>
      </c>
      <c r="N43">
        <v>5.4008017924047804</v>
      </c>
      <c r="O43">
        <v>8.1012026886071702</v>
      </c>
      <c r="P43">
        <v>9.3803399552293492</v>
      </c>
      <c r="Q43">
        <v>14.539526930605501</v>
      </c>
      <c r="R43">
        <v>55.149929736779498</v>
      </c>
      <c r="S43">
        <v>122.555399415065</v>
      </c>
      <c r="T43">
        <v>128.74506605219</v>
      </c>
      <c r="U43">
        <v>135.218281663753</v>
      </c>
      <c r="V43">
        <v>209.902797698965</v>
      </c>
      <c r="W43">
        <v>233.79417304681499</v>
      </c>
      <c r="X43">
        <v>238.325067873303</v>
      </c>
      <c r="Y43">
        <v>237.37556561086001</v>
      </c>
      <c r="Z43">
        <v>215</v>
      </c>
      <c r="AA43">
        <v>217</v>
      </c>
      <c r="AB43">
        <v>213</v>
      </c>
      <c r="AC43">
        <v>197.294930875576</v>
      </c>
      <c r="AD43">
        <v>184.722214692329</v>
      </c>
      <c r="AE43">
        <v>165.77634651875599</v>
      </c>
    </row>
    <row r="44" spans="1:31" x14ac:dyDescent="0.3">
      <c r="A44" t="s">
        <v>303</v>
      </c>
      <c r="B44" t="s">
        <v>206</v>
      </c>
      <c r="C44" t="s">
        <v>0</v>
      </c>
      <c r="D44" t="s">
        <v>207</v>
      </c>
      <c r="E44" t="s">
        <v>123</v>
      </c>
      <c r="F44">
        <v>89.401689709908695</v>
      </c>
      <c r="G44">
        <v>112.488417233296</v>
      </c>
      <c r="H44">
        <v>130.840001917883</v>
      </c>
      <c r="I44">
        <v>172.25018809189299</v>
      </c>
      <c r="J44">
        <v>211.673070646637</v>
      </c>
      <c r="K44">
        <v>239.404038431635</v>
      </c>
      <c r="L44">
        <v>225.44668836496899</v>
      </c>
      <c r="M44">
        <v>227.40709435075101</v>
      </c>
      <c r="N44">
        <v>252.67454927861201</v>
      </c>
      <c r="O44">
        <v>292.42552977259999</v>
      </c>
      <c r="P44">
        <v>352.38797124157298</v>
      </c>
      <c r="Q44">
        <v>406.86107760312899</v>
      </c>
      <c r="R44">
        <v>533.234594131373</v>
      </c>
      <c r="S44">
        <v>678.45831640269398</v>
      </c>
      <c r="T44">
        <v>720.32325788670801</v>
      </c>
      <c r="U44">
        <v>795.50610289476401</v>
      </c>
      <c r="V44">
        <v>944.27200796366606</v>
      </c>
      <c r="W44">
        <v>1066.84984247999</v>
      </c>
      <c r="X44">
        <v>1123.9539546942899</v>
      </c>
      <c r="Y44">
        <v>1241.4668470906599</v>
      </c>
      <c r="Z44">
        <v>1438</v>
      </c>
      <c r="AA44">
        <v>1591</v>
      </c>
      <c r="AB44">
        <v>1774.5385579937299</v>
      </c>
      <c r="AC44">
        <v>2104.3893544878802</v>
      </c>
      <c r="AD44">
        <v>1969.43080678824</v>
      </c>
      <c r="AE44">
        <v>1788.59354475891</v>
      </c>
    </row>
    <row r="45" spans="1:31" x14ac:dyDescent="0.3">
      <c r="A45" t="s">
        <v>303</v>
      </c>
      <c r="B45" t="s">
        <v>208</v>
      </c>
      <c r="C45" t="s">
        <v>0</v>
      </c>
      <c r="D45" t="s">
        <v>209</v>
      </c>
      <c r="E45" t="s">
        <v>123</v>
      </c>
      <c r="F45">
        <v>81.672337779042394</v>
      </c>
      <c r="G45">
        <v>103.76099276928301</v>
      </c>
      <c r="H45">
        <v>120.92529786985899</v>
      </c>
      <c r="I45">
        <v>159.431499590686</v>
      </c>
      <c r="J45">
        <v>195.73134954764299</v>
      </c>
      <c r="K45">
        <v>222.43971098990099</v>
      </c>
      <c r="L45">
        <v>210.40343110283001</v>
      </c>
      <c r="M45">
        <v>212.59799101003</v>
      </c>
      <c r="N45">
        <v>236.72721084859199</v>
      </c>
      <c r="O45">
        <v>273.41413585775399</v>
      </c>
      <c r="P45">
        <v>330.660220552971</v>
      </c>
      <c r="Q45">
        <v>384.42224202417401</v>
      </c>
      <c r="R45">
        <v>509.51201919076999</v>
      </c>
      <c r="S45">
        <v>653.02086302397799</v>
      </c>
      <c r="T45">
        <v>693.41390609762595</v>
      </c>
      <c r="U45">
        <v>765.46617411805903</v>
      </c>
      <c r="V45">
        <v>912.46069989353896</v>
      </c>
      <c r="W45">
        <v>1033.2772555275899</v>
      </c>
      <c r="X45">
        <v>1089.5223739145199</v>
      </c>
      <c r="Y45">
        <v>1205.30785267547</v>
      </c>
      <c r="Z45">
        <v>1401</v>
      </c>
      <c r="AA45">
        <v>1551</v>
      </c>
      <c r="AB45">
        <v>1734.5266881028899</v>
      </c>
      <c r="AC45">
        <v>2066.1705387892298</v>
      </c>
      <c r="AD45">
        <v>1935.1074822242499</v>
      </c>
      <c r="AE45">
        <v>1757.98956272173</v>
      </c>
    </row>
    <row r="46" spans="1:31" x14ac:dyDescent="0.3">
      <c r="A46" t="s">
        <v>303</v>
      </c>
      <c r="B46" t="s">
        <v>210</v>
      </c>
      <c r="C46" t="s">
        <v>0</v>
      </c>
      <c r="D46" t="s">
        <v>211</v>
      </c>
      <c r="E46" t="s">
        <v>123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>
        <v>0</v>
      </c>
      <c r="P46">
        <v>0.386828025988251</v>
      </c>
      <c r="Q46">
        <v>1.9341401299412599</v>
      </c>
      <c r="R46">
        <v>35.781592403913201</v>
      </c>
      <c r="S46">
        <v>82.406091596891102</v>
      </c>
      <c r="T46">
        <v>93.233169324949799</v>
      </c>
      <c r="U46">
        <v>97.471040657901995</v>
      </c>
      <c r="V46">
        <v>115.26337347640801</v>
      </c>
      <c r="W46">
        <v>133.06139438085299</v>
      </c>
      <c r="X46">
        <v>139.35483870967701</v>
      </c>
      <c r="Y46">
        <v>139.35483870967701</v>
      </c>
      <c r="Z46">
        <v>120</v>
      </c>
      <c r="AA46">
        <v>115</v>
      </c>
      <c r="AB46">
        <v>104</v>
      </c>
      <c r="AC46">
        <v>96.076190476190504</v>
      </c>
      <c r="AD46">
        <v>88.312457912457901</v>
      </c>
      <c r="AE46">
        <v>79.7660910177039</v>
      </c>
    </row>
    <row r="47" spans="1:31" x14ac:dyDescent="0.3">
      <c r="A47" t="s">
        <v>303</v>
      </c>
      <c r="B47" t="s">
        <v>212</v>
      </c>
      <c r="C47" t="s">
        <v>0</v>
      </c>
      <c r="D47" t="s">
        <v>213</v>
      </c>
      <c r="E47" t="s">
        <v>123</v>
      </c>
      <c r="F47">
        <v>20.8709727323319</v>
      </c>
      <c r="G47">
        <v>26.373320089037598</v>
      </c>
      <c r="H47">
        <v>29.055352640465099</v>
      </c>
      <c r="I47">
        <v>38.118490161344198</v>
      </c>
      <c r="J47">
        <v>53.173692157841501</v>
      </c>
      <c r="K47">
        <v>60.993352769288698</v>
      </c>
      <c r="L47">
        <v>56.8347150804736</v>
      </c>
      <c r="M47">
        <v>57.381202725478097</v>
      </c>
      <c r="N47">
        <v>64.553853066162901</v>
      </c>
      <c r="O47">
        <v>75.312828577190103</v>
      </c>
      <c r="P47">
        <v>79.235371732252005</v>
      </c>
      <c r="Q47">
        <v>67.3500659724142</v>
      </c>
      <c r="R47">
        <v>61.011236233834097</v>
      </c>
      <c r="S47">
        <v>59.405677385575302</v>
      </c>
      <c r="T47">
        <v>62.752476111523201</v>
      </c>
      <c r="U47">
        <v>71.468097793679206</v>
      </c>
      <c r="V47">
        <v>71.468097793679206</v>
      </c>
      <c r="W47">
        <v>74.051282051282001</v>
      </c>
      <c r="X47">
        <v>71.342088805503394</v>
      </c>
      <c r="Y47">
        <v>73.219512195121993</v>
      </c>
      <c r="Z47">
        <v>79</v>
      </c>
      <c r="AA47">
        <v>87</v>
      </c>
      <c r="AB47">
        <v>93</v>
      </c>
      <c r="AC47">
        <v>102.893617021277</v>
      </c>
      <c r="AD47">
        <v>118.723404255319</v>
      </c>
      <c r="AE47">
        <v>156.67596791070801</v>
      </c>
    </row>
    <row r="48" spans="1:31" x14ac:dyDescent="0.3">
      <c r="A48" t="s">
        <v>303</v>
      </c>
      <c r="B48" t="s">
        <v>214</v>
      </c>
      <c r="C48" t="s">
        <v>0</v>
      </c>
      <c r="D48" t="s">
        <v>215</v>
      </c>
      <c r="E48" t="s">
        <v>123</v>
      </c>
      <c r="F48">
        <v>27.437391676823701</v>
      </c>
      <c r="G48">
        <v>34.602570394975103</v>
      </c>
      <c r="H48">
        <v>38.746590801558902</v>
      </c>
      <c r="I48">
        <v>50.272475407085999</v>
      </c>
      <c r="J48">
        <v>68.205931546455801</v>
      </c>
      <c r="K48">
        <v>77.847607733651202</v>
      </c>
      <c r="L48">
        <v>72.798033177954906</v>
      </c>
      <c r="M48">
        <v>74.273668985616098</v>
      </c>
      <c r="N48">
        <v>84.456349411063499</v>
      </c>
      <c r="O48">
        <v>99.114062945214997</v>
      </c>
      <c r="P48">
        <v>105.578023572077</v>
      </c>
      <c r="Q48">
        <v>105.578023572077</v>
      </c>
      <c r="R48">
        <v>115.91433357213999</v>
      </c>
      <c r="S48">
        <v>127.27848392235001</v>
      </c>
      <c r="T48">
        <v>147.16574703521701</v>
      </c>
      <c r="U48">
        <v>153.93198827821601</v>
      </c>
      <c r="V48">
        <v>154.77776843359101</v>
      </c>
      <c r="W48">
        <v>163.32902635809799</v>
      </c>
      <c r="X48">
        <v>170.54798884906401</v>
      </c>
      <c r="Y48">
        <v>174.29629629629599</v>
      </c>
      <c r="Z48">
        <v>182</v>
      </c>
      <c r="AA48">
        <v>192</v>
      </c>
      <c r="AB48">
        <v>200</v>
      </c>
      <c r="AC48">
        <v>214.778325123153</v>
      </c>
      <c r="AD48">
        <v>227.469771607703</v>
      </c>
      <c r="AE48">
        <v>262.98193004434802</v>
      </c>
    </row>
    <row r="49" spans="1:31" x14ac:dyDescent="0.3">
      <c r="A49" t="s">
        <v>303</v>
      </c>
      <c r="B49" t="s">
        <v>216</v>
      </c>
      <c r="C49" t="s">
        <v>0</v>
      </c>
      <c r="D49" t="s">
        <v>217</v>
      </c>
      <c r="E49" t="s">
        <v>123</v>
      </c>
      <c r="F49">
        <v>5.10411852728872</v>
      </c>
      <c r="G49">
        <v>6.1674765538071998</v>
      </c>
      <c r="H49">
        <v>6.6814329332911404</v>
      </c>
      <c r="I49">
        <v>7.8434212695156802</v>
      </c>
      <c r="J49">
        <v>9.5485128498451797</v>
      </c>
      <c r="K49">
        <v>10.7939710476511</v>
      </c>
      <c r="L49">
        <v>9.8127009524100703</v>
      </c>
      <c r="M49">
        <v>9.8127009524100703</v>
      </c>
      <c r="N49">
        <v>11.1210610793981</v>
      </c>
      <c r="O49">
        <v>12.603869223317799</v>
      </c>
      <c r="P49">
        <v>12.603869223317799</v>
      </c>
      <c r="Q49">
        <v>24.419996620178299</v>
      </c>
      <c r="R49">
        <v>36.236124017038698</v>
      </c>
      <c r="S49">
        <v>45.8990904215824</v>
      </c>
      <c r="T49">
        <v>58.417024172923</v>
      </c>
      <c r="U49">
        <v>54.876598465473101</v>
      </c>
      <c r="V49">
        <v>54.005541346973601</v>
      </c>
      <c r="W49">
        <v>57.546888320545598</v>
      </c>
      <c r="X49">
        <v>63.115942028985501</v>
      </c>
      <c r="Y49">
        <v>65</v>
      </c>
      <c r="Z49">
        <v>65</v>
      </c>
      <c r="AA49">
        <v>65</v>
      </c>
      <c r="AB49">
        <v>65</v>
      </c>
      <c r="AC49">
        <v>64.015151515151501</v>
      </c>
      <c r="AD49">
        <v>61.105371900826398</v>
      </c>
      <c r="AE49">
        <v>59.195829028925601</v>
      </c>
    </row>
    <row r="50" spans="1:31" x14ac:dyDescent="0.3">
      <c r="A50" t="s">
        <v>303</v>
      </c>
      <c r="B50" t="s">
        <v>218</v>
      </c>
      <c r="C50" t="s">
        <v>0</v>
      </c>
      <c r="D50" t="s">
        <v>219</v>
      </c>
      <c r="E50" t="s">
        <v>123</v>
      </c>
      <c r="F50">
        <v>2.73720640080625</v>
      </c>
      <c r="G50">
        <v>3.5702692184429301</v>
      </c>
      <c r="H50">
        <v>4.4271338308692396</v>
      </c>
      <c r="I50">
        <v>5.9596032338624401</v>
      </c>
      <c r="J50">
        <v>7.8091352719576701</v>
      </c>
      <c r="K50">
        <v>8.7852771809523809</v>
      </c>
      <c r="L50">
        <v>8.5018811428571404</v>
      </c>
      <c r="M50">
        <v>9.1558720000000005</v>
      </c>
      <c r="N50">
        <v>10.8998476190476</v>
      </c>
      <c r="O50">
        <v>13.3770857142857</v>
      </c>
      <c r="P50">
        <v>15.4350989010989</v>
      </c>
      <c r="Q50">
        <v>15.4350989010989</v>
      </c>
      <c r="R50">
        <v>19.436791208791199</v>
      </c>
      <c r="S50">
        <v>22.473789835164801</v>
      </c>
      <c r="T50">
        <v>26.4397527472528</v>
      </c>
      <c r="U50">
        <v>27.908627899877899</v>
      </c>
      <c r="V50">
        <v>29.4172023809524</v>
      </c>
      <c r="W50">
        <v>31.802380952381</v>
      </c>
      <c r="X50">
        <v>36.1</v>
      </c>
      <c r="Y50">
        <v>36.1</v>
      </c>
      <c r="Z50">
        <v>38</v>
      </c>
      <c r="AA50">
        <v>40</v>
      </c>
      <c r="AB50">
        <v>42</v>
      </c>
      <c r="AC50">
        <v>47.860465116279101</v>
      </c>
      <c r="AD50">
        <v>47.860465116279101</v>
      </c>
      <c r="AE50">
        <v>47.860465116279101</v>
      </c>
    </row>
    <row r="51" spans="1:31" x14ac:dyDescent="0.3">
      <c r="A51" t="s">
        <v>303</v>
      </c>
      <c r="B51" t="s">
        <v>220</v>
      </c>
      <c r="C51" t="s">
        <v>0</v>
      </c>
      <c r="D51" t="s">
        <v>221</v>
      </c>
      <c r="E51" t="s">
        <v>123</v>
      </c>
      <c r="F51">
        <v>2.6351279546453701</v>
      </c>
      <c r="G51">
        <v>3.3537992150032001</v>
      </c>
      <c r="H51">
        <v>4.22870335804752</v>
      </c>
      <c r="I51">
        <v>5.8144671173153304</v>
      </c>
      <c r="J51">
        <v>7.7526228230871101</v>
      </c>
      <c r="K51">
        <v>8.7863058661653906</v>
      </c>
      <c r="L51">
        <v>8.4833298018148593</v>
      </c>
      <c r="M51">
        <v>9.5437460270417205</v>
      </c>
      <c r="N51">
        <v>11.361602413144899</v>
      </c>
      <c r="O51">
        <v>13.427348306443999</v>
      </c>
      <c r="P51">
        <v>15.038630103217301</v>
      </c>
      <c r="Q51">
        <v>14.4816438030981</v>
      </c>
      <c r="R51">
        <v>17.377972563717702</v>
      </c>
      <c r="S51">
        <v>19.239898195544601</v>
      </c>
      <c r="T51">
        <v>21.893677256999101</v>
      </c>
      <c r="U51">
        <v>21.893677256999101</v>
      </c>
      <c r="V51">
        <v>22.623466498898999</v>
      </c>
      <c r="W51">
        <v>24.1316975988256</v>
      </c>
      <c r="X51">
        <v>28.2923351158645</v>
      </c>
      <c r="Y51">
        <v>30.117647058823501</v>
      </c>
      <c r="Z51">
        <v>32</v>
      </c>
      <c r="AA51">
        <v>34</v>
      </c>
      <c r="AB51">
        <v>35</v>
      </c>
      <c r="AC51">
        <v>37</v>
      </c>
      <c r="AD51">
        <v>37</v>
      </c>
      <c r="AE51">
        <v>35.052631578947398</v>
      </c>
    </row>
    <row r="52" spans="1:31" x14ac:dyDescent="0.3">
      <c r="A52" t="s">
        <v>303</v>
      </c>
      <c r="B52" t="s">
        <v>222</v>
      </c>
      <c r="C52" t="s">
        <v>0</v>
      </c>
      <c r="D52" t="s">
        <v>223</v>
      </c>
      <c r="E52" t="s">
        <v>123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>
        <v>0</v>
      </c>
      <c r="O52">
        <v>0.2734375</v>
      </c>
      <c r="P52">
        <v>0.546875</v>
      </c>
      <c r="Q52">
        <v>1.09375</v>
      </c>
      <c r="R52">
        <v>2.1875</v>
      </c>
      <c r="S52">
        <v>3.28125</v>
      </c>
      <c r="T52">
        <v>4.59375</v>
      </c>
      <c r="U52">
        <v>6.125</v>
      </c>
      <c r="V52">
        <v>7</v>
      </c>
      <c r="W52">
        <v>8</v>
      </c>
      <c r="X52">
        <v>8</v>
      </c>
      <c r="Y52">
        <v>6</v>
      </c>
      <c r="Z52">
        <v>6</v>
      </c>
      <c r="AA52">
        <v>6</v>
      </c>
      <c r="AB52">
        <v>7</v>
      </c>
      <c r="AC52">
        <v>10.5</v>
      </c>
      <c r="AD52">
        <v>10.5</v>
      </c>
      <c r="AE52">
        <v>12.115384615384601</v>
      </c>
    </row>
    <row r="53" spans="1:31" x14ac:dyDescent="0.3">
      <c r="A53" t="s">
        <v>303</v>
      </c>
      <c r="B53" t="s">
        <v>224</v>
      </c>
      <c r="C53" t="s">
        <v>0</v>
      </c>
      <c r="D53" t="s">
        <v>225</v>
      </c>
      <c r="E53" t="s">
        <v>123</v>
      </c>
      <c r="F53">
        <v>1.4712634627707299</v>
      </c>
      <c r="G53">
        <v>1.8916244521337999</v>
      </c>
      <c r="H53">
        <v>2.8374366782006901</v>
      </c>
      <c r="I53">
        <v>3.5467958477508699</v>
      </c>
      <c r="J53">
        <v>2.8374366782006901</v>
      </c>
      <c r="K53">
        <v>3.7104941176470598</v>
      </c>
      <c r="L53">
        <v>3.9755294117647102</v>
      </c>
      <c r="M53">
        <v>4.6381176470588201</v>
      </c>
      <c r="N53">
        <v>6.69950326797386</v>
      </c>
      <c r="O53">
        <v>9.1356862745097995</v>
      </c>
      <c r="P53">
        <v>8.4831372549019601</v>
      </c>
      <c r="Q53">
        <v>9.7882352941176496</v>
      </c>
      <c r="R53">
        <v>9.7882352941176496</v>
      </c>
      <c r="S53">
        <v>9.7882352941176496</v>
      </c>
      <c r="T53">
        <v>9.7882352941176496</v>
      </c>
      <c r="U53">
        <v>8.2823529411764696</v>
      </c>
      <c r="V53">
        <v>10.5411764705882</v>
      </c>
      <c r="W53">
        <v>13.176470588235301</v>
      </c>
      <c r="X53">
        <v>16</v>
      </c>
      <c r="Y53">
        <v>16</v>
      </c>
      <c r="Z53">
        <v>17</v>
      </c>
      <c r="AA53">
        <v>18</v>
      </c>
      <c r="AB53">
        <v>19</v>
      </c>
      <c r="AC53">
        <v>19</v>
      </c>
      <c r="AD53">
        <v>18</v>
      </c>
      <c r="AE53">
        <v>16</v>
      </c>
    </row>
    <row r="54" spans="1:31" x14ac:dyDescent="0.3">
      <c r="A54" t="s">
        <v>303</v>
      </c>
      <c r="B54" t="s">
        <v>226</v>
      </c>
      <c r="C54" t="s">
        <v>0</v>
      </c>
      <c r="D54" t="s">
        <v>227</v>
      </c>
      <c r="E54" t="s">
        <v>123</v>
      </c>
      <c r="F54">
        <v>2.73523909429638</v>
      </c>
      <c r="G54">
        <v>3.32985628870864</v>
      </c>
      <c r="H54">
        <v>4.1985144509804604</v>
      </c>
      <c r="I54">
        <v>5.6518463763198499</v>
      </c>
      <c r="J54">
        <v>5.2750566178985299</v>
      </c>
      <c r="K54">
        <v>6.1924577688374001</v>
      </c>
      <c r="L54">
        <v>6.7309323574319597</v>
      </c>
      <c r="M54">
        <v>7.0674789753035503</v>
      </c>
      <c r="N54">
        <v>10.3656358304452</v>
      </c>
      <c r="O54">
        <v>12.669110459433</v>
      </c>
      <c r="P54">
        <v>13.272401433691799</v>
      </c>
      <c r="Q54">
        <v>17.064516129032299</v>
      </c>
      <c r="R54">
        <v>17.064516129032299</v>
      </c>
      <c r="S54">
        <v>17.747096774193601</v>
      </c>
      <c r="T54">
        <v>17.064516129032299</v>
      </c>
      <c r="U54">
        <v>17.064516129032299</v>
      </c>
      <c r="V54">
        <v>19.290322580645199</v>
      </c>
      <c r="W54">
        <v>24.322580645161299</v>
      </c>
      <c r="X54">
        <v>29</v>
      </c>
      <c r="Y54">
        <v>29</v>
      </c>
      <c r="Z54">
        <v>30</v>
      </c>
      <c r="AA54">
        <v>31</v>
      </c>
      <c r="AB54">
        <v>32</v>
      </c>
      <c r="AC54">
        <v>30</v>
      </c>
      <c r="AD54">
        <v>28</v>
      </c>
      <c r="AE54">
        <v>22</v>
      </c>
    </row>
    <row r="55" spans="1:31" x14ac:dyDescent="0.3">
      <c r="A55" t="s">
        <v>303</v>
      </c>
      <c r="B55" t="s">
        <v>228</v>
      </c>
      <c r="C55" t="s">
        <v>0</v>
      </c>
      <c r="D55" t="s">
        <v>229</v>
      </c>
      <c r="E55" t="s">
        <v>123</v>
      </c>
      <c r="F55">
        <v>1.3334693877551</v>
      </c>
      <c r="G55">
        <v>1.4816326530612201</v>
      </c>
      <c r="H55">
        <v>1.3170068027210899</v>
      </c>
      <c r="I55">
        <v>2.1950113378684799</v>
      </c>
      <c r="J55">
        <v>2.6340136054421799</v>
      </c>
      <c r="K55">
        <v>2.6340136054421799</v>
      </c>
      <c r="L55">
        <v>2.9266817838246402</v>
      </c>
      <c r="M55">
        <v>2.56084656084656</v>
      </c>
      <c r="N55">
        <v>3.8412698412698401</v>
      </c>
      <c r="O55">
        <v>3.8412698412698401</v>
      </c>
      <c r="P55">
        <v>4.9387755102040796</v>
      </c>
      <c r="Q55">
        <v>7.4081632653061202</v>
      </c>
      <c r="R55">
        <v>7.4081632653061202</v>
      </c>
      <c r="S55">
        <v>8.0816326530612308</v>
      </c>
      <c r="T55">
        <v>7.4081632653061202</v>
      </c>
      <c r="U55">
        <v>8.7551020408163307</v>
      </c>
      <c r="V55">
        <v>8.7551020408163307</v>
      </c>
      <c r="W55">
        <v>11.1428571428571</v>
      </c>
      <c r="X55">
        <v>13</v>
      </c>
      <c r="Y55">
        <v>13</v>
      </c>
      <c r="Z55">
        <v>13</v>
      </c>
      <c r="AA55">
        <v>13</v>
      </c>
      <c r="AB55">
        <v>13</v>
      </c>
      <c r="AC55">
        <v>11</v>
      </c>
      <c r="AD55">
        <v>10</v>
      </c>
      <c r="AE55">
        <v>6</v>
      </c>
    </row>
    <row r="56" spans="1:31" x14ac:dyDescent="0.3">
      <c r="A56" t="s">
        <v>303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303</v>
      </c>
      <c r="B57" t="s">
        <v>232</v>
      </c>
      <c r="C57" t="s">
        <v>0</v>
      </c>
      <c r="D57" t="s">
        <v>233</v>
      </c>
      <c r="E57" t="s">
        <v>123</v>
      </c>
      <c r="F57">
        <v>114.06524854632301</v>
      </c>
      <c r="G57">
        <v>143.618517487871</v>
      </c>
      <c r="H57">
        <v>166.236580052656</v>
      </c>
      <c r="I57">
        <v>218.268188663301</v>
      </c>
      <c r="J57">
        <v>272.21212109803201</v>
      </c>
      <c r="K57">
        <v>308.46365556643099</v>
      </c>
      <c r="L57">
        <v>290.19766762212998</v>
      </c>
      <c r="M57">
        <v>293.23957189489897</v>
      </c>
      <c r="N57">
        <v>327.31190781346498</v>
      </c>
      <c r="O57">
        <v>379.51066958241</v>
      </c>
      <c r="P57">
        <v>449.14994269543899</v>
      </c>
      <c r="Q57">
        <v>507.46781680395799</v>
      </c>
      <c r="R57">
        <v>647.98073732475598</v>
      </c>
      <c r="S57">
        <v>813.48484261618705</v>
      </c>
      <c r="T57">
        <v>873.50648720482195</v>
      </c>
      <c r="U57">
        <v>955.58092224420204</v>
      </c>
      <c r="V57">
        <v>1106.67028991692</v>
      </c>
      <c r="W57">
        <v>1239.6062007944699</v>
      </c>
      <c r="X57">
        <v>1305.7547772988501</v>
      </c>
      <c r="Y57">
        <v>1427.9029761904801</v>
      </c>
      <c r="Z57">
        <v>1633</v>
      </c>
      <c r="AA57">
        <v>1797</v>
      </c>
      <c r="AB57">
        <v>1989.5713492504201</v>
      </c>
      <c r="AC57">
        <v>2335.3708008926601</v>
      </c>
      <c r="AD57">
        <v>2212.7614202753098</v>
      </c>
      <c r="AE57">
        <v>2066.4397393270701</v>
      </c>
    </row>
    <row r="58" spans="1:31" x14ac:dyDescent="0.3">
      <c r="A58" t="s">
        <v>303</v>
      </c>
      <c r="B58" t="s">
        <v>234</v>
      </c>
      <c r="C58" t="s">
        <v>0</v>
      </c>
      <c r="D58" t="s">
        <v>235</v>
      </c>
      <c r="E58" t="s">
        <v>123</v>
      </c>
      <c r="F58">
        <v>114.06524854632301</v>
      </c>
      <c r="G58">
        <v>143.618517487871</v>
      </c>
      <c r="H58">
        <v>166.236580052656</v>
      </c>
      <c r="I58">
        <v>218.268188663301</v>
      </c>
      <c r="J58">
        <v>272.21212109803201</v>
      </c>
      <c r="K58">
        <v>308.46365556643099</v>
      </c>
      <c r="L58">
        <v>290.19766762212998</v>
      </c>
      <c r="M58">
        <v>293.23957189489897</v>
      </c>
      <c r="N58">
        <v>327.31190781346498</v>
      </c>
      <c r="O58">
        <v>379.51066958241</v>
      </c>
      <c r="P58">
        <v>449.14994269543899</v>
      </c>
      <c r="Q58">
        <v>507.46781680395799</v>
      </c>
      <c r="R58">
        <v>647.98073732475598</v>
      </c>
      <c r="S58">
        <v>813.48484261618705</v>
      </c>
      <c r="T58">
        <v>873.50648720482195</v>
      </c>
      <c r="U58">
        <v>955.58092224420204</v>
      </c>
      <c r="V58">
        <v>1106.67028991692</v>
      </c>
      <c r="W58">
        <v>1239.6062007944699</v>
      </c>
      <c r="X58">
        <v>1305.7547772988501</v>
      </c>
      <c r="Y58">
        <v>1427.9029761904801</v>
      </c>
      <c r="Z58">
        <v>1633</v>
      </c>
      <c r="AA58">
        <v>1797</v>
      </c>
      <c r="AB58">
        <v>1989.5713492504201</v>
      </c>
      <c r="AC58">
        <v>2335.3708008926601</v>
      </c>
      <c r="AD58">
        <v>2212.7614202753098</v>
      </c>
      <c r="AE58">
        <v>2066.4397393270701</v>
      </c>
    </row>
    <row r="59" spans="1:31" x14ac:dyDescent="0.3">
      <c r="A59" t="s">
        <v>303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304</v>
      </c>
      <c r="B2" t="s">
        <v>121</v>
      </c>
      <c r="C2" t="s">
        <v>0</v>
      </c>
      <c r="D2" t="s">
        <v>122</v>
      </c>
      <c r="E2" t="s">
        <v>123</v>
      </c>
      <c r="F2">
        <v>10.488522481209101</v>
      </c>
      <c r="G2">
        <v>12.505546035287701</v>
      </c>
      <c r="H2">
        <v>15.840358311364501</v>
      </c>
      <c r="I2">
        <v>20.425725190969999</v>
      </c>
      <c r="J2">
        <v>25.206214065452301</v>
      </c>
      <c r="K2">
        <v>27.456768892724799</v>
      </c>
      <c r="L2">
        <v>28.807101789088399</v>
      </c>
      <c r="M2">
        <v>28.807101789088399</v>
      </c>
      <c r="N2">
        <v>32.112834781278799</v>
      </c>
      <c r="O2">
        <v>36.978415808745297</v>
      </c>
      <c r="P2">
        <v>40.573539567928897</v>
      </c>
      <c r="Q2">
        <v>40.573539567928897</v>
      </c>
      <c r="R2">
        <v>42.240945303597201</v>
      </c>
      <c r="S2">
        <v>42.880959626379003</v>
      </c>
      <c r="T2">
        <v>45.788143329862301</v>
      </c>
      <c r="U2">
        <v>47.340283781722</v>
      </c>
      <c r="V2">
        <v>48.250673854447399</v>
      </c>
      <c r="W2">
        <v>50.142857142857103</v>
      </c>
      <c r="X2">
        <v>51.107142857142897</v>
      </c>
      <c r="Y2">
        <v>54</v>
      </c>
      <c r="Z2">
        <v>55</v>
      </c>
      <c r="AA2">
        <v>56</v>
      </c>
      <c r="AB2">
        <v>57</v>
      </c>
      <c r="AC2">
        <v>59</v>
      </c>
      <c r="AD2">
        <v>54</v>
      </c>
      <c r="AE2">
        <v>55</v>
      </c>
    </row>
    <row r="3" spans="1:31" x14ac:dyDescent="0.3">
      <c r="A3" t="s">
        <v>304</v>
      </c>
      <c r="B3" t="s">
        <v>124</v>
      </c>
      <c r="C3" t="s">
        <v>0</v>
      </c>
      <c r="D3" t="s">
        <v>125</v>
      </c>
      <c r="E3" t="s">
        <v>123</v>
      </c>
      <c r="F3">
        <v>0.44040497008743701</v>
      </c>
      <c r="G3">
        <v>0.88080994017487402</v>
      </c>
      <c r="H3">
        <v>0.88080994017487402</v>
      </c>
      <c r="I3">
        <v>1.3212149102623101</v>
      </c>
      <c r="J3">
        <v>1.3212149102623101</v>
      </c>
      <c r="K3">
        <v>1.76161988034975</v>
      </c>
      <c r="L3">
        <v>1.76161988034975</v>
      </c>
      <c r="M3">
        <v>1.76161988034975</v>
      </c>
      <c r="N3">
        <v>2.6424298205246202</v>
      </c>
      <c r="O3">
        <v>3.6994017487344699</v>
      </c>
      <c r="P3">
        <v>4.2278877128393901</v>
      </c>
      <c r="Q3">
        <v>8.4557754256787891</v>
      </c>
      <c r="R3">
        <v>14.092959042798</v>
      </c>
      <c r="S3">
        <v>19.858260469397099</v>
      </c>
      <c r="T3">
        <v>23.404378410360898</v>
      </c>
      <c r="U3">
        <v>25.6693182565249</v>
      </c>
      <c r="V3">
        <v>30.9802116889093</v>
      </c>
      <c r="W3">
        <v>38.490566037735803</v>
      </c>
      <c r="X3">
        <v>45.2264150943396</v>
      </c>
      <c r="Y3">
        <v>51</v>
      </c>
      <c r="Z3">
        <v>51</v>
      </c>
      <c r="AA3">
        <v>51</v>
      </c>
      <c r="AB3">
        <v>50</v>
      </c>
      <c r="AC3">
        <v>47.959183673469397</v>
      </c>
      <c r="AD3">
        <v>46.916592724046097</v>
      </c>
      <c r="AE3">
        <v>47.959183673469397</v>
      </c>
    </row>
    <row r="4" spans="1:31" x14ac:dyDescent="0.3">
      <c r="A4" t="s">
        <v>304</v>
      </c>
      <c r="B4" t="s">
        <v>126</v>
      </c>
      <c r="C4" t="s">
        <v>0</v>
      </c>
      <c r="D4" t="s">
        <v>127</v>
      </c>
      <c r="E4" t="s">
        <v>123</v>
      </c>
      <c r="F4">
        <v>85.535725762281899</v>
      </c>
      <c r="G4">
        <v>114.44363308009</v>
      </c>
      <c r="H4">
        <v>149.59417752611799</v>
      </c>
      <c r="I4">
        <v>189.853233800852</v>
      </c>
      <c r="J4">
        <v>231.031446611539</v>
      </c>
      <c r="K4">
        <v>253.69030002920999</v>
      </c>
      <c r="L4">
        <v>290.958078617571</v>
      </c>
      <c r="M4">
        <v>287.73544167085799</v>
      </c>
      <c r="N4">
        <v>312.45177620660399</v>
      </c>
      <c r="O4">
        <v>350.84009707802198</v>
      </c>
      <c r="P4">
        <v>377.42679091305803</v>
      </c>
      <c r="Q4">
        <v>464.52528112376302</v>
      </c>
      <c r="R4">
        <v>607.72049725316003</v>
      </c>
      <c r="S4">
        <v>719.99539040841705</v>
      </c>
      <c r="T4">
        <v>787.15644487981399</v>
      </c>
      <c r="U4">
        <v>839.11652547779101</v>
      </c>
      <c r="V4">
        <v>886.17808722416498</v>
      </c>
      <c r="W4">
        <v>947.26141243049699</v>
      </c>
      <c r="X4">
        <v>964.48434720195996</v>
      </c>
      <c r="Y4">
        <v>990.14058106841605</v>
      </c>
      <c r="Z4">
        <v>1065</v>
      </c>
      <c r="AA4">
        <v>1119</v>
      </c>
      <c r="AB4">
        <v>1208.9196428571399</v>
      </c>
      <c r="AC4">
        <v>1249.2505733945</v>
      </c>
      <c r="AD4">
        <v>1239.0442778602301</v>
      </c>
      <c r="AE4">
        <v>1248.25269941328</v>
      </c>
    </row>
    <row r="5" spans="1:31" x14ac:dyDescent="0.3">
      <c r="A5" t="s">
        <v>304</v>
      </c>
      <c r="B5" t="s">
        <v>128</v>
      </c>
      <c r="C5" t="s">
        <v>0</v>
      </c>
      <c r="D5" t="s">
        <v>129</v>
      </c>
      <c r="E5" t="s">
        <v>123</v>
      </c>
      <c r="F5">
        <v>7.58985826744106</v>
      </c>
      <c r="G5">
        <v>9.6981522306191295</v>
      </c>
      <c r="H5">
        <v>12.469052867938901</v>
      </c>
      <c r="I5">
        <v>15.7017702781453</v>
      </c>
      <c r="J5">
        <v>18.010854142578399</v>
      </c>
      <c r="K5">
        <v>18.934487688351599</v>
      </c>
      <c r="L5">
        <v>19.881212072769198</v>
      </c>
      <c r="M5">
        <v>20.354574264978002</v>
      </c>
      <c r="N5">
        <v>23.6681096104396</v>
      </c>
      <c r="O5">
        <v>27.696724012216499</v>
      </c>
      <c r="P5">
        <v>28.782870051911299</v>
      </c>
      <c r="Q5">
        <v>36.385892329774599</v>
      </c>
      <c r="R5">
        <v>46.362669258906401</v>
      </c>
      <c r="S5">
        <v>57.785355887912303</v>
      </c>
      <c r="T5">
        <v>68.291784231169004</v>
      </c>
      <c r="U5">
        <v>73.9158135207947</v>
      </c>
      <c r="V5">
        <v>78.478518059115402</v>
      </c>
      <c r="W5">
        <v>81.315091001011098</v>
      </c>
      <c r="X5">
        <v>82.271739130434796</v>
      </c>
      <c r="Y5">
        <v>87</v>
      </c>
      <c r="Z5">
        <v>93</v>
      </c>
      <c r="AA5">
        <v>95</v>
      </c>
      <c r="AB5">
        <v>109</v>
      </c>
      <c r="AC5">
        <v>111.03738317757001</v>
      </c>
      <c r="AD5">
        <v>107.953011422638</v>
      </c>
      <c r="AE5">
        <v>106.924887504327</v>
      </c>
    </row>
    <row r="6" spans="1:31" x14ac:dyDescent="0.3">
      <c r="A6" t="s">
        <v>304</v>
      </c>
      <c r="B6" t="s">
        <v>130</v>
      </c>
      <c r="C6" t="s">
        <v>0</v>
      </c>
      <c r="D6" t="s">
        <v>131</v>
      </c>
      <c r="E6" t="s">
        <v>123</v>
      </c>
      <c r="F6">
        <v>0.16</v>
      </c>
      <c r="G6">
        <v>0.16</v>
      </c>
      <c r="H6">
        <v>0.48</v>
      </c>
      <c r="I6">
        <v>0.48</v>
      </c>
      <c r="J6">
        <v>0.48</v>
      </c>
      <c r="K6">
        <v>0.64</v>
      </c>
      <c r="L6">
        <v>0.64</v>
      </c>
      <c r="M6">
        <v>0.48</v>
      </c>
      <c r="N6">
        <v>0.48</v>
      </c>
      <c r="O6">
        <v>0.72</v>
      </c>
      <c r="P6">
        <v>0.96</v>
      </c>
      <c r="Q6">
        <v>0.96</v>
      </c>
      <c r="R6">
        <v>1.2</v>
      </c>
      <c r="S6">
        <v>1.5</v>
      </c>
      <c r="T6">
        <v>1.5</v>
      </c>
      <c r="U6">
        <v>1.5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 t="e">
        <v>#NUM!</v>
      </c>
    </row>
    <row r="7" spans="1:31" x14ac:dyDescent="0.3">
      <c r="A7" t="s">
        <v>304</v>
      </c>
      <c r="B7" t="s">
        <v>132</v>
      </c>
      <c r="C7" t="s">
        <v>0</v>
      </c>
      <c r="D7" t="s">
        <v>133</v>
      </c>
      <c r="E7" t="s">
        <v>123</v>
      </c>
      <c r="F7">
        <v>23.824912680202999</v>
      </c>
      <c r="G7">
        <v>37.958335456594703</v>
      </c>
      <c r="H7">
        <v>47.9693250275647</v>
      </c>
      <c r="I7">
        <v>63.526943955423498</v>
      </c>
      <c r="J7">
        <v>74.263892229579596</v>
      </c>
      <c r="K7">
        <v>78.819959237529304</v>
      </c>
      <c r="L7">
        <v>93.025882123363004</v>
      </c>
      <c r="M7">
        <v>90.676743685904398</v>
      </c>
      <c r="N7">
        <v>100.17169066872199</v>
      </c>
      <c r="O7">
        <v>109.010369257138</v>
      </c>
      <c r="P7">
        <v>113.749950529188</v>
      </c>
      <c r="Q7">
        <v>137.69730853533201</v>
      </c>
      <c r="R7">
        <v>171.83235560921699</v>
      </c>
      <c r="S7">
        <v>201.02395270113101</v>
      </c>
      <c r="T7">
        <v>201.02395270113101</v>
      </c>
      <c r="U7">
        <v>205.717118912052</v>
      </c>
      <c r="V7">
        <v>219.13345275414201</v>
      </c>
      <c r="W7">
        <v>221.99171518137001</v>
      </c>
      <c r="X7">
        <v>224.89990358986</v>
      </c>
      <c r="Y7">
        <v>222.96943231441099</v>
      </c>
      <c r="Z7">
        <v>230</v>
      </c>
      <c r="AA7">
        <v>242</v>
      </c>
      <c r="AB7">
        <v>295</v>
      </c>
      <c r="AC7">
        <v>288.938356164384</v>
      </c>
      <c r="AD7">
        <v>284.85442180163602</v>
      </c>
      <c r="AE7">
        <v>274.64458589476698</v>
      </c>
    </row>
    <row r="8" spans="1:31" x14ac:dyDescent="0.3">
      <c r="A8" t="s">
        <v>304</v>
      </c>
      <c r="B8" t="s">
        <v>134</v>
      </c>
      <c r="C8" t="s">
        <v>0</v>
      </c>
      <c r="D8" t="s">
        <v>135</v>
      </c>
      <c r="E8" t="s">
        <v>123</v>
      </c>
      <c r="F8">
        <v>0.71824677011024596</v>
      </c>
      <c r="G8">
        <v>1.07737015516537</v>
      </c>
      <c r="H8">
        <v>3.2321104654961101</v>
      </c>
      <c r="I8">
        <v>3.2321104654961101</v>
      </c>
      <c r="J8">
        <v>4.0401380818701398</v>
      </c>
      <c r="K8">
        <v>4.0401380818701398</v>
      </c>
      <c r="L8">
        <v>5.6561933146181902</v>
      </c>
      <c r="M8">
        <v>5.2211015211860197</v>
      </c>
      <c r="N8">
        <v>6.1703927068562097</v>
      </c>
      <c r="O8">
        <v>6.1703927068562097</v>
      </c>
      <c r="P8">
        <v>10.283987844760301</v>
      </c>
      <c r="Q8">
        <v>15.6966130262132</v>
      </c>
      <c r="R8">
        <v>39.532210584536799</v>
      </c>
      <c r="S8">
        <v>44.892510324813003</v>
      </c>
      <c r="T8">
        <v>44.892510324813003</v>
      </c>
      <c r="U8">
        <v>48.8304498269896</v>
      </c>
      <c r="V8">
        <v>46.117647058823501</v>
      </c>
      <c r="W8">
        <v>47.078431372548998</v>
      </c>
      <c r="X8">
        <v>47.078431372548998</v>
      </c>
      <c r="Y8">
        <v>49</v>
      </c>
      <c r="Z8">
        <v>59</v>
      </c>
      <c r="AA8">
        <v>48</v>
      </c>
      <c r="AB8">
        <v>9</v>
      </c>
      <c r="AC8">
        <v>10</v>
      </c>
      <c r="AD8">
        <v>10</v>
      </c>
      <c r="AE8">
        <v>9</v>
      </c>
    </row>
    <row r="9" spans="1:31" x14ac:dyDescent="0.3">
      <c r="A9" t="s">
        <v>304</v>
      </c>
      <c r="B9" t="s">
        <v>136</v>
      </c>
      <c r="C9" t="s">
        <v>0</v>
      </c>
      <c r="D9" t="s">
        <v>137</v>
      </c>
      <c r="E9" t="s">
        <v>123</v>
      </c>
      <c r="F9">
        <v>15.018914218164999</v>
      </c>
      <c r="G9">
        <v>17.048497220619801</v>
      </c>
      <c r="H9">
        <v>21.622484279810401</v>
      </c>
      <c r="I9">
        <v>24.649632078983899</v>
      </c>
      <c r="J9">
        <v>29.051352093088099</v>
      </c>
      <c r="K9">
        <v>29.498295971443302</v>
      </c>
      <c r="L9">
        <v>31.767395661554399</v>
      </c>
      <c r="M9">
        <v>33.189816362818</v>
      </c>
      <c r="N9">
        <v>35.6302440365546</v>
      </c>
      <c r="O9">
        <v>41.150422690105302</v>
      </c>
      <c r="P9">
        <v>42.753685911797703</v>
      </c>
      <c r="Q9">
        <v>51.523672765499803</v>
      </c>
      <c r="R9">
        <v>78.153885655533401</v>
      </c>
      <c r="S9">
        <v>92.6025031716825</v>
      </c>
      <c r="T9">
        <v>99.894038854492095</v>
      </c>
      <c r="U9">
        <v>102.23530539014401</v>
      </c>
      <c r="V9">
        <v>109.409712785944</v>
      </c>
      <c r="W9">
        <v>121.77776727478999</v>
      </c>
      <c r="X9">
        <v>137.24161073825499</v>
      </c>
      <c r="Y9">
        <v>143</v>
      </c>
      <c r="Z9">
        <v>171</v>
      </c>
      <c r="AA9">
        <v>213</v>
      </c>
      <c r="AB9">
        <v>270</v>
      </c>
      <c r="AC9">
        <v>299.10780669144998</v>
      </c>
      <c r="AD9">
        <v>308.23312960746</v>
      </c>
      <c r="AE9">
        <v>321.45765331999098</v>
      </c>
    </row>
    <row r="10" spans="1:31" x14ac:dyDescent="0.3">
      <c r="A10" t="s">
        <v>304</v>
      </c>
      <c r="B10" t="s">
        <v>138</v>
      </c>
      <c r="C10" t="s">
        <v>0</v>
      </c>
      <c r="D10" t="s">
        <v>139</v>
      </c>
      <c r="E10" t="s">
        <v>123</v>
      </c>
      <c r="F10">
        <v>16.270044792459</v>
      </c>
      <c r="G10">
        <v>18.651026957209101</v>
      </c>
      <c r="H10">
        <v>23.6246341457983</v>
      </c>
      <c r="I10">
        <v>27.060944567005301</v>
      </c>
      <c r="J10">
        <v>31.425613045554499</v>
      </c>
      <c r="K10">
        <v>31.8682273138018</v>
      </c>
      <c r="L10">
        <v>34.561316945953998</v>
      </c>
      <c r="M10">
        <v>36.429496240329897</v>
      </c>
      <c r="N10">
        <v>38.826173624562102</v>
      </c>
      <c r="O10">
        <v>45.297202561989202</v>
      </c>
      <c r="P10">
        <v>46.895927358294699</v>
      </c>
      <c r="Q10">
        <v>56.711354014681902</v>
      </c>
      <c r="R10">
        <v>85.645718307886995</v>
      </c>
      <c r="S10">
        <v>102.11604875171101</v>
      </c>
      <c r="T10">
        <v>111.598253278656</v>
      </c>
      <c r="U10">
        <v>117.061104837751</v>
      </c>
      <c r="V10">
        <v>125.997067039106</v>
      </c>
      <c r="W10">
        <v>142.10195530726301</v>
      </c>
      <c r="X10">
        <v>162.40223463687099</v>
      </c>
      <c r="Y10">
        <v>171</v>
      </c>
      <c r="Z10">
        <v>202</v>
      </c>
      <c r="AA10">
        <v>245</v>
      </c>
      <c r="AB10">
        <v>302</v>
      </c>
      <c r="AC10">
        <v>333.10299003322302</v>
      </c>
      <c r="AD10">
        <v>344.240172070808</v>
      </c>
      <c r="AE10">
        <v>357.441122622195</v>
      </c>
    </row>
    <row r="11" spans="1:31" x14ac:dyDescent="0.3">
      <c r="A11" t="s">
        <v>304</v>
      </c>
      <c r="B11" t="s">
        <v>140</v>
      </c>
      <c r="C11" t="s">
        <v>0</v>
      </c>
      <c r="D11" t="s">
        <v>141</v>
      </c>
      <c r="E11" t="s">
        <v>123</v>
      </c>
      <c r="F11">
        <v>1.29396334966972</v>
      </c>
      <c r="G11">
        <v>1.6174541870871499</v>
      </c>
      <c r="H11">
        <v>2.0218177338589398</v>
      </c>
      <c r="I11">
        <v>2.4261812806307299</v>
      </c>
      <c r="J11">
        <v>2.4261812806307299</v>
      </c>
      <c r="K11">
        <v>2.4261812806307299</v>
      </c>
      <c r="L11">
        <v>2.8305448274025098</v>
      </c>
      <c r="M11">
        <v>3.2349083741742999</v>
      </c>
      <c r="N11">
        <v>3.2349083741742999</v>
      </c>
      <c r="O11">
        <v>4.1591679096526697</v>
      </c>
      <c r="P11">
        <v>4.1591679096526697</v>
      </c>
      <c r="Q11">
        <v>5.1989598870658398</v>
      </c>
      <c r="R11">
        <v>7.5096087257617699</v>
      </c>
      <c r="S11">
        <v>9.5576838327877098</v>
      </c>
      <c r="T11">
        <v>11.763303178815599</v>
      </c>
      <c r="U11">
        <v>14.900184026499799</v>
      </c>
      <c r="V11">
        <v>16.6531468531469</v>
      </c>
      <c r="W11">
        <v>20.353846153846199</v>
      </c>
      <c r="X11">
        <v>25.2</v>
      </c>
      <c r="Y11">
        <v>28</v>
      </c>
      <c r="Z11">
        <v>31</v>
      </c>
      <c r="AA11">
        <v>32</v>
      </c>
      <c r="AB11">
        <v>32</v>
      </c>
      <c r="AC11">
        <v>34</v>
      </c>
      <c r="AD11">
        <v>36</v>
      </c>
      <c r="AE11">
        <v>36</v>
      </c>
    </row>
    <row r="12" spans="1:31" x14ac:dyDescent="0.3">
      <c r="A12" t="s">
        <v>304</v>
      </c>
      <c r="B12" t="s">
        <v>142</v>
      </c>
      <c r="C12" t="s">
        <v>0</v>
      </c>
      <c r="D12" t="s">
        <v>143</v>
      </c>
      <c r="E12" t="s">
        <v>123</v>
      </c>
      <c r="F12">
        <v>4.1571337668617003</v>
      </c>
      <c r="G12">
        <v>5.4362518489729901</v>
      </c>
      <c r="H12">
        <v>7.3549289721399296</v>
      </c>
      <c r="I12">
        <v>9.8065719628532406</v>
      </c>
      <c r="J12">
        <v>13.075429283804301</v>
      </c>
      <c r="K12">
        <v>15.3828579809463</v>
      </c>
      <c r="L12">
        <v>16.960587004632998</v>
      </c>
      <c r="M12">
        <v>17.374259858404599</v>
      </c>
      <c r="N12">
        <v>19.442624127262299</v>
      </c>
      <c r="O12">
        <v>22.899090638775601</v>
      </c>
      <c r="P12">
        <v>25.6469815154286</v>
      </c>
      <c r="Q12">
        <v>33.045149260263798</v>
      </c>
      <c r="R12">
        <v>40.388515762544699</v>
      </c>
      <c r="S12">
        <v>47.731882264825501</v>
      </c>
      <c r="T12">
        <v>53.868838556017401</v>
      </c>
      <c r="U12">
        <v>56.082626441881096</v>
      </c>
      <c r="V12">
        <v>58.593788819875797</v>
      </c>
      <c r="W12">
        <v>63.171428571428599</v>
      </c>
      <c r="X12">
        <v>64.1142857142857</v>
      </c>
      <c r="Y12">
        <v>66</v>
      </c>
      <c r="Z12">
        <v>70</v>
      </c>
      <c r="AA12">
        <v>70</v>
      </c>
      <c r="AB12">
        <v>67</v>
      </c>
      <c r="AC12">
        <v>66</v>
      </c>
      <c r="AD12">
        <v>59.8125</v>
      </c>
      <c r="AE12">
        <v>59.8125</v>
      </c>
    </row>
    <row r="13" spans="1:31" x14ac:dyDescent="0.3">
      <c r="A13" t="s">
        <v>304</v>
      </c>
      <c r="B13" t="s">
        <v>144</v>
      </c>
      <c r="C13" t="s">
        <v>0</v>
      </c>
      <c r="D13" t="s">
        <v>145</v>
      </c>
      <c r="E13" t="s">
        <v>123</v>
      </c>
      <c r="F13">
        <v>4.8675463822140701</v>
      </c>
      <c r="G13">
        <v>5.9908263165711597</v>
      </c>
      <c r="H13">
        <v>7.4885328957139503</v>
      </c>
      <c r="I13">
        <v>9.8533327575183591</v>
      </c>
      <c r="J13">
        <v>11.495554883771399</v>
      </c>
      <c r="K13">
        <v>13.264101788967</v>
      </c>
      <c r="L13">
        <v>15.032648694162599</v>
      </c>
      <c r="M13">
        <v>15.9437183119907</v>
      </c>
      <c r="N13">
        <v>16.399253120904699</v>
      </c>
      <c r="O13">
        <v>20.147653834254299</v>
      </c>
      <c r="P13">
        <v>22.2140798685368</v>
      </c>
      <c r="Q13">
        <v>33.5920232158362</v>
      </c>
      <c r="R13">
        <v>53.040036656583403</v>
      </c>
      <c r="S13">
        <v>64.974044904314695</v>
      </c>
      <c r="T13">
        <v>90.3662003841618</v>
      </c>
      <c r="U13">
        <v>112.95775048020199</v>
      </c>
      <c r="V13">
        <v>120.30459603989</v>
      </c>
      <c r="W13">
        <v>146.08415233415201</v>
      </c>
      <c r="X13">
        <v>143.18181818181799</v>
      </c>
      <c r="Y13">
        <v>147</v>
      </c>
      <c r="Z13">
        <v>151</v>
      </c>
      <c r="AA13">
        <v>153</v>
      </c>
      <c r="AB13">
        <v>153</v>
      </c>
      <c r="AC13">
        <v>162</v>
      </c>
      <c r="AD13">
        <v>170.15094339622601</v>
      </c>
      <c r="AE13">
        <v>172.200954762446</v>
      </c>
    </row>
    <row r="14" spans="1:31" x14ac:dyDescent="0.3">
      <c r="A14" t="s">
        <v>304</v>
      </c>
      <c r="B14" t="s">
        <v>146</v>
      </c>
      <c r="C14" t="s">
        <v>0</v>
      </c>
      <c r="D14" t="s">
        <v>147</v>
      </c>
      <c r="E14" t="s">
        <v>123</v>
      </c>
      <c r="F14">
        <v>20.333859821828899</v>
      </c>
      <c r="G14">
        <v>23.922188025680999</v>
      </c>
      <c r="H14">
        <v>30.108960790943399</v>
      </c>
      <c r="I14">
        <v>39.141649028226396</v>
      </c>
      <c r="J14">
        <v>53.058679793818001</v>
      </c>
      <c r="K14">
        <v>62.867847486792698</v>
      </c>
      <c r="L14">
        <v>74.992360930674195</v>
      </c>
      <c r="M14">
        <v>72.231905927091105</v>
      </c>
      <c r="N14">
        <v>74.108059327794805</v>
      </c>
      <c r="O14">
        <v>81.807597959253997</v>
      </c>
      <c r="P14">
        <v>89.010782685226005</v>
      </c>
      <c r="Q14">
        <v>101.726608783115</v>
      </c>
      <c r="R14">
        <v>110.156990726468</v>
      </c>
      <c r="S14">
        <v>127.449076480041</v>
      </c>
      <c r="T14">
        <v>126.74102605515201</v>
      </c>
      <c r="U14">
        <v>131.26749127140701</v>
      </c>
      <c r="V14">
        <v>139.039908517741</v>
      </c>
      <c r="W14">
        <v>141.78411723848501</v>
      </c>
      <c r="X14">
        <v>135.211343591668</v>
      </c>
      <c r="Y14">
        <v>136.143835616438</v>
      </c>
      <c r="Z14">
        <v>143</v>
      </c>
      <c r="AA14">
        <v>144</v>
      </c>
      <c r="AB14">
        <v>150</v>
      </c>
      <c r="AC14">
        <v>150</v>
      </c>
      <c r="AD14">
        <v>150</v>
      </c>
      <c r="AE14">
        <v>155.172413793103</v>
      </c>
    </row>
    <row r="15" spans="1:31" x14ac:dyDescent="0.3">
      <c r="A15" t="s">
        <v>304</v>
      </c>
      <c r="B15" t="s">
        <v>148</v>
      </c>
      <c r="C15" t="s">
        <v>0</v>
      </c>
      <c r="D15" t="s">
        <v>149</v>
      </c>
      <c r="E15" t="s">
        <v>123</v>
      </c>
      <c r="F15">
        <v>22.791473360652901</v>
      </c>
      <c r="G15">
        <v>27.589678278685099</v>
      </c>
      <c r="H15">
        <v>35.001830652063198</v>
      </c>
      <c r="I15">
        <v>45.2462688916915</v>
      </c>
      <c r="J15">
        <v>60.3283585222553</v>
      </c>
      <c r="K15">
        <v>70.974539437947499</v>
      </c>
      <c r="L15">
        <v>83.919581222227194</v>
      </c>
      <c r="M15">
        <v>80.270903777782493</v>
      </c>
      <c r="N15">
        <v>83.054865758514893</v>
      </c>
      <c r="O15">
        <v>92.124075237892896</v>
      </c>
      <c r="P15">
        <v>100.31288192570599</v>
      </c>
      <c r="Q15">
        <v>113.511945336983</v>
      </c>
      <c r="R15">
        <v>124.136216082809</v>
      </c>
      <c r="S15">
        <v>143.77000536121199</v>
      </c>
      <c r="T15">
        <v>145.86374330336599</v>
      </c>
      <c r="U15">
        <v>151.84789687478599</v>
      </c>
      <c r="V15">
        <v>161.284771821806</v>
      </c>
      <c r="W15">
        <v>165.840838822422</v>
      </c>
      <c r="X15">
        <v>161.15606936416199</v>
      </c>
      <c r="Y15">
        <v>161.15606936416199</v>
      </c>
      <c r="Z15">
        <v>170</v>
      </c>
      <c r="AA15">
        <v>172</v>
      </c>
      <c r="AB15">
        <v>180</v>
      </c>
      <c r="AC15">
        <v>180</v>
      </c>
      <c r="AD15">
        <v>176.914285714286</v>
      </c>
      <c r="AE15">
        <v>182.08721804511299</v>
      </c>
    </row>
    <row r="16" spans="1:31" x14ac:dyDescent="0.3">
      <c r="A16" t="s">
        <v>304</v>
      </c>
      <c r="B16" t="s">
        <v>150</v>
      </c>
      <c r="C16" t="s">
        <v>0</v>
      </c>
      <c r="D16" t="s">
        <v>151</v>
      </c>
      <c r="E16" t="s">
        <v>123</v>
      </c>
      <c r="F16">
        <v>2.4752514257254301</v>
      </c>
      <c r="G16">
        <v>3.7128771385881398</v>
      </c>
      <c r="H16">
        <v>4.9505028514508602</v>
      </c>
      <c r="I16">
        <v>6.1881285643135699</v>
      </c>
      <c r="J16">
        <v>7.4257542771762903</v>
      </c>
      <c r="K16">
        <v>8.2993724274323206</v>
      </c>
      <c r="L16">
        <v>9.1729905776883491</v>
      </c>
      <c r="M16">
        <v>8.2993724274323206</v>
      </c>
      <c r="N16">
        <v>9.1729905776883491</v>
      </c>
      <c r="O16">
        <v>10.548939164341601</v>
      </c>
      <c r="P16">
        <v>11.553600037136</v>
      </c>
      <c r="Q16">
        <v>12.0787636751877</v>
      </c>
      <c r="R16">
        <v>14.274902525221799</v>
      </c>
      <c r="S16">
        <v>16.654052946092101</v>
      </c>
      <c r="T16">
        <v>19.2162149377986</v>
      </c>
      <c r="U16">
        <v>20.6396382665244</v>
      </c>
      <c r="V16">
        <v>22.2908093278464</v>
      </c>
      <c r="W16">
        <v>24.074074074074101</v>
      </c>
      <c r="X16">
        <v>25.925925925925899</v>
      </c>
      <c r="Y16">
        <v>25</v>
      </c>
      <c r="Z16">
        <v>27</v>
      </c>
      <c r="AA16">
        <v>28</v>
      </c>
      <c r="AB16">
        <v>30</v>
      </c>
      <c r="AC16">
        <v>30</v>
      </c>
      <c r="AD16">
        <v>26.8965517241379</v>
      </c>
      <c r="AE16">
        <v>26.8965517241379</v>
      </c>
    </row>
    <row r="17" spans="1:31" x14ac:dyDescent="0.3">
      <c r="A17" t="s">
        <v>304</v>
      </c>
      <c r="B17" t="s">
        <v>152</v>
      </c>
      <c r="C17" t="s">
        <v>0</v>
      </c>
      <c r="D17" t="s">
        <v>153</v>
      </c>
      <c r="E17" t="s">
        <v>123</v>
      </c>
      <c r="F17">
        <v>5.4643705765446704</v>
      </c>
      <c r="G17">
        <v>7.74119165010495</v>
      </c>
      <c r="H17">
        <v>10.473376938377299</v>
      </c>
      <c r="I17">
        <v>12.7501980119376</v>
      </c>
      <c r="J17">
        <v>14.1162906560737</v>
      </c>
      <c r="K17">
        <v>15.998462743550199</v>
      </c>
      <c r="L17">
        <v>16.968066546189601</v>
      </c>
      <c r="M17">
        <v>16.968066546189601</v>
      </c>
      <c r="N17">
        <v>19.392076052788202</v>
      </c>
      <c r="O17">
        <v>20.964406543554801</v>
      </c>
      <c r="P17">
        <v>22.097617708071201</v>
      </c>
      <c r="Q17">
        <v>26.630462366137099</v>
      </c>
      <c r="R17">
        <v>31.9565548393646</v>
      </c>
      <c r="S17">
        <v>38.614170430898902</v>
      </c>
      <c r="T17">
        <v>48.625251653724497</v>
      </c>
      <c r="U17">
        <v>48.625251653724497</v>
      </c>
      <c r="V17">
        <v>50.393442622950801</v>
      </c>
      <c r="W17">
        <v>53.245901639344297</v>
      </c>
      <c r="X17">
        <v>53.245901639344297</v>
      </c>
      <c r="Y17">
        <v>58</v>
      </c>
      <c r="Z17">
        <v>62</v>
      </c>
      <c r="AA17">
        <v>64</v>
      </c>
      <c r="AB17">
        <v>66</v>
      </c>
      <c r="AC17">
        <v>69.09375</v>
      </c>
      <c r="AD17">
        <v>67.03125</v>
      </c>
      <c r="AE17">
        <v>68.0625</v>
      </c>
    </row>
    <row r="18" spans="1:31" x14ac:dyDescent="0.3">
      <c r="A18" t="s">
        <v>304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0.25951557093425598</v>
      </c>
      <c r="H18">
        <v>0.51903114186851196</v>
      </c>
      <c r="I18">
        <v>0.77854671280276799</v>
      </c>
      <c r="J18">
        <v>1.16782006920415</v>
      </c>
      <c r="K18">
        <v>1.16782006920415</v>
      </c>
      <c r="L18">
        <v>1.16782006920415</v>
      </c>
      <c r="M18">
        <v>1.16782006920415</v>
      </c>
      <c r="N18">
        <v>1.55709342560554</v>
      </c>
      <c r="O18">
        <v>2.0761245674740501</v>
      </c>
      <c r="P18">
        <v>2.0761245674740501</v>
      </c>
      <c r="Q18">
        <v>3.63321799307958</v>
      </c>
      <c r="R18">
        <v>5.1903114186851198</v>
      </c>
      <c r="S18">
        <v>6.74740484429066</v>
      </c>
      <c r="T18">
        <v>10.7958477508651</v>
      </c>
      <c r="U18">
        <v>12.235294117647101</v>
      </c>
      <c r="V18">
        <v>13.109243697479</v>
      </c>
      <c r="W18">
        <v>14.8571428571429</v>
      </c>
      <c r="X18">
        <v>13</v>
      </c>
      <c r="Y18">
        <v>13</v>
      </c>
      <c r="Z18">
        <v>11</v>
      </c>
      <c r="AA18">
        <v>11</v>
      </c>
      <c r="AB18">
        <v>8</v>
      </c>
      <c r="AC18">
        <v>8</v>
      </c>
      <c r="AD18">
        <v>0</v>
      </c>
      <c r="AE18" t="e">
        <v>#NUM!</v>
      </c>
    </row>
    <row r="19" spans="1:31" x14ac:dyDescent="0.3">
      <c r="A19" t="s">
        <v>304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0.39049269818500598</v>
      </c>
      <c r="H19">
        <v>0.78098539637001196</v>
      </c>
      <c r="I19">
        <v>1.1714780945550201</v>
      </c>
      <c r="J19">
        <v>1.95246349092503</v>
      </c>
      <c r="K19">
        <v>1.5619707927400199</v>
      </c>
      <c r="L19">
        <v>1.95246349092503</v>
      </c>
      <c r="M19">
        <v>1.95246349092503</v>
      </c>
      <c r="N19">
        <v>2.3429561891100401</v>
      </c>
      <c r="O19">
        <v>2.3429561891100401</v>
      </c>
      <c r="P19">
        <v>2.3429561891100401</v>
      </c>
      <c r="Q19">
        <v>4.2173211403980604</v>
      </c>
      <c r="R19">
        <v>6.62721893491124</v>
      </c>
      <c r="S19">
        <v>8.6153846153846203</v>
      </c>
      <c r="T19">
        <v>8.6153846153846203</v>
      </c>
      <c r="U19">
        <v>9.3333333333333304</v>
      </c>
      <c r="V19">
        <v>11.2</v>
      </c>
      <c r="W19">
        <v>10.266666666666699</v>
      </c>
      <c r="X19">
        <v>12.133333333333301</v>
      </c>
      <c r="Y19">
        <v>14</v>
      </c>
      <c r="Z19">
        <v>16</v>
      </c>
      <c r="AA19">
        <v>18</v>
      </c>
      <c r="AB19">
        <v>19</v>
      </c>
      <c r="AC19">
        <v>20</v>
      </c>
      <c r="AD19">
        <v>18</v>
      </c>
      <c r="AE19">
        <v>18</v>
      </c>
    </row>
    <row r="20" spans="1:31" x14ac:dyDescent="0.3">
      <c r="A20" t="s">
        <v>304</v>
      </c>
      <c r="B20" t="s">
        <v>158</v>
      </c>
      <c r="C20" t="s">
        <v>0</v>
      </c>
      <c r="D20" t="s">
        <v>159</v>
      </c>
      <c r="E20" t="s">
        <v>123</v>
      </c>
      <c r="F20">
        <v>18.197496407542101</v>
      </c>
      <c r="G20">
        <v>20.571082895482402</v>
      </c>
      <c r="H20">
        <v>26.218046827575499</v>
      </c>
      <c r="I20">
        <v>29.6010206117788</v>
      </c>
      <c r="J20">
        <v>33.462023300271703</v>
      </c>
      <c r="K20">
        <v>37.424631322672298</v>
      </c>
      <c r="L20">
        <v>40.097819274291801</v>
      </c>
      <c r="M20">
        <v>41.941397171960404</v>
      </c>
      <c r="N20">
        <v>46.653913708135697</v>
      </c>
      <c r="O20">
        <v>56.373479063997301</v>
      </c>
      <c r="P20">
        <v>65.682860927776701</v>
      </c>
      <c r="Q20">
        <v>82.911152318668897</v>
      </c>
      <c r="R20">
        <v>100.065183832876</v>
      </c>
      <c r="S20">
        <v>122.30189135129299</v>
      </c>
      <c r="T20">
        <v>144.735966096205</v>
      </c>
      <c r="U20">
        <v>150.927879084278</v>
      </c>
      <c r="V20">
        <v>148.264445923967</v>
      </c>
      <c r="W20">
        <v>143.57253307827199</v>
      </c>
      <c r="X20">
        <v>147.42682926829301</v>
      </c>
      <c r="Y20">
        <v>157</v>
      </c>
      <c r="Z20">
        <v>172</v>
      </c>
      <c r="AA20">
        <v>195</v>
      </c>
      <c r="AB20">
        <v>205</v>
      </c>
      <c r="AC20">
        <v>213.03921568627501</v>
      </c>
      <c r="AD20">
        <v>213.03921568627501</v>
      </c>
      <c r="AE20">
        <v>229.34843793976901</v>
      </c>
    </row>
    <row r="21" spans="1:31" x14ac:dyDescent="0.3">
      <c r="A21" t="s">
        <v>304</v>
      </c>
      <c r="B21" t="s">
        <v>160</v>
      </c>
      <c r="C21" t="s">
        <v>0</v>
      </c>
      <c r="D21" t="s">
        <v>161</v>
      </c>
      <c r="E21" t="s">
        <v>123</v>
      </c>
      <c r="F21">
        <v>19.366315825413299</v>
      </c>
      <c r="G21">
        <v>22.1329323719009</v>
      </c>
      <c r="H21">
        <v>27.766769702930201</v>
      </c>
      <c r="I21">
        <v>31.973856021555999</v>
      </c>
      <c r="J21">
        <v>36.237036824430099</v>
      </c>
      <c r="K21">
        <v>40.166354070452698</v>
      </c>
      <c r="L21">
        <v>43.256073614333602</v>
      </c>
      <c r="M21">
        <v>45.556928593819499</v>
      </c>
      <c r="N21">
        <v>50.723178228170099</v>
      </c>
      <c r="O21">
        <v>60.384735985916798</v>
      </c>
      <c r="P21">
        <v>70.107701949750904</v>
      </c>
      <c r="Q21">
        <v>88.696865345518205</v>
      </c>
      <c r="R21">
        <v>109.035000074427</v>
      </c>
      <c r="S21">
        <v>133.84535937279901</v>
      </c>
      <c r="T21">
        <v>159.031314093487</v>
      </c>
      <c r="U21">
        <v>167.52327746741199</v>
      </c>
      <c r="V21">
        <v>167.52327746741199</v>
      </c>
      <c r="W21">
        <v>167.52327746741199</v>
      </c>
      <c r="X21">
        <v>173.333333333333</v>
      </c>
      <c r="Y21">
        <v>182</v>
      </c>
      <c r="Z21">
        <v>199</v>
      </c>
      <c r="AA21">
        <v>225</v>
      </c>
      <c r="AB21">
        <v>236</v>
      </c>
      <c r="AC21">
        <v>244.03404255319199</v>
      </c>
      <c r="AD21">
        <v>242.00886377681601</v>
      </c>
      <c r="AE21">
        <v>257.261523258549</v>
      </c>
    </row>
    <row r="22" spans="1:31" x14ac:dyDescent="0.3">
      <c r="A22" t="s">
        <v>304</v>
      </c>
      <c r="B22" t="s">
        <v>162</v>
      </c>
      <c r="C22" t="s">
        <v>0</v>
      </c>
      <c r="D22" t="s">
        <v>163</v>
      </c>
      <c r="E22" t="s">
        <v>123</v>
      </c>
      <c r="F22">
        <v>1.1921134421134401</v>
      </c>
      <c r="G22">
        <v>1.5894845894845899</v>
      </c>
      <c r="H22">
        <v>1.5894845894845899</v>
      </c>
      <c r="I22">
        <v>2.3842268842268801</v>
      </c>
      <c r="J22">
        <v>2.7815980315980302</v>
      </c>
      <c r="K22">
        <v>2.7815980315980302</v>
      </c>
      <c r="L22">
        <v>3.1789691789691799</v>
      </c>
      <c r="M22">
        <v>3.6331076331076302</v>
      </c>
      <c r="N22">
        <v>4.0872460872460898</v>
      </c>
      <c r="O22">
        <v>4.0872460872460898</v>
      </c>
      <c r="P22">
        <v>4.5413845413845397</v>
      </c>
      <c r="Q22">
        <v>5.9037999037999001</v>
      </c>
      <c r="R22">
        <v>8.8556998556998501</v>
      </c>
      <c r="S22">
        <v>11.3858998144712</v>
      </c>
      <c r="T22">
        <v>14.064935064935099</v>
      </c>
      <c r="U22">
        <v>16.285714285714299</v>
      </c>
      <c r="V22">
        <v>19</v>
      </c>
      <c r="W22">
        <v>24</v>
      </c>
      <c r="X22">
        <v>26</v>
      </c>
      <c r="Y22">
        <v>25</v>
      </c>
      <c r="Z22">
        <v>27</v>
      </c>
      <c r="AA22">
        <v>30</v>
      </c>
      <c r="AB22">
        <v>31</v>
      </c>
      <c r="AC22">
        <v>31</v>
      </c>
      <c r="AD22">
        <v>29</v>
      </c>
      <c r="AE22">
        <v>28</v>
      </c>
    </row>
    <row r="23" spans="1:31" x14ac:dyDescent="0.3">
      <c r="A23" t="s">
        <v>304</v>
      </c>
      <c r="B23" t="s">
        <v>164</v>
      </c>
      <c r="C23" t="s">
        <v>0</v>
      </c>
      <c r="D23" t="s">
        <v>165</v>
      </c>
      <c r="E23" t="s">
        <v>123</v>
      </c>
      <c r="F23">
        <v>1.0142753149250501</v>
      </c>
      <c r="G23">
        <v>1.3523670865667301</v>
      </c>
      <c r="H23">
        <v>2.0285506298500899</v>
      </c>
      <c r="I23">
        <v>2.3666424014917702</v>
      </c>
      <c r="J23">
        <v>3.3809177164168198</v>
      </c>
      <c r="K23">
        <v>4.0571012597001799</v>
      </c>
      <c r="L23">
        <v>4.7947560341911304</v>
      </c>
      <c r="M23">
        <v>5.1635834214366003</v>
      </c>
      <c r="N23">
        <v>6.7523783203401697</v>
      </c>
      <c r="O23">
        <v>9.0031710937868894</v>
      </c>
      <c r="P23">
        <v>10.898575534584101</v>
      </c>
      <c r="Q23">
        <v>17.834032692955802</v>
      </c>
      <c r="R23">
        <v>21.617009324794999</v>
      </c>
      <c r="S23">
        <v>26.558040027605202</v>
      </c>
      <c r="T23">
        <v>29.353623188405798</v>
      </c>
      <c r="U23">
        <v>32.364251207729502</v>
      </c>
      <c r="V23">
        <v>36.6227053140097</v>
      </c>
      <c r="W23">
        <v>40.195652173912997</v>
      </c>
      <c r="X23">
        <v>42.065217391304401</v>
      </c>
      <c r="Y23">
        <v>43</v>
      </c>
      <c r="Z23">
        <v>45</v>
      </c>
      <c r="AA23">
        <v>47</v>
      </c>
      <c r="AB23">
        <v>48</v>
      </c>
      <c r="AC23">
        <v>48</v>
      </c>
      <c r="AD23">
        <v>44</v>
      </c>
      <c r="AE23">
        <v>42</v>
      </c>
    </row>
    <row r="24" spans="1:31" x14ac:dyDescent="0.3">
      <c r="A24" t="s">
        <v>304</v>
      </c>
      <c r="B24" t="s">
        <v>166</v>
      </c>
      <c r="C24" t="s">
        <v>0</v>
      </c>
      <c r="D24" t="s">
        <v>167</v>
      </c>
      <c r="E24" t="s">
        <v>123</v>
      </c>
      <c r="F24">
        <v>29.2196237177447</v>
      </c>
      <c r="G24">
        <v>35.142520417287599</v>
      </c>
      <c r="H24">
        <v>48.068504938588802</v>
      </c>
      <c r="I24">
        <v>63.248032813932603</v>
      </c>
      <c r="J24">
        <v>80.888640605573698</v>
      </c>
      <c r="K24">
        <v>90.273510510087704</v>
      </c>
      <c r="L24">
        <v>99.300861561096497</v>
      </c>
      <c r="M24">
        <v>98.836838843521306</v>
      </c>
      <c r="N24">
        <v>111.191443698961</v>
      </c>
      <c r="O24">
        <v>123.437197410301</v>
      </c>
      <c r="P24">
        <v>133.942490806922</v>
      </c>
      <c r="Q24">
        <v>141.565234186178</v>
      </c>
      <c r="R24">
        <v>161.211021787525</v>
      </c>
      <c r="S24">
        <v>192.263964508893</v>
      </c>
      <c r="T24">
        <v>206.88479831185001</v>
      </c>
      <c r="U24">
        <v>223.40411680823399</v>
      </c>
      <c r="V24">
        <v>228.80905511811</v>
      </c>
      <c r="W24">
        <v>242.15625</v>
      </c>
      <c r="X24">
        <v>242.15625</v>
      </c>
      <c r="Y24">
        <v>246</v>
      </c>
      <c r="Z24">
        <v>248</v>
      </c>
      <c r="AA24">
        <v>254</v>
      </c>
      <c r="AB24">
        <v>245</v>
      </c>
      <c r="AC24">
        <v>240.98360655737699</v>
      </c>
      <c r="AD24">
        <v>231.870781099325</v>
      </c>
      <c r="AE24">
        <v>218.70781099325001</v>
      </c>
    </row>
    <row r="25" spans="1:31" x14ac:dyDescent="0.3">
      <c r="A25" t="s">
        <v>304</v>
      </c>
      <c r="B25" t="s">
        <v>168</v>
      </c>
      <c r="C25" t="s">
        <v>0</v>
      </c>
      <c r="D25" t="s">
        <v>169</v>
      </c>
      <c r="E25" t="s">
        <v>123</v>
      </c>
      <c r="F25">
        <v>1.69141374256973</v>
      </c>
      <c r="G25">
        <v>1.69141374256973</v>
      </c>
      <c r="H25">
        <v>2.36797923959762</v>
      </c>
      <c r="I25">
        <v>3.15730565279683</v>
      </c>
      <c r="J25">
        <v>3.9466320659960399</v>
      </c>
      <c r="K25">
        <v>4.3851467399955997</v>
      </c>
      <c r="L25">
        <v>4.8236614139951604</v>
      </c>
      <c r="M25">
        <v>4.3851467399955997</v>
      </c>
      <c r="N25">
        <v>4.8236614139951604</v>
      </c>
      <c r="O25">
        <v>5.2621760879947201</v>
      </c>
      <c r="P25">
        <v>5.74055573235787</v>
      </c>
      <c r="Q25">
        <v>7.8280305441243696</v>
      </c>
      <c r="R25">
        <v>8.9463206218564206</v>
      </c>
      <c r="S25">
        <v>15.975572539029301</v>
      </c>
      <c r="T25">
        <v>17.427897315304701</v>
      </c>
      <c r="U25">
        <v>20.596605918087398</v>
      </c>
      <c r="V25">
        <v>25.074128943758598</v>
      </c>
      <c r="W25">
        <v>26.038518518518501</v>
      </c>
      <c r="X25">
        <v>25.037037037036999</v>
      </c>
      <c r="Y25">
        <v>26</v>
      </c>
      <c r="Z25">
        <v>26</v>
      </c>
      <c r="AA25">
        <v>27</v>
      </c>
      <c r="AB25">
        <v>25</v>
      </c>
      <c r="AC25">
        <v>24</v>
      </c>
      <c r="AD25">
        <v>23</v>
      </c>
      <c r="AE25">
        <v>22</v>
      </c>
    </row>
    <row r="26" spans="1:31" x14ac:dyDescent="0.3">
      <c r="A26" t="s">
        <v>304</v>
      </c>
      <c r="B26" t="s">
        <v>170</v>
      </c>
      <c r="C26" t="s">
        <v>0</v>
      </c>
      <c r="D26" t="s">
        <v>171</v>
      </c>
      <c r="E26" t="s">
        <v>123</v>
      </c>
      <c r="F26">
        <v>15.7375427072569</v>
      </c>
      <c r="G26">
        <v>19.772810068091999</v>
      </c>
      <c r="H26">
        <v>28.011480929796999</v>
      </c>
      <c r="I26">
        <v>36.924224862005097</v>
      </c>
      <c r="J26">
        <v>46.046680416147503</v>
      </c>
      <c r="K26">
        <v>50.9642870625322</v>
      </c>
      <c r="L26">
        <v>55.474400961871403</v>
      </c>
      <c r="M26">
        <v>55.474400961871403</v>
      </c>
      <c r="N26">
        <v>61.164083111806903</v>
      </c>
      <c r="O26">
        <v>67.035835090540402</v>
      </c>
      <c r="P26">
        <v>72.273009706988802</v>
      </c>
      <c r="Q26">
        <v>74.446634059078704</v>
      </c>
      <c r="R26">
        <v>82.526113724405107</v>
      </c>
      <c r="S26">
        <v>91.7690384615385</v>
      </c>
      <c r="T26">
        <v>96.138992673992703</v>
      </c>
      <c r="U26">
        <v>101.61031746031701</v>
      </c>
      <c r="V26">
        <v>97.1142857142857</v>
      </c>
      <c r="W26">
        <v>99.970588235294102</v>
      </c>
      <c r="X26">
        <v>99</v>
      </c>
      <c r="Y26">
        <v>99</v>
      </c>
      <c r="Z26">
        <v>98</v>
      </c>
      <c r="AA26">
        <v>100</v>
      </c>
      <c r="AB26">
        <v>96</v>
      </c>
      <c r="AC26">
        <v>95</v>
      </c>
      <c r="AD26">
        <v>90.957446808510596</v>
      </c>
      <c r="AE26">
        <v>84.893617021276597</v>
      </c>
    </row>
    <row r="27" spans="1:31" x14ac:dyDescent="0.3">
      <c r="A27" t="s">
        <v>304</v>
      </c>
      <c r="B27" t="s">
        <v>172</v>
      </c>
      <c r="C27" t="s">
        <v>0</v>
      </c>
      <c r="D27" t="s">
        <v>173</v>
      </c>
      <c r="E27" t="s">
        <v>123</v>
      </c>
      <c r="F27">
        <v>11.7300531673054</v>
      </c>
      <c r="G27">
        <v>13.685062028522999</v>
      </c>
      <c r="H27">
        <v>17.710080272206199</v>
      </c>
      <c r="I27">
        <v>23.1917717850319</v>
      </c>
      <c r="J27">
        <v>30.9223623800425</v>
      </c>
      <c r="K27">
        <v>34.955713994830703</v>
      </c>
      <c r="L27">
        <v>39.041446799421301</v>
      </c>
      <c r="M27">
        <v>39.041446799421301</v>
      </c>
      <c r="N27">
        <v>45.307358014143198</v>
      </c>
      <c r="O27">
        <v>51.281954675348899</v>
      </c>
      <c r="P27">
        <v>56.089637926162901</v>
      </c>
      <c r="Q27">
        <v>59.389028392407802</v>
      </c>
      <c r="R27">
        <v>69.869445167538601</v>
      </c>
      <c r="S27">
        <v>84.508757488356196</v>
      </c>
      <c r="T27">
        <v>93.327062617575905</v>
      </c>
      <c r="U27">
        <v>101.23613572076</v>
      </c>
      <c r="V27">
        <v>106.659500134373</v>
      </c>
      <c r="W27">
        <v>116.18266978922701</v>
      </c>
      <c r="X27">
        <v>118.119047619048</v>
      </c>
      <c r="Y27">
        <v>121</v>
      </c>
      <c r="Z27">
        <v>124</v>
      </c>
      <c r="AA27">
        <v>127</v>
      </c>
      <c r="AB27">
        <v>124</v>
      </c>
      <c r="AC27">
        <v>121.98373983739801</v>
      </c>
      <c r="AD27">
        <v>117.917615176152</v>
      </c>
      <c r="AE27">
        <v>111.818428184282</v>
      </c>
    </row>
    <row r="28" spans="1:31" x14ac:dyDescent="0.3">
      <c r="A28" t="s">
        <v>304</v>
      </c>
      <c r="B28" t="s">
        <v>174</v>
      </c>
      <c r="C28" t="s">
        <v>0</v>
      </c>
      <c r="D28" t="s">
        <v>175</v>
      </c>
      <c r="E28" t="s">
        <v>123</v>
      </c>
      <c r="F28">
        <v>27.185160810073999</v>
      </c>
      <c r="G28">
        <v>34.381232789211303</v>
      </c>
      <c r="H28">
        <v>43.7951417672096</v>
      </c>
      <c r="I28">
        <v>58.954998532782099</v>
      </c>
      <c r="J28">
        <v>73.586166051866698</v>
      </c>
      <c r="K28">
        <v>81.517609099373303</v>
      </c>
      <c r="L28">
        <v>88.606096847144897</v>
      </c>
      <c r="M28">
        <v>90.889759137019794</v>
      </c>
      <c r="N28">
        <v>108.224403920884</v>
      </c>
      <c r="O28">
        <v>124.23967445626199</v>
      </c>
      <c r="P28">
        <v>128.346771132502</v>
      </c>
      <c r="Q28">
        <v>129.41188956513699</v>
      </c>
      <c r="R28">
        <v>132.80259409522799</v>
      </c>
      <c r="S28">
        <v>140.538667537668</v>
      </c>
      <c r="T28">
        <v>145.53242729789</v>
      </c>
      <c r="U28">
        <v>148.612478669274</v>
      </c>
      <c r="V28">
        <v>156.573861455128</v>
      </c>
      <c r="W28">
        <v>159.403509553714</v>
      </c>
      <c r="X28">
        <v>161.31253362022599</v>
      </c>
      <c r="Y28">
        <v>167.00591715976299</v>
      </c>
      <c r="Z28">
        <v>168</v>
      </c>
      <c r="AA28">
        <v>174</v>
      </c>
      <c r="AB28">
        <v>173.00571428571399</v>
      </c>
      <c r="AC28">
        <v>170.005615194055</v>
      </c>
      <c r="AD28">
        <v>164.94592426566001</v>
      </c>
      <c r="AE28">
        <v>160.873185394903</v>
      </c>
    </row>
    <row r="29" spans="1:31" x14ac:dyDescent="0.3">
      <c r="A29" t="s">
        <v>304</v>
      </c>
      <c r="B29" t="s">
        <v>176</v>
      </c>
      <c r="C29" t="s">
        <v>0</v>
      </c>
      <c r="D29" t="s">
        <v>177</v>
      </c>
      <c r="E29" t="s">
        <v>123</v>
      </c>
      <c r="F29">
        <v>12.1721458516776</v>
      </c>
      <c r="G29">
        <v>16.229527802236799</v>
      </c>
      <c r="H29">
        <v>20.807086925944599</v>
      </c>
      <c r="I29">
        <v>29.0432255007976</v>
      </c>
      <c r="J29">
        <v>33.9582328932403</v>
      </c>
      <c r="K29">
        <v>36.222115086122997</v>
      </c>
      <c r="L29">
        <v>39.391550156158701</v>
      </c>
      <c r="M29">
        <v>40.798391233164402</v>
      </c>
      <c r="N29">
        <v>48.958069479797302</v>
      </c>
      <c r="O29">
        <v>59.343114520966402</v>
      </c>
      <c r="P29">
        <v>58.822560884817598</v>
      </c>
      <c r="Q29">
        <v>59.367214226343698</v>
      </c>
      <c r="R29">
        <v>60.519975667631897</v>
      </c>
      <c r="S29">
        <v>62.472232947232897</v>
      </c>
      <c r="T29">
        <v>63.190304590304599</v>
      </c>
      <c r="U29">
        <v>62.419691119691102</v>
      </c>
      <c r="V29">
        <v>65.057142857142793</v>
      </c>
      <c r="W29">
        <v>66</v>
      </c>
      <c r="X29">
        <v>65.043478260869605</v>
      </c>
      <c r="Y29">
        <v>66</v>
      </c>
      <c r="Z29">
        <v>66</v>
      </c>
      <c r="AA29">
        <v>70</v>
      </c>
      <c r="AB29">
        <v>72.957746478873204</v>
      </c>
      <c r="AC29">
        <v>74.929577464788693</v>
      </c>
      <c r="AD29">
        <v>75.928638497652599</v>
      </c>
      <c r="AE29">
        <v>74.929577464788693</v>
      </c>
    </row>
    <row r="30" spans="1:31" x14ac:dyDescent="0.3">
      <c r="A30" t="s">
        <v>304</v>
      </c>
      <c r="B30" t="s">
        <v>178</v>
      </c>
      <c r="C30" t="s">
        <v>0</v>
      </c>
      <c r="D30" t="s">
        <v>179</v>
      </c>
      <c r="E30" t="s">
        <v>123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>
        <v>0</v>
      </c>
      <c r="L30">
        <v>0.422077922077922</v>
      </c>
      <c r="M30">
        <v>0.84415584415584399</v>
      </c>
      <c r="N30">
        <v>1.68831168831169</v>
      </c>
      <c r="O30">
        <v>2.8138528138528098</v>
      </c>
      <c r="P30">
        <v>3.9393939393939399</v>
      </c>
      <c r="Q30">
        <v>5.06493506493507</v>
      </c>
      <c r="R30">
        <v>5.06493506493507</v>
      </c>
      <c r="S30">
        <v>5.06493506493507</v>
      </c>
      <c r="T30">
        <v>5.06493506493507</v>
      </c>
      <c r="U30">
        <v>5.06493506493507</v>
      </c>
      <c r="V30">
        <v>9.28571428571429</v>
      </c>
      <c r="W30">
        <v>11.1428571428571</v>
      </c>
      <c r="X30">
        <v>12.0714285714286</v>
      </c>
      <c r="Y30">
        <v>13</v>
      </c>
      <c r="Z30">
        <v>14</v>
      </c>
      <c r="AA30">
        <v>14</v>
      </c>
      <c r="AB30">
        <v>13</v>
      </c>
      <c r="AC30">
        <v>13</v>
      </c>
      <c r="AD30">
        <v>12</v>
      </c>
      <c r="AE30">
        <v>13</v>
      </c>
    </row>
    <row r="31" spans="1:31" x14ac:dyDescent="0.3">
      <c r="A31" t="s">
        <v>304</v>
      </c>
      <c r="B31" t="s">
        <v>180</v>
      </c>
      <c r="C31" t="s">
        <v>0</v>
      </c>
      <c r="D31" t="s">
        <v>181</v>
      </c>
      <c r="E31" t="s">
        <v>123</v>
      </c>
      <c r="F31">
        <v>0.78451162283095099</v>
      </c>
      <c r="G31">
        <v>1.30751937138492</v>
      </c>
      <c r="H31">
        <v>2.28815889992361</v>
      </c>
      <c r="I31">
        <v>3.59567827130852</v>
      </c>
      <c r="J31">
        <v>4.5763177998472102</v>
      </c>
      <c r="K31">
        <v>4.5763177998472102</v>
      </c>
      <c r="L31">
        <v>5.5569573283859004</v>
      </c>
      <c r="M31">
        <v>5.2096474953617804</v>
      </c>
      <c r="N31">
        <v>4.8623376623376604</v>
      </c>
      <c r="O31">
        <v>4.8623376623376604</v>
      </c>
      <c r="P31">
        <v>5.2363636363636399</v>
      </c>
      <c r="Q31">
        <v>5.2363636363636399</v>
      </c>
      <c r="R31">
        <v>5.2363636363636399</v>
      </c>
      <c r="S31">
        <v>7.8545454545454598</v>
      </c>
      <c r="T31">
        <v>7.8545454545454598</v>
      </c>
      <c r="U31">
        <v>7.2</v>
      </c>
      <c r="V31">
        <v>6.4</v>
      </c>
      <c r="W31">
        <v>5.6</v>
      </c>
      <c r="X31">
        <v>4.8</v>
      </c>
      <c r="Y31">
        <v>4</v>
      </c>
      <c r="Z31">
        <v>4</v>
      </c>
      <c r="AA31">
        <v>4</v>
      </c>
      <c r="AB31">
        <v>3</v>
      </c>
      <c r="AC31">
        <v>3</v>
      </c>
      <c r="AD31">
        <v>0</v>
      </c>
      <c r="AE31" t="e">
        <v>#NUM!</v>
      </c>
    </row>
    <row r="32" spans="1:31" x14ac:dyDescent="0.3">
      <c r="A32" t="s">
        <v>304</v>
      </c>
      <c r="B32" t="s">
        <v>182</v>
      </c>
      <c r="C32" t="s">
        <v>0</v>
      </c>
      <c r="D32" t="s">
        <v>183</v>
      </c>
      <c r="E32" t="s">
        <v>123</v>
      </c>
      <c r="F32">
        <v>11.0170281811235</v>
      </c>
      <c r="G32">
        <v>13.057218585035301</v>
      </c>
      <c r="H32">
        <v>15.505447069729399</v>
      </c>
      <c r="I32">
        <v>19.2770423029068</v>
      </c>
      <c r="J32">
        <v>24.845965634857698</v>
      </c>
      <c r="K32">
        <v>28.839067254745501</v>
      </c>
      <c r="L32">
        <v>30.170101128041399</v>
      </c>
      <c r="M32">
        <v>30.6272238724057</v>
      </c>
      <c r="N32">
        <v>38.637420885188703</v>
      </c>
      <c r="O32">
        <v>44.506396209521199</v>
      </c>
      <c r="P32">
        <v>49.164042324471097</v>
      </c>
      <c r="Q32">
        <v>49.698434088867501</v>
      </c>
      <c r="R32">
        <v>51.957453820179701</v>
      </c>
      <c r="S32">
        <v>55.204794683940897</v>
      </c>
      <c r="T32">
        <v>59.506466996975298</v>
      </c>
      <c r="U32">
        <v>62.638386312605498</v>
      </c>
      <c r="V32">
        <v>64.4280544929657</v>
      </c>
      <c r="W32">
        <v>65.375525882568098</v>
      </c>
      <c r="X32">
        <v>68.259740259740298</v>
      </c>
      <c r="Y32">
        <v>73</v>
      </c>
      <c r="Z32">
        <v>73</v>
      </c>
      <c r="AA32">
        <v>75</v>
      </c>
      <c r="AB32">
        <v>71</v>
      </c>
      <c r="AC32">
        <v>65.928571428571402</v>
      </c>
      <c r="AD32">
        <v>63.868303571428598</v>
      </c>
      <c r="AE32">
        <v>59.747767857142897</v>
      </c>
    </row>
    <row r="33" spans="1:31" x14ac:dyDescent="0.3">
      <c r="A33" t="s">
        <v>304</v>
      </c>
      <c r="B33" t="s">
        <v>184</v>
      </c>
      <c r="C33" t="s">
        <v>0</v>
      </c>
      <c r="D33" t="s">
        <v>185</v>
      </c>
      <c r="E33" t="s">
        <v>123</v>
      </c>
      <c r="F33">
        <v>3.3621003390600999</v>
      </c>
      <c r="G33">
        <v>3.78236288144261</v>
      </c>
      <c r="H33">
        <v>5.0431505085901396</v>
      </c>
      <c r="I33">
        <v>6.72420067812019</v>
      </c>
      <c r="J33">
        <v>9.6660384747977695</v>
      </c>
      <c r="K33">
        <v>11.423500015670101</v>
      </c>
      <c r="L33">
        <v>12.337380016923699</v>
      </c>
      <c r="M33">
        <v>12.794320017550501</v>
      </c>
      <c r="N33">
        <v>13.742047426258001</v>
      </c>
      <c r="O33">
        <v>12.7604726100967</v>
      </c>
      <c r="P33">
        <v>11.165413533834601</v>
      </c>
      <c r="Q33">
        <v>10.1020408163265</v>
      </c>
      <c r="R33">
        <v>10.1020408163265</v>
      </c>
      <c r="S33">
        <v>9.4285714285714306</v>
      </c>
      <c r="T33">
        <v>9.4285714285714306</v>
      </c>
      <c r="U33">
        <v>11</v>
      </c>
      <c r="V33">
        <v>11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13</v>
      </c>
      <c r="AC33">
        <v>13</v>
      </c>
      <c r="AD33">
        <v>13</v>
      </c>
      <c r="AE33">
        <v>13</v>
      </c>
    </row>
    <row r="34" spans="1:31" x14ac:dyDescent="0.3">
      <c r="A34" t="s">
        <v>304</v>
      </c>
      <c r="B34" t="s">
        <v>186</v>
      </c>
      <c r="C34" t="s">
        <v>0</v>
      </c>
      <c r="D34" t="s">
        <v>187</v>
      </c>
      <c r="E34" t="s">
        <v>123</v>
      </c>
      <c r="F34">
        <v>5.2206296578641096</v>
      </c>
      <c r="G34">
        <v>6.8269772448992203</v>
      </c>
      <c r="H34">
        <v>10.240465867348799</v>
      </c>
      <c r="I34">
        <v>15.13807997782</v>
      </c>
      <c r="J34">
        <v>18.6999811490718</v>
      </c>
      <c r="K34">
        <v>21.037478792705802</v>
      </c>
      <c r="L34">
        <v>23.842475965066502</v>
      </c>
      <c r="M34">
        <v>23.842475965066502</v>
      </c>
      <c r="N34">
        <v>27.3195037099721</v>
      </c>
      <c r="O34">
        <v>31.366837592930899</v>
      </c>
      <c r="P34">
        <v>34.6116828611651</v>
      </c>
      <c r="Q34">
        <v>36.2598582355063</v>
      </c>
      <c r="R34">
        <v>39.826401668506897</v>
      </c>
      <c r="S34">
        <v>43.2597121571713</v>
      </c>
      <c r="T34">
        <v>44.8047018770703</v>
      </c>
      <c r="U34">
        <v>47.293851981351999</v>
      </c>
      <c r="V34">
        <v>51.077360139860097</v>
      </c>
      <c r="W34">
        <v>54.024130917159802</v>
      </c>
      <c r="X34">
        <v>52.023237179487197</v>
      </c>
      <c r="Y34">
        <v>51.0416666666667</v>
      </c>
      <c r="Z34">
        <v>49</v>
      </c>
      <c r="AA34">
        <v>50</v>
      </c>
      <c r="AB34">
        <v>47</v>
      </c>
      <c r="AC34">
        <v>48.021739130434803</v>
      </c>
      <c r="AD34">
        <v>46.9777882797732</v>
      </c>
      <c r="AE34">
        <v>43.845935727788302</v>
      </c>
    </row>
    <row r="35" spans="1:31" x14ac:dyDescent="0.3">
      <c r="A35" t="s">
        <v>304</v>
      </c>
      <c r="B35" t="s">
        <v>188</v>
      </c>
      <c r="C35" t="s">
        <v>0</v>
      </c>
      <c r="D35" t="s">
        <v>189</v>
      </c>
      <c r="E35" t="s">
        <v>123</v>
      </c>
      <c r="F35">
        <v>29.0850565035507</v>
      </c>
      <c r="G35">
        <v>37.053565134660403</v>
      </c>
      <c r="H35">
        <v>48.861844133618199</v>
      </c>
      <c r="I35">
        <v>62.033297769637002</v>
      </c>
      <c r="J35">
        <v>77.650072033321806</v>
      </c>
      <c r="K35">
        <v>88.299224769320205</v>
      </c>
      <c r="L35">
        <v>99.448116785648494</v>
      </c>
      <c r="M35">
        <v>102.21056447413901</v>
      </c>
      <c r="N35">
        <v>104.10335270514101</v>
      </c>
      <c r="O35">
        <v>133.42824079109701</v>
      </c>
      <c r="P35">
        <v>150.30454002159101</v>
      </c>
      <c r="Q35">
        <v>170.45406169115199</v>
      </c>
      <c r="R35">
        <v>190.09961456403099</v>
      </c>
      <c r="S35">
        <v>216.594334363896</v>
      </c>
      <c r="T35">
        <v>221.01462690193401</v>
      </c>
      <c r="U35">
        <v>243.905427545349</v>
      </c>
      <c r="V35">
        <v>314.36699550289399</v>
      </c>
      <c r="W35">
        <v>382.209113073428</v>
      </c>
      <c r="X35">
        <v>423.92229038854799</v>
      </c>
      <c r="Y35">
        <v>469</v>
      </c>
      <c r="Z35">
        <v>520</v>
      </c>
      <c r="AA35">
        <v>574</v>
      </c>
      <c r="AB35">
        <v>608</v>
      </c>
      <c r="AC35">
        <v>683.49668874172198</v>
      </c>
      <c r="AD35">
        <v>703.86916828692995</v>
      </c>
      <c r="AE35">
        <v>735.53817295586305</v>
      </c>
    </row>
    <row r="36" spans="1:31" x14ac:dyDescent="0.3">
      <c r="A36" t="s">
        <v>304</v>
      </c>
      <c r="B36" t="s">
        <v>190</v>
      </c>
      <c r="C36" t="s">
        <v>0</v>
      </c>
      <c r="D36" t="s">
        <v>191</v>
      </c>
      <c r="E36" t="s">
        <v>123</v>
      </c>
      <c r="F36">
        <v>6.0516048420485298</v>
      </c>
      <c r="G36">
        <v>6.9161198194840301</v>
      </c>
      <c r="H36">
        <v>9.9419222405082905</v>
      </c>
      <c r="I36">
        <v>12.201450022442</v>
      </c>
      <c r="J36">
        <v>12.201450022442</v>
      </c>
      <c r="K36">
        <v>12.6707365617667</v>
      </c>
      <c r="L36">
        <v>13.6093096404161</v>
      </c>
      <c r="M36">
        <v>14.0953564132881</v>
      </c>
      <c r="N36">
        <v>15.1021675856658</v>
      </c>
      <c r="O36">
        <v>15.1021675856658</v>
      </c>
      <c r="P36">
        <v>16.2208466660855</v>
      </c>
      <c r="Q36">
        <v>18.538110475526299</v>
      </c>
      <c r="R36">
        <v>21.528128294159501</v>
      </c>
      <c r="S36">
        <v>24.3059512998576</v>
      </c>
      <c r="T36">
        <v>28.226266025640999</v>
      </c>
      <c r="U36">
        <v>33.207371794871797</v>
      </c>
      <c r="V36">
        <v>37.951282051282</v>
      </c>
      <c r="W36">
        <v>41.946153846153798</v>
      </c>
      <c r="X36">
        <v>39.948717948717899</v>
      </c>
      <c r="Y36">
        <v>38</v>
      </c>
      <c r="Z36">
        <v>36</v>
      </c>
      <c r="AA36">
        <v>36</v>
      </c>
      <c r="AB36">
        <v>36</v>
      </c>
      <c r="AC36">
        <v>36</v>
      </c>
      <c r="AD36">
        <v>36</v>
      </c>
      <c r="AE36">
        <v>32.914285714285697</v>
      </c>
    </row>
    <row r="37" spans="1:31" x14ac:dyDescent="0.3">
      <c r="A37" t="s">
        <v>304</v>
      </c>
      <c r="B37" t="s">
        <v>192</v>
      </c>
      <c r="C37" t="s">
        <v>0</v>
      </c>
      <c r="D37" t="s">
        <v>193</v>
      </c>
      <c r="E37" t="s">
        <v>123</v>
      </c>
      <c r="F37">
        <v>18.395014208727801</v>
      </c>
      <c r="G37">
        <v>24.393388407225899</v>
      </c>
      <c r="H37">
        <v>32.524517876301303</v>
      </c>
      <c r="I37">
        <v>42.662029941641897</v>
      </c>
      <c r="J37">
        <v>56.020847398115698</v>
      </c>
      <c r="K37">
        <v>64.843028090732304</v>
      </c>
      <c r="L37">
        <v>73.281504349115295</v>
      </c>
      <c r="M37">
        <v>75.113541957843097</v>
      </c>
      <c r="N37">
        <v>74.6440823206066</v>
      </c>
      <c r="O37">
        <v>97.909770316639893</v>
      </c>
      <c r="P37">
        <v>111.522893462269</v>
      </c>
      <c r="Q37">
        <v>120.143020493169</v>
      </c>
      <c r="R37">
        <v>125.891490373225</v>
      </c>
      <c r="S37">
        <v>141.051198638063</v>
      </c>
      <c r="T37">
        <v>140.32036341195999</v>
      </c>
      <c r="U37">
        <v>153.64687837287201</v>
      </c>
      <c r="V37">
        <v>213.84770206282701</v>
      </c>
      <c r="W37">
        <v>271.82419017763903</v>
      </c>
      <c r="X37">
        <v>308.58333333333297</v>
      </c>
      <c r="Y37">
        <v>345</v>
      </c>
      <c r="Z37">
        <v>378</v>
      </c>
      <c r="AA37">
        <v>419</v>
      </c>
      <c r="AB37">
        <v>435</v>
      </c>
      <c r="AC37">
        <v>489.375</v>
      </c>
      <c r="AD37">
        <v>515.82770270270203</v>
      </c>
      <c r="AE37">
        <v>558.72822451163995</v>
      </c>
    </row>
    <row r="38" spans="1:31" x14ac:dyDescent="0.3">
      <c r="A38" t="s">
        <v>304</v>
      </c>
      <c r="B38" t="s">
        <v>194</v>
      </c>
      <c r="C38" t="s">
        <v>0</v>
      </c>
      <c r="D38" t="s">
        <v>195</v>
      </c>
      <c r="E38" t="s">
        <v>123</v>
      </c>
      <c r="F38">
        <v>4.8091713240572798</v>
      </c>
      <c r="G38">
        <v>5.9189800911474304</v>
      </c>
      <c r="H38">
        <v>6.7081774366337497</v>
      </c>
      <c r="I38">
        <v>7.5466996162129698</v>
      </c>
      <c r="J38">
        <v>9.6430050651610202</v>
      </c>
      <c r="K38">
        <v>10.9579603013193</v>
      </c>
      <c r="L38">
        <v>12.711233949530399</v>
      </c>
      <c r="M38">
        <v>13.1652065905851</v>
      </c>
      <c r="N38">
        <v>14.5757644395764</v>
      </c>
      <c r="O38">
        <v>20.406070215406899</v>
      </c>
      <c r="P38">
        <v>22.499000493910199</v>
      </c>
      <c r="Q38">
        <v>31.827854357238799</v>
      </c>
      <c r="R38">
        <v>42.822931317012198</v>
      </c>
      <c r="S38">
        <v>51.387517580414602</v>
      </c>
      <c r="T38">
        <v>52.855732368426402</v>
      </c>
      <c r="U38">
        <v>57.5890815357482</v>
      </c>
      <c r="V38">
        <v>62.988057929724597</v>
      </c>
      <c r="W38">
        <v>68.714245014244995</v>
      </c>
      <c r="X38">
        <v>75.488888888888894</v>
      </c>
      <c r="Y38">
        <v>86</v>
      </c>
      <c r="Z38">
        <v>106</v>
      </c>
      <c r="AA38">
        <v>119</v>
      </c>
      <c r="AB38">
        <v>137</v>
      </c>
      <c r="AC38">
        <v>158.154411764706</v>
      </c>
      <c r="AD38">
        <v>152.03230550284599</v>
      </c>
      <c r="AE38">
        <v>143.8694971537</v>
      </c>
    </row>
    <row r="39" spans="1:31" x14ac:dyDescent="0.3">
      <c r="A39" t="s">
        <v>304</v>
      </c>
      <c r="B39" t="s">
        <v>196</v>
      </c>
      <c r="C39" t="s">
        <v>0</v>
      </c>
      <c r="D39" t="s">
        <v>197</v>
      </c>
      <c r="E39" t="s">
        <v>123</v>
      </c>
      <c r="F39">
        <v>12.067445321590901</v>
      </c>
      <c r="G39">
        <v>12.8996829299765</v>
      </c>
      <c r="H39">
        <v>12.8996829299765</v>
      </c>
      <c r="I39">
        <v>12.4696934989773</v>
      </c>
      <c r="J39">
        <v>12.4696934989773</v>
      </c>
      <c r="K39">
        <v>13.759661791974899</v>
      </c>
      <c r="L39">
        <v>13.3296723609757</v>
      </c>
      <c r="M39">
        <v>14.1896512229742</v>
      </c>
      <c r="N39">
        <v>15.562843276810399</v>
      </c>
      <c r="O39">
        <v>16.049182129210699</v>
      </c>
      <c r="P39">
        <v>17.6023287868762</v>
      </c>
      <c r="Q39">
        <v>20.269348300039301</v>
      </c>
      <c r="R39">
        <v>27.588835186164602</v>
      </c>
      <c r="S39">
        <v>36.571246642125203</v>
      </c>
      <c r="T39">
        <v>41.691221172022701</v>
      </c>
      <c r="U39">
        <v>44.096483931947098</v>
      </c>
      <c r="V39">
        <v>45.933837429111499</v>
      </c>
      <c r="W39">
        <v>44.956521739130402</v>
      </c>
      <c r="X39">
        <v>45.955555555555598</v>
      </c>
      <c r="Y39">
        <v>44</v>
      </c>
      <c r="Z39">
        <v>39</v>
      </c>
      <c r="AA39">
        <v>38</v>
      </c>
      <c r="AB39">
        <v>84</v>
      </c>
      <c r="AC39">
        <v>103.46341463414601</v>
      </c>
      <c r="AD39">
        <v>135.861049519586</v>
      </c>
      <c r="AE39">
        <v>156.76274944567601</v>
      </c>
    </row>
    <row r="40" spans="1:31" x14ac:dyDescent="0.3">
      <c r="A40" t="s">
        <v>304</v>
      </c>
      <c r="B40" t="s">
        <v>198</v>
      </c>
      <c r="C40" t="s">
        <v>0</v>
      </c>
      <c r="D40" t="s">
        <v>199</v>
      </c>
      <c r="E40" t="s">
        <v>123</v>
      </c>
      <c r="F40" t="e">
        <v>#NUM!</v>
      </c>
      <c r="G40" t="e">
        <v>#NUM!</v>
      </c>
      <c r="H40">
        <v>0</v>
      </c>
      <c r="I40">
        <v>0.54197261895155902</v>
      </c>
      <c r="J40">
        <v>1.08394523790312</v>
      </c>
      <c r="K40">
        <v>2.70986309475779</v>
      </c>
      <c r="L40">
        <v>3.2518357137093501</v>
      </c>
      <c r="M40">
        <v>3.7938083326609102</v>
      </c>
      <c r="N40">
        <v>5.4197261895155897</v>
      </c>
      <c r="O40">
        <v>7.0456440463702599</v>
      </c>
      <c r="P40">
        <v>9.2135345221765004</v>
      </c>
      <c r="Q40">
        <v>11.3814249979827</v>
      </c>
      <c r="R40">
        <v>13.6577099975793</v>
      </c>
      <c r="S40">
        <v>22.1124828532236</v>
      </c>
      <c r="T40">
        <v>24.965706447187902</v>
      </c>
      <c r="U40">
        <v>24.965706447187902</v>
      </c>
      <c r="V40">
        <v>24.074074074074101</v>
      </c>
      <c r="W40">
        <v>21.296296296296301</v>
      </c>
      <c r="X40">
        <v>22.2222222222222</v>
      </c>
      <c r="Y40">
        <v>24.074074074074101</v>
      </c>
      <c r="Z40">
        <v>26</v>
      </c>
      <c r="AA40">
        <v>27</v>
      </c>
      <c r="AB40">
        <v>29</v>
      </c>
      <c r="AC40">
        <v>30</v>
      </c>
      <c r="AD40">
        <v>28</v>
      </c>
      <c r="AE40">
        <v>29.037037037036999</v>
      </c>
    </row>
    <row r="41" spans="1:31" x14ac:dyDescent="0.3">
      <c r="A41" t="s">
        <v>304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304</v>
      </c>
      <c r="B42" t="s">
        <v>202</v>
      </c>
      <c r="C42" t="s">
        <v>0</v>
      </c>
      <c r="D42" t="s">
        <v>203</v>
      </c>
      <c r="E42" t="s">
        <v>123</v>
      </c>
      <c r="F42">
        <v>8.0931096901283901</v>
      </c>
      <c r="G42">
        <v>11.403927290635499</v>
      </c>
      <c r="H42">
        <v>16.472339419806801</v>
      </c>
      <c r="I42">
        <v>20.8071655829138</v>
      </c>
      <c r="J42">
        <v>27.5921108816901</v>
      </c>
      <c r="K42">
        <v>32.190796028638403</v>
      </c>
      <c r="L42">
        <v>36.329612660891897</v>
      </c>
      <c r="M42">
        <v>37.782797167327601</v>
      </c>
      <c r="N42">
        <v>44.245644051212601</v>
      </c>
      <c r="O42">
        <v>49.9715509284283</v>
      </c>
      <c r="P42">
        <v>55.586331931622503</v>
      </c>
      <c r="Q42">
        <v>63.113647714029703</v>
      </c>
      <c r="R42">
        <v>70.854000735561698</v>
      </c>
      <c r="S42">
        <v>87.049200903690107</v>
      </c>
      <c r="T42">
        <v>84.817170111287794</v>
      </c>
      <c r="U42">
        <v>88.817980022197602</v>
      </c>
      <c r="V42">
        <v>95.098039215686299</v>
      </c>
      <c r="W42">
        <v>95.098039215686299</v>
      </c>
      <c r="X42">
        <v>97</v>
      </c>
      <c r="Y42">
        <v>97</v>
      </c>
      <c r="Z42">
        <v>93</v>
      </c>
      <c r="AA42">
        <v>95</v>
      </c>
      <c r="AB42">
        <v>95</v>
      </c>
      <c r="AC42">
        <v>95</v>
      </c>
      <c r="AD42">
        <v>92.956989247311796</v>
      </c>
      <c r="AE42">
        <v>91.924133811230604</v>
      </c>
    </row>
    <row r="43" spans="1:31" x14ac:dyDescent="0.3">
      <c r="A43" t="s">
        <v>304</v>
      </c>
      <c r="B43" t="s">
        <v>204</v>
      </c>
      <c r="C43" t="s">
        <v>0</v>
      </c>
      <c r="D43" t="s">
        <v>205</v>
      </c>
      <c r="E43" t="s">
        <v>123</v>
      </c>
      <c r="F43">
        <v>10.3768323231445</v>
      </c>
      <c r="G43">
        <v>15.219354073945199</v>
      </c>
      <c r="H43">
        <v>22.068063407220599</v>
      </c>
      <c r="I43">
        <v>29.6915762206241</v>
      </c>
      <c r="J43">
        <v>39.309974151248802</v>
      </c>
      <c r="K43">
        <v>47.517551171839202</v>
      </c>
      <c r="L43">
        <v>54.056663718422598</v>
      </c>
      <c r="M43">
        <v>55.419436753340797</v>
      </c>
      <c r="N43">
        <v>67.527885119616897</v>
      </c>
      <c r="O43">
        <v>78.782532639553096</v>
      </c>
      <c r="P43">
        <v>90.862520977617905</v>
      </c>
      <c r="Q43">
        <v>105.73093350122799</v>
      </c>
      <c r="R43">
        <v>123.44800884467701</v>
      </c>
      <c r="S43">
        <v>156.10621224274001</v>
      </c>
      <c r="T43">
        <v>165.54519251788199</v>
      </c>
      <c r="U43">
        <v>180.45210558821299</v>
      </c>
      <c r="V43">
        <v>200.105305206731</v>
      </c>
      <c r="W43">
        <v>210.48812764670299</v>
      </c>
      <c r="X43">
        <v>217.155172413793</v>
      </c>
      <c r="Y43">
        <v>220</v>
      </c>
      <c r="Z43">
        <v>215</v>
      </c>
      <c r="AA43">
        <v>223</v>
      </c>
      <c r="AB43">
        <v>219</v>
      </c>
      <c r="AC43">
        <v>220.00458715596301</v>
      </c>
      <c r="AD43">
        <v>217.97689510844299</v>
      </c>
      <c r="AE43">
        <v>215.93016369897401</v>
      </c>
    </row>
    <row r="44" spans="1:31" x14ac:dyDescent="0.3">
      <c r="A44" t="s">
        <v>304</v>
      </c>
      <c r="B44" t="s">
        <v>206</v>
      </c>
      <c r="C44" t="s">
        <v>0</v>
      </c>
      <c r="D44" t="s">
        <v>207</v>
      </c>
      <c r="E44" t="s">
        <v>123</v>
      </c>
      <c r="F44">
        <v>234.77963599215599</v>
      </c>
      <c r="G44">
        <v>300.06174583252101</v>
      </c>
      <c r="H44">
        <v>392.91869150231503</v>
      </c>
      <c r="I44">
        <v>501.87580188678999</v>
      </c>
      <c r="J44">
        <v>615.07763370173495</v>
      </c>
      <c r="K44">
        <v>688.97545012489297</v>
      </c>
      <c r="L44">
        <v>770.63510515912503</v>
      </c>
      <c r="M44">
        <v>777.06471867058406</v>
      </c>
      <c r="N44">
        <v>867.62842078617803</v>
      </c>
      <c r="O44">
        <v>1005.23877773877</v>
      </c>
      <c r="P44">
        <v>1099.6102605036599</v>
      </c>
      <c r="Q44">
        <v>1271.55911986673</v>
      </c>
      <c r="R44">
        <v>1527.24374720836</v>
      </c>
      <c r="S44">
        <v>1794.10261181693</v>
      </c>
      <c r="T44">
        <v>1946.51424146157</v>
      </c>
      <c r="U44">
        <v>2081.4829644166198</v>
      </c>
      <c r="V44">
        <v>2261.1986327360901</v>
      </c>
      <c r="W44">
        <v>2444.7436263556801</v>
      </c>
      <c r="X44">
        <v>2538.1058829527201</v>
      </c>
      <c r="Y44">
        <v>2643.10462199928</v>
      </c>
      <c r="Z44">
        <v>2789</v>
      </c>
      <c r="AA44">
        <v>2954</v>
      </c>
      <c r="AB44">
        <v>3124.8843031123101</v>
      </c>
      <c r="AC44">
        <v>3263.90236688714</v>
      </c>
      <c r="AD44">
        <v>3275.1080242016701</v>
      </c>
      <c r="AE44">
        <v>3322.0995928583402</v>
      </c>
    </row>
    <row r="45" spans="1:31" x14ac:dyDescent="0.3">
      <c r="A45" t="s">
        <v>304</v>
      </c>
      <c r="B45" t="s">
        <v>208</v>
      </c>
      <c r="C45" t="s">
        <v>0</v>
      </c>
      <c r="D45" t="s">
        <v>209</v>
      </c>
      <c r="E45" t="s">
        <v>123</v>
      </c>
      <c r="F45">
        <v>224.25782999892701</v>
      </c>
      <c r="G45">
        <v>287.489897651864</v>
      </c>
      <c r="H45">
        <v>376.976189737867</v>
      </c>
      <c r="I45">
        <v>481.31781368317002</v>
      </c>
      <c r="J45">
        <v>589.71110148313301</v>
      </c>
      <c r="K45">
        <v>661.32519326744102</v>
      </c>
      <c r="L45">
        <v>741.59392879551899</v>
      </c>
      <c r="M45">
        <v>748.018628673698</v>
      </c>
      <c r="N45">
        <v>835.24838725257405</v>
      </c>
      <c r="O45">
        <v>967.95140204971199</v>
      </c>
      <c r="P45">
        <v>1058.6968459918701</v>
      </c>
      <c r="Q45">
        <v>1230.7418250399701</v>
      </c>
      <c r="R45">
        <v>1484.9043228621699</v>
      </c>
      <c r="S45">
        <v>1751.25780871713</v>
      </c>
      <c r="T45">
        <v>1900.7642772607401</v>
      </c>
      <c r="U45">
        <v>2034.1923115019499</v>
      </c>
      <c r="V45">
        <v>2212.9438327235598</v>
      </c>
      <c r="W45">
        <v>2394.5963405828702</v>
      </c>
      <c r="X45">
        <v>2486.9923408626</v>
      </c>
      <c r="Y45">
        <v>2589.1059941520498</v>
      </c>
      <c r="Z45">
        <v>2734</v>
      </c>
      <c r="AA45">
        <v>2898</v>
      </c>
      <c r="AB45">
        <v>3067.8827586206899</v>
      </c>
      <c r="AC45">
        <v>3204.9047800237799</v>
      </c>
      <c r="AD45">
        <v>3221.2095420207202</v>
      </c>
      <c r="AE45">
        <v>3267.19762241125</v>
      </c>
    </row>
    <row r="46" spans="1:31" x14ac:dyDescent="0.3">
      <c r="A46" t="s">
        <v>304</v>
      </c>
      <c r="B46" t="s">
        <v>210</v>
      </c>
      <c r="C46" t="s">
        <v>0</v>
      </c>
      <c r="D46" t="s">
        <v>211</v>
      </c>
      <c r="E46" t="s">
        <v>123</v>
      </c>
      <c r="F46">
        <v>2.6005058378118999</v>
      </c>
      <c r="G46">
        <v>4.2258219864443403</v>
      </c>
      <c r="H46">
        <v>6.1762013648032603</v>
      </c>
      <c r="I46">
        <v>9.4459550285226399</v>
      </c>
      <c r="J46">
        <v>12.468660637649901</v>
      </c>
      <c r="K46">
        <v>16.088594371161101</v>
      </c>
      <c r="L46">
        <v>18.563762735955201</v>
      </c>
      <c r="M46">
        <v>18.563762735955201</v>
      </c>
      <c r="N46">
        <v>24.176063097988099</v>
      </c>
      <c r="O46">
        <v>29.6498887050798</v>
      </c>
      <c r="P46">
        <v>35.968717445506599</v>
      </c>
      <c r="Q46">
        <v>43.266718086623897</v>
      </c>
      <c r="R46">
        <v>53.124957650664797</v>
      </c>
      <c r="S46">
        <v>69.568396923489601</v>
      </c>
      <c r="T46">
        <v>80.926502543651097</v>
      </c>
      <c r="U46">
        <v>91.716702882804597</v>
      </c>
      <c r="V46">
        <v>105.073504273504</v>
      </c>
      <c r="W46">
        <v>115.39322344322299</v>
      </c>
      <c r="X46">
        <v>120.161538461538</v>
      </c>
      <c r="Y46">
        <v>123</v>
      </c>
      <c r="Z46">
        <v>122</v>
      </c>
      <c r="AA46">
        <v>128</v>
      </c>
      <c r="AB46">
        <v>124</v>
      </c>
      <c r="AC46">
        <v>125</v>
      </c>
      <c r="AD46">
        <v>125</v>
      </c>
      <c r="AE46">
        <v>123.98373983739801</v>
      </c>
    </row>
    <row r="47" spans="1:31" x14ac:dyDescent="0.3">
      <c r="A47" t="s">
        <v>304</v>
      </c>
      <c r="B47" t="s">
        <v>212</v>
      </c>
      <c r="C47" t="s">
        <v>0</v>
      </c>
      <c r="D47" t="s">
        <v>213</v>
      </c>
      <c r="E47" t="s">
        <v>123</v>
      </c>
      <c r="F47">
        <v>11.766381716402799</v>
      </c>
      <c r="G47">
        <v>15.5484329823894</v>
      </c>
      <c r="H47">
        <v>19.750712166819</v>
      </c>
      <c r="I47">
        <v>25.213675106577401</v>
      </c>
      <c r="J47">
        <v>33.473327296663101</v>
      </c>
      <c r="K47">
        <v>38.758589501399399</v>
      </c>
      <c r="L47">
        <v>44.4842902231971</v>
      </c>
      <c r="M47">
        <v>45.832299017839397</v>
      </c>
      <c r="N47">
        <v>52.776586747815102</v>
      </c>
      <c r="O47">
        <v>61.892542640619503</v>
      </c>
      <c r="P47">
        <v>67.5191374261303</v>
      </c>
      <c r="Q47">
        <v>64.902116595660203</v>
      </c>
      <c r="R47">
        <v>66.59521528946</v>
      </c>
      <c r="S47">
        <v>67.888326265954404</v>
      </c>
      <c r="T47">
        <v>66.459098344565803</v>
      </c>
      <c r="U47">
        <v>64.913537917948005</v>
      </c>
      <c r="V47">
        <v>59.650278086763102</v>
      </c>
      <c r="W47">
        <v>59.650278086763102</v>
      </c>
      <c r="X47">
        <v>57.786206896551697</v>
      </c>
      <c r="Y47">
        <v>55.034482758620697</v>
      </c>
      <c r="Z47">
        <v>56</v>
      </c>
      <c r="AA47">
        <v>58</v>
      </c>
      <c r="AB47">
        <v>59</v>
      </c>
      <c r="AC47">
        <v>58</v>
      </c>
      <c r="AD47">
        <v>50</v>
      </c>
      <c r="AE47">
        <v>50</v>
      </c>
    </row>
    <row r="48" spans="1:31" x14ac:dyDescent="0.3">
      <c r="A48" t="s">
        <v>304</v>
      </c>
      <c r="B48" t="s">
        <v>214</v>
      </c>
      <c r="C48" t="s">
        <v>0</v>
      </c>
      <c r="D48" t="s">
        <v>215</v>
      </c>
      <c r="E48" t="s">
        <v>123</v>
      </c>
      <c r="F48">
        <v>31.596785280068801</v>
      </c>
      <c r="G48">
        <v>41.318873058551503</v>
      </c>
      <c r="H48">
        <v>54.0009034032554</v>
      </c>
      <c r="I48">
        <v>69.908146266229906</v>
      </c>
      <c r="J48">
        <v>90.668747278625503</v>
      </c>
      <c r="K48">
        <v>105.12318525057999</v>
      </c>
      <c r="L48">
        <v>121.39748589606801</v>
      </c>
      <c r="M48">
        <v>125.91040358737099</v>
      </c>
      <c r="N48">
        <v>146.20365544760699</v>
      </c>
      <c r="O48">
        <v>173.91545942133601</v>
      </c>
      <c r="P48">
        <v>195.33613184273199</v>
      </c>
      <c r="Q48">
        <v>195.33613184273199</v>
      </c>
      <c r="R48">
        <v>201.51054980327899</v>
      </c>
      <c r="S48">
        <v>207.32335412452699</v>
      </c>
      <c r="T48">
        <v>214.47243530123501</v>
      </c>
      <c r="U48">
        <v>214.47243530123501</v>
      </c>
      <c r="V48">
        <v>213.59344991065601</v>
      </c>
      <c r="W48">
        <v>219.141331726517</v>
      </c>
      <c r="X48">
        <v>220.089995500225</v>
      </c>
      <c r="Y48">
        <v>221.02654867256601</v>
      </c>
      <c r="Z48">
        <v>223</v>
      </c>
      <c r="AA48">
        <v>227</v>
      </c>
      <c r="AB48">
        <v>223.98672566371701</v>
      </c>
      <c r="AC48">
        <v>221.977876106195</v>
      </c>
      <c r="AD48">
        <v>203.73311916595901</v>
      </c>
      <c r="AE48">
        <v>202.70933464753799</v>
      </c>
    </row>
    <row r="49" spans="1:31" x14ac:dyDescent="0.3">
      <c r="A49" t="s">
        <v>304</v>
      </c>
      <c r="B49" t="s">
        <v>216</v>
      </c>
      <c r="C49" t="s">
        <v>0</v>
      </c>
      <c r="D49" t="s">
        <v>217</v>
      </c>
      <c r="E49" t="s">
        <v>123</v>
      </c>
      <c r="F49">
        <v>8.0587421696289905</v>
      </c>
      <c r="G49">
        <v>9.9774903052549408</v>
      </c>
      <c r="H49">
        <v>13.5693868151467</v>
      </c>
      <c r="I49">
        <v>17.681322213676001</v>
      </c>
      <c r="J49">
        <v>22.204451152058301</v>
      </c>
      <c r="K49">
        <v>24.766503208065</v>
      </c>
      <c r="L49">
        <v>28.609581292075099</v>
      </c>
      <c r="M49">
        <v>29.049728696568501</v>
      </c>
      <c r="N49">
        <v>33.071998823785698</v>
      </c>
      <c r="O49">
        <v>38.124665310753002</v>
      </c>
      <c r="P49">
        <v>41.057331873118599</v>
      </c>
      <c r="Q49">
        <v>44.098615715571803</v>
      </c>
      <c r="R49">
        <v>46.787555698228601</v>
      </c>
      <c r="S49">
        <v>49.865684362585803</v>
      </c>
      <c r="T49">
        <v>47.844102564102599</v>
      </c>
      <c r="U49">
        <v>47.119191919191898</v>
      </c>
      <c r="V49">
        <v>46.2777777777778</v>
      </c>
      <c r="W49">
        <v>48.057692307692299</v>
      </c>
      <c r="X49">
        <v>48.057692307692299</v>
      </c>
      <c r="Y49">
        <v>48.057692307692299</v>
      </c>
      <c r="Z49">
        <v>51</v>
      </c>
      <c r="AA49">
        <v>53</v>
      </c>
      <c r="AB49">
        <v>56.057692307692299</v>
      </c>
      <c r="AC49">
        <v>61.153846153846203</v>
      </c>
      <c r="AD49">
        <v>54.827586206896598</v>
      </c>
      <c r="AE49">
        <v>55.881962864721501</v>
      </c>
    </row>
    <row r="50" spans="1:31" x14ac:dyDescent="0.3">
      <c r="A50" t="s">
        <v>304</v>
      </c>
      <c r="B50" t="s">
        <v>218</v>
      </c>
      <c r="C50" t="s">
        <v>0</v>
      </c>
      <c r="D50" t="s">
        <v>219</v>
      </c>
      <c r="E50" t="s">
        <v>123</v>
      </c>
      <c r="F50">
        <v>11.6192561018634</v>
      </c>
      <c r="G50">
        <v>15.6258961369887</v>
      </c>
      <c r="H50">
        <v>20.4338641791391</v>
      </c>
      <c r="I50">
        <v>26.6891287237735</v>
      </c>
      <c r="J50">
        <v>34.612463813643799</v>
      </c>
      <c r="K50">
        <v>41.184450613702701</v>
      </c>
      <c r="L50">
        <v>47.827103938493501</v>
      </c>
      <c r="M50">
        <v>50.560081306407398</v>
      </c>
      <c r="N50">
        <v>59.837160445197703</v>
      </c>
      <c r="O50">
        <v>73.348777319919805</v>
      </c>
      <c r="P50">
        <v>86.262294453708506</v>
      </c>
      <c r="Q50">
        <v>85.726503804927702</v>
      </c>
      <c r="R50">
        <v>87.429679377211002</v>
      </c>
      <c r="S50">
        <v>88.744411397920999</v>
      </c>
      <c r="T50">
        <v>99.745784711712801</v>
      </c>
      <c r="U50">
        <v>102.083576540894</v>
      </c>
      <c r="V50">
        <v>107.45639635883499</v>
      </c>
      <c r="W50">
        <v>111.26016260162601</v>
      </c>
      <c r="X50">
        <v>114.162601626016</v>
      </c>
      <c r="Y50">
        <v>118</v>
      </c>
      <c r="Z50">
        <v>116</v>
      </c>
      <c r="AA50">
        <v>116</v>
      </c>
      <c r="AB50">
        <v>109</v>
      </c>
      <c r="AC50">
        <v>103</v>
      </c>
      <c r="AD50">
        <v>99</v>
      </c>
      <c r="AE50">
        <v>96.979591836734699</v>
      </c>
    </row>
    <row r="51" spans="1:31" x14ac:dyDescent="0.3">
      <c r="A51" t="s">
        <v>304</v>
      </c>
      <c r="B51" t="s">
        <v>220</v>
      </c>
      <c r="C51" t="s">
        <v>0</v>
      </c>
      <c r="D51" t="s">
        <v>221</v>
      </c>
      <c r="E51" t="s">
        <v>123</v>
      </c>
      <c r="F51">
        <v>11.8744907438418</v>
      </c>
      <c r="G51">
        <v>15.9691427244769</v>
      </c>
      <c r="H51">
        <v>20.473259903175599</v>
      </c>
      <c r="I51">
        <v>26.444627374935099</v>
      </c>
      <c r="J51">
        <v>34.122099838625999</v>
      </c>
      <c r="K51">
        <v>40.769262144851801</v>
      </c>
      <c r="L51">
        <v>47.041456320982803</v>
      </c>
      <c r="M51">
        <v>49.808600810452397</v>
      </c>
      <c r="N51">
        <v>58.7365575594958</v>
      </c>
      <c r="O51">
        <v>70.973340384390696</v>
      </c>
      <c r="P51">
        <v>83.065094672101694</v>
      </c>
      <c r="Q51">
        <v>82.525710940464705</v>
      </c>
      <c r="R51">
        <v>84.244996585057706</v>
      </c>
      <c r="S51">
        <v>86.219488692520002</v>
      </c>
      <c r="T51">
        <v>96.536350587351507</v>
      </c>
      <c r="U51">
        <v>98.890895723628304</v>
      </c>
      <c r="V51">
        <v>104.284944581281</v>
      </c>
      <c r="W51">
        <v>107.155172413793</v>
      </c>
      <c r="X51">
        <v>109.10344827586199</v>
      </c>
      <c r="Y51">
        <v>112</v>
      </c>
      <c r="Z51">
        <v>109</v>
      </c>
      <c r="AA51">
        <v>106</v>
      </c>
      <c r="AB51">
        <v>100</v>
      </c>
      <c r="AC51">
        <v>94</v>
      </c>
      <c r="AD51">
        <v>89</v>
      </c>
      <c r="AE51">
        <v>85.965909090909093</v>
      </c>
    </row>
    <row r="52" spans="1:31" x14ac:dyDescent="0.3">
      <c r="A52" t="s">
        <v>304</v>
      </c>
      <c r="B52" t="s">
        <v>222</v>
      </c>
      <c r="C52" t="s">
        <v>0</v>
      </c>
      <c r="D52" t="s">
        <v>223</v>
      </c>
      <c r="E52" t="s">
        <v>123</v>
      </c>
      <c r="F52" t="e">
        <v>#NUM!</v>
      </c>
      <c r="G52">
        <v>0</v>
      </c>
      <c r="H52">
        <v>0.25396825396825401</v>
      </c>
      <c r="I52">
        <v>0.50793650793650802</v>
      </c>
      <c r="J52">
        <v>0.76190476190476197</v>
      </c>
      <c r="K52">
        <v>0.76190476190476197</v>
      </c>
      <c r="L52">
        <v>1.1428571428571399</v>
      </c>
      <c r="M52">
        <v>1.1428571428571399</v>
      </c>
      <c r="N52">
        <v>1.52380952380952</v>
      </c>
      <c r="O52">
        <v>2.6666666666666701</v>
      </c>
      <c r="P52">
        <v>3.4285714285714302</v>
      </c>
      <c r="Q52">
        <v>3.4285714285714302</v>
      </c>
      <c r="R52">
        <v>3.4285714285714302</v>
      </c>
      <c r="S52">
        <v>2.7428571428571402</v>
      </c>
      <c r="T52">
        <v>3.4285714285714302</v>
      </c>
      <c r="U52">
        <v>3.4285714285714302</v>
      </c>
      <c r="V52">
        <v>3.4285714285714302</v>
      </c>
      <c r="W52">
        <v>4.28571428571429</v>
      </c>
      <c r="X52">
        <v>5.1428571428571397</v>
      </c>
      <c r="Y52">
        <v>6</v>
      </c>
      <c r="Z52">
        <v>7</v>
      </c>
      <c r="AA52">
        <v>10</v>
      </c>
      <c r="AB52">
        <v>9</v>
      </c>
      <c r="AC52">
        <v>9</v>
      </c>
      <c r="AD52">
        <v>10</v>
      </c>
      <c r="AE52">
        <v>11</v>
      </c>
    </row>
    <row r="53" spans="1:31" x14ac:dyDescent="0.3">
      <c r="A53" t="s">
        <v>304</v>
      </c>
      <c r="B53" t="s">
        <v>224</v>
      </c>
      <c r="C53" t="s">
        <v>0</v>
      </c>
      <c r="D53" t="s">
        <v>225</v>
      </c>
      <c r="E53" t="s">
        <v>123</v>
      </c>
      <c r="F53">
        <v>5.1190349673849003</v>
      </c>
      <c r="G53">
        <v>7.0878945702252496</v>
      </c>
      <c r="H53">
        <v>10.238069934769801</v>
      </c>
      <c r="I53">
        <v>13.514252313896099</v>
      </c>
      <c r="J53">
        <v>13.0783086908672</v>
      </c>
      <c r="K53">
        <v>16.235141823145501</v>
      </c>
      <c r="L53">
        <v>18.940998793669799</v>
      </c>
      <c r="M53">
        <v>19.4029743740032</v>
      </c>
      <c r="N53">
        <v>23.768643608153901</v>
      </c>
      <c r="O53">
        <v>29.452449688364599</v>
      </c>
      <c r="P53">
        <v>32.724944098182903</v>
      </c>
      <c r="Q53">
        <v>37.162224653868797</v>
      </c>
      <c r="R53">
        <v>44.8306202173655</v>
      </c>
      <c r="S53">
        <v>50.264634789167303</v>
      </c>
      <c r="T53">
        <v>58.642073920695204</v>
      </c>
      <c r="U53">
        <v>60.271020418492299</v>
      </c>
      <c r="V53">
        <v>68.616238630283604</v>
      </c>
      <c r="W53">
        <v>74.414794007490599</v>
      </c>
      <c r="X53">
        <v>81.179775280898895</v>
      </c>
      <c r="Y53">
        <v>85</v>
      </c>
      <c r="Z53">
        <v>90</v>
      </c>
      <c r="AA53">
        <v>94</v>
      </c>
      <c r="AB53">
        <v>97</v>
      </c>
      <c r="AC53">
        <v>95.9895833333333</v>
      </c>
      <c r="AD53">
        <v>93.96875</v>
      </c>
      <c r="AE53">
        <v>87.90625</v>
      </c>
    </row>
    <row r="54" spans="1:31" x14ac:dyDescent="0.3">
      <c r="A54" t="s">
        <v>304</v>
      </c>
      <c r="B54" t="s">
        <v>226</v>
      </c>
      <c r="C54" t="s">
        <v>0</v>
      </c>
      <c r="D54" t="s">
        <v>227</v>
      </c>
      <c r="E54" t="s">
        <v>123</v>
      </c>
      <c r="F54">
        <v>5.6282832872880997</v>
      </c>
      <c r="G54">
        <v>7.8795966022033301</v>
      </c>
      <c r="H54">
        <v>11.256566574576199</v>
      </c>
      <c r="I54">
        <v>14.874748687832801</v>
      </c>
      <c r="J54">
        <v>15.7247343271376</v>
      </c>
      <c r="K54">
        <v>19.768237439830099</v>
      </c>
      <c r="L54">
        <v>22.913184305257602</v>
      </c>
      <c r="M54">
        <v>22.913184305257602</v>
      </c>
      <c r="N54">
        <v>29.1188383879315</v>
      </c>
      <c r="O54">
        <v>37.292547409105303</v>
      </c>
      <c r="P54">
        <v>41.021802150015802</v>
      </c>
      <c r="Q54">
        <v>47.585290494018302</v>
      </c>
      <c r="R54">
        <v>57.331675293998003</v>
      </c>
      <c r="S54">
        <v>65.239492575928793</v>
      </c>
      <c r="T54">
        <v>75.501884666524305</v>
      </c>
      <c r="U54">
        <v>81.007230423458296</v>
      </c>
      <c r="V54">
        <v>94.5084354940347</v>
      </c>
      <c r="W54">
        <v>107.873264755817</v>
      </c>
      <c r="X54">
        <v>119.43111455108399</v>
      </c>
      <c r="Y54">
        <v>126.066176470588</v>
      </c>
      <c r="Z54">
        <v>135</v>
      </c>
      <c r="AA54">
        <v>143</v>
      </c>
      <c r="AB54">
        <v>149</v>
      </c>
      <c r="AC54">
        <v>150.01360544217701</v>
      </c>
      <c r="AD54">
        <v>148.99310472488301</v>
      </c>
      <c r="AE54">
        <v>141.84959970382701</v>
      </c>
    </row>
    <row r="55" spans="1:31" x14ac:dyDescent="0.3">
      <c r="A55" t="s">
        <v>304</v>
      </c>
      <c r="B55" t="s">
        <v>228</v>
      </c>
      <c r="C55" t="s">
        <v>0</v>
      </c>
      <c r="D55" t="s">
        <v>229</v>
      </c>
      <c r="E55" t="s">
        <v>123</v>
      </c>
      <c r="F55">
        <v>0.59722750013841397</v>
      </c>
      <c r="G55">
        <v>0.89584125020762195</v>
      </c>
      <c r="H55">
        <v>1.1944550002768299</v>
      </c>
      <c r="I55">
        <v>1.5926066670357699</v>
      </c>
      <c r="J55">
        <v>2.7870616673125999</v>
      </c>
      <c r="K55">
        <v>3.71608222308347</v>
      </c>
      <c r="L55">
        <v>4.1805925009689</v>
      </c>
      <c r="M55">
        <v>3.71608222308347</v>
      </c>
      <c r="N55">
        <v>5.5741233346251997</v>
      </c>
      <c r="O55">
        <v>8.1078157594548408</v>
      </c>
      <c r="P55">
        <v>8.6145542444207592</v>
      </c>
      <c r="Q55">
        <v>10.768192805526001</v>
      </c>
      <c r="R55">
        <v>12.9218313666311</v>
      </c>
      <c r="S55">
        <v>15.383132579322799</v>
      </c>
      <c r="T55">
        <v>17.3896281331475</v>
      </c>
      <c r="U55">
        <v>21.0124673275532</v>
      </c>
      <c r="V55">
        <v>26.055459486166001</v>
      </c>
      <c r="W55">
        <v>33.499876482213402</v>
      </c>
      <c r="X55">
        <v>38.285573122529598</v>
      </c>
      <c r="Y55">
        <v>41.086956521739097</v>
      </c>
      <c r="Z55">
        <v>45</v>
      </c>
      <c r="AA55">
        <v>49</v>
      </c>
      <c r="AB55">
        <v>52</v>
      </c>
      <c r="AC55">
        <v>54.039215686274503</v>
      </c>
      <c r="AD55">
        <v>55.078431372548998</v>
      </c>
      <c r="AE55">
        <v>54.039215686274503</v>
      </c>
    </row>
    <row r="56" spans="1:31" x14ac:dyDescent="0.3">
      <c r="A56" t="s">
        <v>304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304</v>
      </c>
      <c r="B57" t="s">
        <v>232</v>
      </c>
      <c r="C57" t="s">
        <v>0</v>
      </c>
      <c r="D57" t="s">
        <v>233</v>
      </c>
      <c r="E57" t="s">
        <v>123</v>
      </c>
      <c r="F57">
        <v>266.92438861868601</v>
      </c>
      <c r="G57">
        <v>342.05866097061198</v>
      </c>
      <c r="H57">
        <v>447.80806864285898</v>
      </c>
      <c r="I57">
        <v>573.34598440539105</v>
      </c>
      <c r="J57">
        <v>708.073681942093</v>
      </c>
      <c r="K57">
        <v>797.96671348320899</v>
      </c>
      <c r="L57">
        <v>896.59682739807999</v>
      </c>
      <c r="M57">
        <v>908.07400132790701</v>
      </c>
      <c r="N57">
        <v>1020.6451585173201</v>
      </c>
      <c r="O57">
        <v>1187.8282002419801</v>
      </c>
      <c r="P57">
        <v>1305.9863954457201</v>
      </c>
      <c r="Q57">
        <v>1479.72346535056</v>
      </c>
      <c r="R57">
        <v>1743.5722654246499</v>
      </c>
      <c r="S57">
        <v>2024.5827879630999</v>
      </c>
      <c r="T57">
        <v>2186.9553423862098</v>
      </c>
      <c r="U57">
        <v>2321.7409762418602</v>
      </c>
      <c r="V57">
        <v>2499.4434586542202</v>
      </c>
      <c r="W57">
        <v>2685.4617289053999</v>
      </c>
      <c r="X57">
        <v>2780.6158846540202</v>
      </c>
      <c r="Y57">
        <v>2888.2956636005301</v>
      </c>
      <c r="Z57">
        <v>3038</v>
      </c>
      <c r="AA57">
        <v>3208</v>
      </c>
      <c r="AB57">
        <v>3377.9470239950101</v>
      </c>
      <c r="AC57">
        <v>3515.9251821009502</v>
      </c>
      <c r="AD57">
        <v>3506.7611720694099</v>
      </c>
      <c r="AE57">
        <v>3553.7632157510002</v>
      </c>
    </row>
    <row r="58" spans="1:31" x14ac:dyDescent="0.3">
      <c r="A58" t="s">
        <v>304</v>
      </c>
      <c r="B58" t="s">
        <v>234</v>
      </c>
      <c r="C58" t="s">
        <v>0</v>
      </c>
      <c r="D58" t="s">
        <v>235</v>
      </c>
      <c r="E58" t="s">
        <v>123</v>
      </c>
      <c r="F58">
        <v>266.92438861868601</v>
      </c>
      <c r="G58">
        <v>342.05866097061198</v>
      </c>
      <c r="H58">
        <v>447.80806864285898</v>
      </c>
      <c r="I58">
        <v>573.34598440539105</v>
      </c>
      <c r="J58">
        <v>708.073681942093</v>
      </c>
      <c r="K58">
        <v>797.96671348320899</v>
      </c>
      <c r="L58">
        <v>896.59682739807999</v>
      </c>
      <c r="M58">
        <v>908.07400132790701</v>
      </c>
      <c r="N58">
        <v>1020.6451585173201</v>
      </c>
      <c r="O58">
        <v>1187.8282002419801</v>
      </c>
      <c r="P58">
        <v>1305.9863954457201</v>
      </c>
      <c r="Q58">
        <v>1479.72346535056</v>
      </c>
      <c r="R58">
        <v>1743.5722654246499</v>
      </c>
      <c r="S58">
        <v>2024.5827879630999</v>
      </c>
      <c r="T58">
        <v>2186.9553423862098</v>
      </c>
      <c r="U58">
        <v>2321.7409762418602</v>
      </c>
      <c r="V58">
        <v>2499.4434586542202</v>
      </c>
      <c r="W58">
        <v>2685.4617289053999</v>
      </c>
      <c r="X58">
        <v>2780.6158846540202</v>
      </c>
      <c r="Y58">
        <v>2888.2956636005301</v>
      </c>
      <c r="Z58">
        <v>3038</v>
      </c>
      <c r="AA58">
        <v>3208</v>
      </c>
      <c r="AB58">
        <v>3377.9470239950101</v>
      </c>
      <c r="AC58">
        <v>3515.9251821009502</v>
      </c>
      <c r="AD58">
        <v>3506.7611720694099</v>
      </c>
      <c r="AE58">
        <v>3553.7632157510002</v>
      </c>
    </row>
    <row r="59" spans="1:31" x14ac:dyDescent="0.3">
      <c r="A59" t="s">
        <v>304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305</v>
      </c>
      <c r="B2" t="s">
        <v>121</v>
      </c>
      <c r="C2" t="s">
        <v>0</v>
      </c>
      <c r="D2" t="s">
        <v>122</v>
      </c>
      <c r="E2" t="s">
        <v>123</v>
      </c>
      <c r="F2">
        <v>3</v>
      </c>
      <c r="G2">
        <v>3</v>
      </c>
      <c r="H2">
        <v>3</v>
      </c>
      <c r="I2">
        <v>3</v>
      </c>
      <c r="J2">
        <v>4</v>
      </c>
      <c r="K2">
        <v>5</v>
      </c>
      <c r="L2">
        <v>5</v>
      </c>
      <c r="M2">
        <v>5</v>
      </c>
      <c r="N2">
        <v>6</v>
      </c>
      <c r="O2">
        <v>6</v>
      </c>
      <c r="P2">
        <v>7</v>
      </c>
      <c r="Q2">
        <v>9</v>
      </c>
      <c r="R2">
        <v>9</v>
      </c>
      <c r="S2">
        <v>9</v>
      </c>
      <c r="T2">
        <v>10</v>
      </c>
      <c r="U2">
        <v>11</v>
      </c>
      <c r="V2">
        <v>11</v>
      </c>
      <c r="W2">
        <v>10</v>
      </c>
      <c r="X2">
        <v>11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</row>
    <row r="3" spans="1:31" x14ac:dyDescent="0.3">
      <c r="A3" t="s">
        <v>305</v>
      </c>
      <c r="B3" t="s">
        <v>124</v>
      </c>
      <c r="C3" t="s">
        <v>0</v>
      </c>
      <c r="D3" t="s">
        <v>125</v>
      </c>
      <c r="E3" t="s">
        <v>123</v>
      </c>
      <c r="F3" t="e">
        <v>#NUM!</v>
      </c>
      <c r="G3" t="e">
        <v>#NUM!</v>
      </c>
      <c r="H3" t="e">
        <v>#NUM!</v>
      </c>
      <c r="I3">
        <v>0</v>
      </c>
      <c r="J3">
        <v>1.1000000000000001</v>
      </c>
      <c r="K3">
        <v>1.1000000000000001</v>
      </c>
      <c r="L3">
        <v>2.2000000000000002</v>
      </c>
      <c r="M3">
        <v>2.2000000000000002</v>
      </c>
      <c r="N3">
        <v>2.2000000000000002</v>
      </c>
      <c r="O3">
        <v>2.2000000000000002</v>
      </c>
      <c r="P3">
        <v>3.3</v>
      </c>
      <c r="Q3">
        <v>3.3</v>
      </c>
      <c r="R3">
        <v>3.3</v>
      </c>
      <c r="S3">
        <v>3.3</v>
      </c>
      <c r="T3">
        <v>7.7</v>
      </c>
      <c r="U3">
        <v>12.1</v>
      </c>
      <c r="V3">
        <v>11</v>
      </c>
      <c r="W3">
        <v>9</v>
      </c>
      <c r="X3">
        <v>7</v>
      </c>
      <c r="Y3">
        <v>4</v>
      </c>
      <c r="Z3">
        <v>4</v>
      </c>
      <c r="AA3">
        <v>4</v>
      </c>
      <c r="AB3">
        <v>6</v>
      </c>
      <c r="AC3">
        <v>7</v>
      </c>
      <c r="AD3">
        <v>8</v>
      </c>
      <c r="AE3">
        <v>10</v>
      </c>
    </row>
    <row r="4" spans="1:31" x14ac:dyDescent="0.3">
      <c r="A4" t="s">
        <v>305</v>
      </c>
      <c r="B4" t="s">
        <v>126</v>
      </c>
      <c r="C4" t="s">
        <v>0</v>
      </c>
      <c r="D4" t="s">
        <v>127</v>
      </c>
      <c r="E4" t="s">
        <v>123</v>
      </c>
      <c r="F4">
        <v>407.25476549138</v>
      </c>
      <c r="G4">
        <v>419.02513443621802</v>
      </c>
      <c r="H4">
        <v>472.29104135607599</v>
      </c>
      <c r="I4">
        <v>577.37579805780297</v>
      </c>
      <c r="J4">
        <v>673.60509773410399</v>
      </c>
      <c r="K4">
        <v>782.67638580136997</v>
      </c>
      <c r="L4">
        <v>931.300998112809</v>
      </c>
      <c r="M4">
        <v>956.79946090338103</v>
      </c>
      <c r="N4">
        <v>1090.65223522665</v>
      </c>
      <c r="O4">
        <v>1133.5218028540601</v>
      </c>
      <c r="P4">
        <v>1256.7832355738001</v>
      </c>
      <c r="Q4">
        <v>1397.2260613256001</v>
      </c>
      <c r="R4">
        <v>1461.05283323</v>
      </c>
      <c r="S4">
        <v>1489.56674488555</v>
      </c>
      <c r="T4">
        <v>1563.71308359827</v>
      </c>
      <c r="U4">
        <v>1624.2794354277801</v>
      </c>
      <c r="V4">
        <v>1663.5501269492099</v>
      </c>
      <c r="W4">
        <v>1689.19251811606</v>
      </c>
      <c r="X4">
        <v>1601.1154408213599</v>
      </c>
      <c r="Y4">
        <v>1559.8229729729701</v>
      </c>
      <c r="Z4">
        <v>1501</v>
      </c>
      <c r="AA4">
        <v>1428</v>
      </c>
      <c r="AB4">
        <v>1435.89495507948</v>
      </c>
      <c r="AC4">
        <v>1501.34050745385</v>
      </c>
      <c r="AD4">
        <v>1555.44286808281</v>
      </c>
      <c r="AE4">
        <v>1611.91740913936</v>
      </c>
    </row>
    <row r="5" spans="1:31" x14ac:dyDescent="0.3">
      <c r="A5" t="s">
        <v>305</v>
      </c>
      <c r="B5" t="s">
        <v>128</v>
      </c>
      <c r="C5" t="s">
        <v>0</v>
      </c>
      <c r="D5" t="s">
        <v>129</v>
      </c>
      <c r="E5" t="s">
        <v>123</v>
      </c>
      <c r="F5">
        <v>22.192312354393302</v>
      </c>
      <c r="G5">
        <v>27.123937322036301</v>
      </c>
      <c r="H5">
        <v>29.589749805857799</v>
      </c>
      <c r="I5">
        <v>35.7542810154115</v>
      </c>
      <c r="J5">
        <v>46.850437192608098</v>
      </c>
      <c r="K5">
        <v>59.179499611715499</v>
      </c>
      <c r="L5">
        <v>62.878218337447699</v>
      </c>
      <c r="M5">
        <v>55.4807808859833</v>
      </c>
      <c r="N5">
        <v>71.508562030822901</v>
      </c>
      <c r="O5">
        <v>75.207280756555093</v>
      </c>
      <c r="P5">
        <v>87.337487330192999</v>
      </c>
      <c r="Q5">
        <v>87.337487330192999</v>
      </c>
      <c r="R5">
        <v>82.616542069101499</v>
      </c>
      <c r="S5">
        <v>79.174186149555595</v>
      </c>
      <c r="T5">
        <v>78.089608257096003</v>
      </c>
      <c r="U5">
        <v>84.597075611853995</v>
      </c>
      <c r="V5">
        <v>94.358276643990905</v>
      </c>
      <c r="W5">
        <v>100.791795506081</v>
      </c>
      <c r="X5">
        <v>106.15306122449</v>
      </c>
      <c r="Y5">
        <v>106.15306122449</v>
      </c>
      <c r="Z5">
        <v>101</v>
      </c>
      <c r="AA5">
        <v>104</v>
      </c>
      <c r="AB5">
        <v>101.056603773585</v>
      </c>
      <c r="AC5">
        <v>99.094339622641499</v>
      </c>
      <c r="AD5">
        <v>91.322234554198999</v>
      </c>
      <c r="AE5">
        <v>105.89493155752901</v>
      </c>
    </row>
    <row r="6" spans="1:31" x14ac:dyDescent="0.3">
      <c r="A6" t="s">
        <v>305</v>
      </c>
      <c r="B6" t="s">
        <v>130</v>
      </c>
      <c r="C6" t="s">
        <v>0</v>
      </c>
      <c r="D6" t="s">
        <v>131</v>
      </c>
      <c r="E6" t="s">
        <v>123</v>
      </c>
      <c r="F6">
        <v>2.5</v>
      </c>
      <c r="G6">
        <v>3.75</v>
      </c>
      <c r="H6">
        <v>3.75</v>
      </c>
      <c r="I6">
        <v>5</v>
      </c>
      <c r="J6">
        <v>3.75</v>
      </c>
      <c r="K6">
        <v>3.75</v>
      </c>
      <c r="L6">
        <v>3.75</v>
      </c>
      <c r="M6">
        <v>2.5</v>
      </c>
      <c r="N6">
        <v>5</v>
      </c>
      <c r="O6">
        <v>5</v>
      </c>
      <c r="P6">
        <v>7.5</v>
      </c>
      <c r="Q6">
        <v>7.5</v>
      </c>
      <c r="R6">
        <v>8.75</v>
      </c>
      <c r="S6">
        <v>7.5</v>
      </c>
      <c r="T6">
        <v>6.25</v>
      </c>
      <c r="U6">
        <v>6.25</v>
      </c>
      <c r="V6">
        <v>5</v>
      </c>
      <c r="W6">
        <v>6</v>
      </c>
      <c r="X6">
        <v>6</v>
      </c>
      <c r="Y6">
        <v>6</v>
      </c>
      <c r="Z6">
        <v>7</v>
      </c>
      <c r="AA6">
        <v>8</v>
      </c>
      <c r="AB6">
        <v>10</v>
      </c>
      <c r="AC6">
        <v>21</v>
      </c>
      <c r="AD6">
        <v>15</v>
      </c>
      <c r="AE6">
        <v>13.125</v>
      </c>
    </row>
    <row r="7" spans="1:31" x14ac:dyDescent="0.3">
      <c r="A7" t="s">
        <v>305</v>
      </c>
      <c r="B7" t="s">
        <v>132</v>
      </c>
      <c r="C7" t="s">
        <v>0</v>
      </c>
      <c r="D7" t="s">
        <v>133</v>
      </c>
      <c r="E7" t="s">
        <v>123</v>
      </c>
      <c r="F7">
        <v>104.071481023356</v>
      </c>
      <c r="G7">
        <v>107.46511627411699</v>
      </c>
      <c r="H7">
        <v>117.64602202640199</v>
      </c>
      <c r="I7">
        <v>144.795104032495</v>
      </c>
      <c r="J7">
        <v>159.73428143267299</v>
      </c>
      <c r="K7">
        <v>201.708253196003</v>
      </c>
      <c r="L7">
        <v>262.33732352081398</v>
      </c>
      <c r="M7">
        <v>271.92042209691601</v>
      </c>
      <c r="N7">
        <v>280.53328614523502</v>
      </c>
      <c r="O7">
        <v>270.51424021147699</v>
      </c>
      <c r="P7">
        <v>317.82390553994099</v>
      </c>
      <c r="Q7">
        <v>386.44497605424698</v>
      </c>
      <c r="R7">
        <v>374.80506713695002</v>
      </c>
      <c r="S7">
        <v>331.38252887108399</v>
      </c>
      <c r="T7">
        <v>312.54138174463401</v>
      </c>
      <c r="U7">
        <v>292.73242092983298</v>
      </c>
      <c r="V7">
        <v>259.96386634813598</v>
      </c>
      <c r="W7">
        <v>251.37001952671</v>
      </c>
      <c r="X7">
        <v>193.52336231345001</v>
      </c>
      <c r="Y7">
        <v>163.35036496350401</v>
      </c>
      <c r="Z7">
        <v>139</v>
      </c>
      <c r="AA7">
        <v>143</v>
      </c>
      <c r="AB7">
        <v>140.061643835616</v>
      </c>
      <c r="AC7">
        <v>136.19787435049599</v>
      </c>
      <c r="AD7">
        <v>148.66669383328801</v>
      </c>
      <c r="AE7">
        <v>172.339734252601</v>
      </c>
    </row>
    <row r="8" spans="1:31" x14ac:dyDescent="0.3">
      <c r="A8" t="s">
        <v>305</v>
      </c>
      <c r="B8" t="s">
        <v>134</v>
      </c>
      <c r="C8" t="s">
        <v>0</v>
      </c>
      <c r="D8" t="s">
        <v>135</v>
      </c>
      <c r="E8" t="s">
        <v>123</v>
      </c>
      <c r="F8">
        <v>13.657128795546599</v>
      </c>
      <c r="G8">
        <v>13.657128795546599</v>
      </c>
      <c r="H8">
        <v>14.795222861842101</v>
      </c>
      <c r="I8">
        <v>15.9333169281377</v>
      </c>
      <c r="J8">
        <v>18.209505060728802</v>
      </c>
      <c r="K8">
        <v>19.347599127024299</v>
      </c>
      <c r="L8">
        <v>27.314257591093099</v>
      </c>
      <c r="M8">
        <v>21.623787259615401</v>
      </c>
      <c r="N8">
        <v>30.033037860576901</v>
      </c>
      <c r="O8">
        <v>40.044050480769201</v>
      </c>
      <c r="P8">
        <v>46.111330856643399</v>
      </c>
      <c r="Q8">
        <v>33.976770104895103</v>
      </c>
      <c r="R8">
        <v>30.4619318181818</v>
      </c>
      <c r="S8">
        <v>30.4619318181818</v>
      </c>
      <c r="T8">
        <v>27.0772727272727</v>
      </c>
      <c r="U8">
        <v>24.820833333333301</v>
      </c>
      <c r="V8">
        <v>21.5833333333333</v>
      </c>
      <c r="W8">
        <v>18.5</v>
      </c>
      <c r="X8">
        <v>23.6388888888889</v>
      </c>
      <c r="Y8">
        <v>37</v>
      </c>
      <c r="Z8">
        <v>37</v>
      </c>
      <c r="AA8">
        <v>36</v>
      </c>
      <c r="AB8">
        <v>40.864864864864899</v>
      </c>
      <c r="AC8">
        <v>60.324324324324301</v>
      </c>
      <c r="AD8">
        <v>76.602316602316606</v>
      </c>
      <c r="AE8">
        <v>74.710901377568007</v>
      </c>
    </row>
    <row r="9" spans="1:31" x14ac:dyDescent="0.3">
      <c r="A9" t="s">
        <v>305</v>
      </c>
      <c r="B9" t="s">
        <v>136</v>
      </c>
      <c r="C9" t="s">
        <v>0</v>
      </c>
      <c r="D9" t="s">
        <v>137</v>
      </c>
      <c r="E9" t="s">
        <v>123</v>
      </c>
      <c r="F9">
        <v>16.6425873192679</v>
      </c>
      <c r="G9">
        <v>19.020099793448999</v>
      </c>
      <c r="H9">
        <v>20.288106446345601</v>
      </c>
      <c r="I9">
        <v>26.628139710828599</v>
      </c>
      <c r="J9">
        <v>27.896146363725201</v>
      </c>
      <c r="K9">
        <v>24.092126405035401</v>
      </c>
      <c r="L9">
        <v>27.896146363725201</v>
      </c>
      <c r="M9">
        <v>34.236179628208198</v>
      </c>
      <c r="N9">
        <v>36.772192934001403</v>
      </c>
      <c r="O9">
        <v>35.504186281104801</v>
      </c>
      <c r="P9">
        <v>37.952750852215402</v>
      </c>
      <c r="Q9">
        <v>35.504186281104801</v>
      </c>
      <c r="R9">
        <v>36.728468566660098</v>
      </c>
      <c r="S9">
        <v>40.401315423326103</v>
      </c>
      <c r="T9">
        <v>52.284055253716197</v>
      </c>
      <c r="U9">
        <v>47.530959321560204</v>
      </c>
      <c r="V9">
        <v>41.872511783279201</v>
      </c>
      <c r="W9">
        <v>45.178236397748599</v>
      </c>
      <c r="X9">
        <v>44.102564102564102</v>
      </c>
      <c r="Y9">
        <v>40</v>
      </c>
      <c r="Z9">
        <v>42</v>
      </c>
      <c r="AA9">
        <v>38</v>
      </c>
      <c r="AB9">
        <v>50.6666666666667</v>
      </c>
      <c r="AC9">
        <v>58.461538461538503</v>
      </c>
      <c r="AD9">
        <v>61.290322580645203</v>
      </c>
      <c r="AE9">
        <v>69.776674937965296</v>
      </c>
    </row>
    <row r="10" spans="1:31" x14ac:dyDescent="0.3">
      <c r="A10" t="s">
        <v>305</v>
      </c>
      <c r="B10" t="s">
        <v>138</v>
      </c>
      <c r="C10" t="s">
        <v>0</v>
      </c>
      <c r="D10" t="s">
        <v>139</v>
      </c>
      <c r="E10" t="s">
        <v>123</v>
      </c>
      <c r="F10">
        <v>20.505407669740201</v>
      </c>
      <c r="G10">
        <v>22.917808572062601</v>
      </c>
      <c r="H10">
        <v>26.737443334073099</v>
      </c>
      <c r="I10">
        <v>36.923136032767601</v>
      </c>
      <c r="J10">
        <v>38.196347620104397</v>
      </c>
      <c r="K10">
        <v>33.1035012707571</v>
      </c>
      <c r="L10">
        <v>38.196347620104397</v>
      </c>
      <c r="M10">
        <v>50.928463493472499</v>
      </c>
      <c r="N10">
        <v>53.474886668146098</v>
      </c>
      <c r="O10">
        <v>52.170621139654699</v>
      </c>
      <c r="P10">
        <v>54.715529487930603</v>
      </c>
      <c r="Q10">
        <v>49.625712791378902</v>
      </c>
      <c r="R10">
        <v>48.385069971594397</v>
      </c>
      <c r="S10">
        <v>52.013950219464</v>
      </c>
      <c r="T10">
        <v>63.835302542069499</v>
      </c>
      <c r="U10">
        <v>60.288896845287802</v>
      </c>
      <c r="V10">
        <v>55.738791423001999</v>
      </c>
      <c r="W10">
        <v>60.110461338531501</v>
      </c>
      <c r="X10">
        <v>60.110461338531501</v>
      </c>
      <c r="Y10">
        <v>55.964912280701803</v>
      </c>
      <c r="Z10">
        <v>58</v>
      </c>
      <c r="AA10">
        <v>54</v>
      </c>
      <c r="AB10">
        <v>65.571428571428598</v>
      </c>
      <c r="AC10">
        <v>72.321428571428598</v>
      </c>
      <c r="AD10">
        <v>82.653061224489804</v>
      </c>
      <c r="AE10">
        <v>89.227736549165101</v>
      </c>
    </row>
    <row r="11" spans="1:31" x14ac:dyDescent="0.3">
      <c r="A11" t="s">
        <v>305</v>
      </c>
      <c r="B11" t="s">
        <v>140</v>
      </c>
      <c r="C11" t="s">
        <v>0</v>
      </c>
      <c r="D11" t="s">
        <v>141</v>
      </c>
      <c r="E11" t="s">
        <v>123</v>
      </c>
      <c r="F11">
        <v>3.9111111111111101</v>
      </c>
      <c r="G11">
        <v>3.9111111111111101</v>
      </c>
      <c r="H11">
        <v>6.5185185185185199</v>
      </c>
      <c r="I11">
        <v>10.4296296296296</v>
      </c>
      <c r="J11">
        <v>10.4296296296296</v>
      </c>
      <c r="K11">
        <v>9.1259259259259196</v>
      </c>
      <c r="L11">
        <v>10.4296296296296</v>
      </c>
      <c r="M11">
        <v>16.9481481481481</v>
      </c>
      <c r="N11">
        <v>16.9481481481481</v>
      </c>
      <c r="O11">
        <v>16.9481481481481</v>
      </c>
      <c r="P11">
        <v>16.9481481481481</v>
      </c>
      <c r="Q11">
        <v>14.1234567901235</v>
      </c>
      <c r="R11">
        <v>11.5555555555556</v>
      </c>
      <c r="S11">
        <v>11.5555555555556</v>
      </c>
      <c r="T11">
        <v>11.5555555555556</v>
      </c>
      <c r="U11">
        <v>12.7111111111111</v>
      </c>
      <c r="V11">
        <v>13.866666666666699</v>
      </c>
      <c r="W11">
        <v>14.9333333333333</v>
      </c>
      <c r="X11">
        <v>16</v>
      </c>
      <c r="Y11">
        <v>16</v>
      </c>
      <c r="Z11">
        <v>16</v>
      </c>
      <c r="AA11">
        <v>16</v>
      </c>
      <c r="AB11">
        <v>15.0588235294118</v>
      </c>
      <c r="AC11">
        <v>14.117647058823501</v>
      </c>
      <c r="AD11">
        <v>21.647058823529399</v>
      </c>
      <c r="AE11">
        <v>19.764705882352899</v>
      </c>
    </row>
    <row r="12" spans="1:31" x14ac:dyDescent="0.3">
      <c r="A12" t="s">
        <v>305</v>
      </c>
      <c r="B12" t="s">
        <v>142</v>
      </c>
      <c r="C12" t="s">
        <v>0</v>
      </c>
      <c r="D12" t="s">
        <v>143</v>
      </c>
      <c r="E12" t="s">
        <v>123</v>
      </c>
      <c r="F12">
        <v>41.957725239425599</v>
      </c>
      <c r="G12">
        <v>40.723674497089497</v>
      </c>
      <c r="H12">
        <v>50.5960804357779</v>
      </c>
      <c r="I12">
        <v>55.532283405122101</v>
      </c>
      <c r="J12">
        <v>62.936587859138399</v>
      </c>
      <c r="K12">
        <v>70.340892313154598</v>
      </c>
      <c r="L12">
        <v>67.872790828482593</v>
      </c>
      <c r="M12">
        <v>58.000384889794198</v>
      </c>
      <c r="N12">
        <v>51.695995227860003</v>
      </c>
      <c r="O12">
        <v>54.217751092633698</v>
      </c>
      <c r="P12">
        <v>53.039104329750302</v>
      </c>
      <c r="Q12">
        <v>76.6120395874172</v>
      </c>
      <c r="R12">
        <v>76.6120395874172</v>
      </c>
      <c r="S12">
        <v>78.898966142265394</v>
      </c>
      <c r="T12">
        <v>71.120194832464605</v>
      </c>
      <c r="U12">
        <v>66.675182655435606</v>
      </c>
      <c r="V12">
        <v>68.897688743950098</v>
      </c>
      <c r="W12">
        <v>63.515056810829002</v>
      </c>
      <c r="X12">
        <v>58.132424877707898</v>
      </c>
      <c r="Y12">
        <v>57.075471698113198</v>
      </c>
      <c r="Z12">
        <v>55</v>
      </c>
      <c r="AA12">
        <v>51</v>
      </c>
      <c r="AB12">
        <v>52</v>
      </c>
      <c r="AC12">
        <v>62</v>
      </c>
      <c r="AD12">
        <v>76</v>
      </c>
      <c r="AE12">
        <v>86.857142857142804</v>
      </c>
    </row>
    <row r="13" spans="1:31" x14ac:dyDescent="0.3">
      <c r="A13" t="s">
        <v>305</v>
      </c>
      <c r="B13" t="s">
        <v>144</v>
      </c>
      <c r="C13" t="s">
        <v>0</v>
      </c>
      <c r="D13" t="s">
        <v>145</v>
      </c>
      <c r="E13" t="s">
        <v>123</v>
      </c>
      <c r="F13">
        <v>36.1227987569902</v>
      </c>
      <c r="G13">
        <v>33.933538226263501</v>
      </c>
      <c r="H13">
        <v>35.028168491626801</v>
      </c>
      <c r="I13">
        <v>42.690580349170197</v>
      </c>
      <c r="J13">
        <v>42.690580349170197</v>
      </c>
      <c r="K13">
        <v>43.785210614533597</v>
      </c>
      <c r="L13">
        <v>63.488555391073703</v>
      </c>
      <c r="M13">
        <v>64.602389696180197</v>
      </c>
      <c r="N13">
        <v>85.744989960384601</v>
      </c>
      <c r="O13">
        <v>94.198721364929597</v>
      </c>
      <c r="P13">
        <v>110.68349760379201</v>
      </c>
      <c r="Q13">
        <v>113.013676500714</v>
      </c>
      <c r="R13">
        <v>124.31504415078599</v>
      </c>
      <c r="S13">
        <v>123.20508839943901</v>
      </c>
      <c r="T13">
        <v>116.720610062627</v>
      </c>
      <c r="U13">
        <v>109.15538533634501</v>
      </c>
      <c r="V13">
        <v>103.804631153191</v>
      </c>
      <c r="W13">
        <v>110.032909022383</v>
      </c>
      <c r="X13">
        <v>97.692769692769701</v>
      </c>
      <c r="Y13">
        <v>112.957264957265</v>
      </c>
      <c r="Z13">
        <v>118</v>
      </c>
      <c r="AA13">
        <v>121</v>
      </c>
      <c r="AB13">
        <v>129.926229508197</v>
      </c>
      <c r="AC13">
        <v>127.957650273224</v>
      </c>
      <c r="AD13">
        <v>141.52891621129299</v>
      </c>
      <c r="AE13">
        <v>153.004233741939</v>
      </c>
    </row>
    <row r="14" spans="1:31" x14ac:dyDescent="0.3">
      <c r="A14" t="s">
        <v>305</v>
      </c>
      <c r="B14" t="s">
        <v>146</v>
      </c>
      <c r="C14" t="s">
        <v>0</v>
      </c>
      <c r="D14" t="s">
        <v>147</v>
      </c>
      <c r="E14" t="s">
        <v>123</v>
      </c>
      <c r="F14">
        <v>25.771651218013499</v>
      </c>
      <c r="G14">
        <v>25.771651218013499</v>
      </c>
      <c r="H14">
        <v>29.453315677729702</v>
      </c>
      <c r="I14">
        <v>53.997745409171202</v>
      </c>
      <c r="J14">
        <v>111.677155278059</v>
      </c>
      <c r="K14">
        <v>157.58887467014901</v>
      </c>
      <c r="L14">
        <v>197.29630765790299</v>
      </c>
      <c r="M14">
        <v>263.89951979719598</v>
      </c>
      <c r="N14">
        <v>311.29894811028402</v>
      </c>
      <c r="O14">
        <v>321.76277829886499</v>
      </c>
      <c r="P14">
        <v>346.231430640984</v>
      </c>
      <c r="Q14">
        <v>416.446196295449</v>
      </c>
      <c r="R14">
        <v>464.407696430599</v>
      </c>
      <c r="S14">
        <v>518.43532448069402</v>
      </c>
      <c r="T14">
        <v>562.93621070221297</v>
      </c>
      <c r="U14">
        <v>620.44639332797897</v>
      </c>
      <c r="V14">
        <v>688.41048588334104</v>
      </c>
      <c r="W14">
        <v>702.37200899797904</v>
      </c>
      <c r="X14">
        <v>668.77573950928695</v>
      </c>
      <c r="Y14">
        <v>606.85205992509395</v>
      </c>
      <c r="Z14">
        <v>541</v>
      </c>
      <c r="AA14">
        <v>477</v>
      </c>
      <c r="AB14">
        <v>454.19126819126802</v>
      </c>
      <c r="AC14">
        <v>429.71975589648002</v>
      </c>
      <c r="AD14">
        <v>413.22938151670502</v>
      </c>
      <c r="AE14">
        <v>373.736596802988</v>
      </c>
    </row>
    <row r="15" spans="1:31" x14ac:dyDescent="0.3">
      <c r="A15" t="s">
        <v>305</v>
      </c>
      <c r="B15" t="s">
        <v>148</v>
      </c>
      <c r="C15" t="s">
        <v>0</v>
      </c>
      <c r="D15" t="s">
        <v>149</v>
      </c>
      <c r="E15" t="s">
        <v>123</v>
      </c>
      <c r="F15">
        <v>59.643036401278898</v>
      </c>
      <c r="G15">
        <v>63.294650874826601</v>
      </c>
      <c r="H15">
        <v>66.946265348374297</v>
      </c>
      <c r="I15">
        <v>94.941976312239902</v>
      </c>
      <c r="J15">
        <v>155.35959760184701</v>
      </c>
      <c r="K15">
        <v>198.860284930364</v>
      </c>
      <c r="L15">
        <v>236.14658835480799</v>
      </c>
      <c r="M15">
        <v>292.671037695054</v>
      </c>
      <c r="N15">
        <v>347.626734729497</v>
      </c>
      <c r="O15">
        <v>358.042517043489</v>
      </c>
      <c r="P15">
        <v>383.70426741179398</v>
      </c>
      <c r="Q15">
        <v>459.96095147155103</v>
      </c>
      <c r="R15">
        <v>510.28746779032099</v>
      </c>
      <c r="S15">
        <v>578.095937609305</v>
      </c>
      <c r="T15">
        <v>634.90305286571095</v>
      </c>
      <c r="U15">
        <v>694.63260836178802</v>
      </c>
      <c r="V15">
        <v>761.46634512845901</v>
      </c>
      <c r="W15">
        <v>773.28035048306106</v>
      </c>
      <c r="X15">
        <v>726.00098122798295</v>
      </c>
      <c r="Y15">
        <v>663.00516351118802</v>
      </c>
      <c r="Z15">
        <v>589</v>
      </c>
      <c r="AA15">
        <v>520</v>
      </c>
      <c r="AB15">
        <v>503.16190476190502</v>
      </c>
      <c r="AC15">
        <v>483.58362052992402</v>
      </c>
      <c r="AD15">
        <v>474.86167146225</v>
      </c>
      <c r="AE15">
        <v>434.48881680351599</v>
      </c>
    </row>
    <row r="16" spans="1:31" x14ac:dyDescent="0.3">
      <c r="A16" t="s">
        <v>305</v>
      </c>
      <c r="B16" t="s">
        <v>150</v>
      </c>
      <c r="C16" t="s">
        <v>0</v>
      </c>
      <c r="D16" t="s">
        <v>151</v>
      </c>
      <c r="E16" t="s">
        <v>123</v>
      </c>
      <c r="F16">
        <v>33.985773067311001</v>
      </c>
      <c r="G16">
        <v>37.627105895951402</v>
      </c>
      <c r="H16">
        <v>37.627105895951402</v>
      </c>
      <c r="I16">
        <v>41.268438724591903</v>
      </c>
      <c r="J16">
        <v>43.769556223052</v>
      </c>
      <c r="K16">
        <v>41.268438724591903</v>
      </c>
      <c r="L16">
        <v>38.767321226131799</v>
      </c>
      <c r="M16">
        <v>28.7628512322913</v>
      </c>
      <c r="N16">
        <v>36.266203727671702</v>
      </c>
      <c r="O16">
        <v>36.266203727671702</v>
      </c>
      <c r="P16">
        <v>37.475077185260702</v>
      </c>
      <c r="Q16">
        <v>43.519444473206001</v>
      </c>
      <c r="R16">
        <v>45.871846877163101</v>
      </c>
      <c r="S16">
        <v>59.633400940312001</v>
      </c>
      <c r="T16">
        <v>72.010144531697506</v>
      </c>
      <c r="U16">
        <v>74.225841286519</v>
      </c>
      <c r="V16">
        <v>73.134284797011404</v>
      </c>
      <c r="W16">
        <v>70.983276420628698</v>
      </c>
      <c r="X16">
        <v>57.210401891252999</v>
      </c>
      <c r="Y16">
        <v>56.170212765957501</v>
      </c>
      <c r="Z16">
        <v>48</v>
      </c>
      <c r="AA16">
        <v>43</v>
      </c>
      <c r="AB16">
        <v>48.863636363636402</v>
      </c>
      <c r="AC16">
        <v>53.75</v>
      </c>
      <c r="AD16">
        <v>61.428571428571402</v>
      </c>
      <c r="AE16">
        <v>60.483516483516503</v>
      </c>
    </row>
    <row r="17" spans="1:31" x14ac:dyDescent="0.3">
      <c r="A17" t="s">
        <v>305</v>
      </c>
      <c r="B17" t="s">
        <v>152</v>
      </c>
      <c r="C17" t="s">
        <v>0</v>
      </c>
      <c r="D17" t="s">
        <v>153</v>
      </c>
      <c r="E17" t="s">
        <v>123</v>
      </c>
      <c r="F17">
        <v>65.970726024823605</v>
      </c>
      <c r="G17">
        <v>64.771258278917699</v>
      </c>
      <c r="H17">
        <v>81.880647258254399</v>
      </c>
      <c r="I17">
        <v>81.880647258254399</v>
      </c>
      <c r="J17">
        <v>80.676520092691902</v>
      </c>
      <c r="K17">
        <v>90.309537417192402</v>
      </c>
      <c r="L17">
        <v>96.330173245005199</v>
      </c>
      <c r="M17">
        <v>80.478372584434695</v>
      </c>
      <c r="N17">
        <v>103.646388934499</v>
      </c>
      <c r="O17">
        <v>122.37766404314399</v>
      </c>
      <c r="P17">
        <v>134.375474243452</v>
      </c>
      <c r="Q17">
        <v>131.97591220339001</v>
      </c>
      <c r="R17">
        <v>150.49884724948001</v>
      </c>
      <c r="S17">
        <v>160.68297977012199</v>
      </c>
      <c r="T17">
        <v>202.50457724453699</v>
      </c>
      <c r="U17">
        <v>227.680821983047</v>
      </c>
      <c r="V17">
        <v>230.93340515423299</v>
      </c>
      <c r="W17">
        <v>234.12603287525999</v>
      </c>
      <c r="X17">
        <v>253.896675651393</v>
      </c>
      <c r="Y17">
        <v>280.622641509434</v>
      </c>
      <c r="Z17">
        <v>321</v>
      </c>
      <c r="AA17">
        <v>312</v>
      </c>
      <c r="AB17">
        <v>317.94285714285701</v>
      </c>
      <c r="AC17">
        <v>355.11771428571399</v>
      </c>
      <c r="AD17">
        <v>348.36275776397503</v>
      </c>
      <c r="AE17">
        <v>367.50356863012797</v>
      </c>
    </row>
    <row r="18" spans="1:31" x14ac:dyDescent="0.3">
      <c r="A18" t="s">
        <v>305</v>
      </c>
      <c r="B18" t="s">
        <v>154</v>
      </c>
      <c r="C18" t="s">
        <v>0</v>
      </c>
      <c r="D18" t="s">
        <v>155</v>
      </c>
      <c r="E18" t="s">
        <v>123</v>
      </c>
      <c r="F18">
        <v>11.9289940828402</v>
      </c>
      <c r="G18">
        <v>11.9289940828402</v>
      </c>
      <c r="H18">
        <v>12.9230769230769</v>
      </c>
      <c r="I18">
        <v>26.840236686390501</v>
      </c>
      <c r="J18">
        <v>25.846153846153801</v>
      </c>
      <c r="K18">
        <v>23.692307692307701</v>
      </c>
      <c r="L18">
        <v>24.769230769230798</v>
      </c>
      <c r="M18">
        <v>19.384615384615401</v>
      </c>
      <c r="N18">
        <v>20.524886877827999</v>
      </c>
      <c r="O18">
        <v>19.384615384615401</v>
      </c>
      <c r="P18">
        <v>18.307692307692299</v>
      </c>
      <c r="Q18">
        <v>14</v>
      </c>
      <c r="R18">
        <v>15</v>
      </c>
      <c r="S18">
        <v>15</v>
      </c>
      <c r="T18">
        <v>17</v>
      </c>
      <c r="U18">
        <v>18</v>
      </c>
      <c r="V18">
        <v>22</v>
      </c>
      <c r="W18">
        <v>28</v>
      </c>
      <c r="X18">
        <v>29</v>
      </c>
      <c r="Y18">
        <v>29</v>
      </c>
      <c r="Z18">
        <v>26</v>
      </c>
      <c r="AA18">
        <v>29</v>
      </c>
      <c r="AB18">
        <v>29</v>
      </c>
      <c r="AC18">
        <v>29.90625</v>
      </c>
      <c r="AD18">
        <v>29.90625</v>
      </c>
      <c r="AE18">
        <v>29</v>
      </c>
    </row>
    <row r="19" spans="1:31" x14ac:dyDescent="0.3">
      <c r="A19" t="s">
        <v>305</v>
      </c>
      <c r="B19" t="s">
        <v>156</v>
      </c>
      <c r="C19" t="s">
        <v>0</v>
      </c>
      <c r="D19" t="s">
        <v>157</v>
      </c>
      <c r="E19" t="s">
        <v>123</v>
      </c>
      <c r="F19">
        <v>27.062863851797399</v>
      </c>
      <c r="G19">
        <v>28.2929940268791</v>
      </c>
      <c r="H19">
        <v>31.9833845521241</v>
      </c>
      <c r="I19">
        <v>34.443644902287502</v>
      </c>
      <c r="J19">
        <v>39.3641656026143</v>
      </c>
      <c r="K19">
        <v>39.3641656026143</v>
      </c>
      <c r="L19">
        <v>46.744946653104499</v>
      </c>
      <c r="M19">
        <v>40.594295777695997</v>
      </c>
      <c r="N19">
        <v>41.824425952777702</v>
      </c>
      <c r="O19">
        <v>43.054556127859399</v>
      </c>
      <c r="P19">
        <v>44.250516020299898</v>
      </c>
      <c r="Q19">
        <v>38.270716558097298</v>
      </c>
      <c r="R19">
        <v>40.4576146471314</v>
      </c>
      <c r="S19">
        <v>34.990369424546103</v>
      </c>
      <c r="T19">
        <v>36.083818469063097</v>
      </c>
      <c r="U19">
        <v>41.551063691648501</v>
      </c>
      <c r="V19">
        <v>41.551063691648501</v>
      </c>
      <c r="W19">
        <v>44.831410825199697</v>
      </c>
      <c r="X19">
        <v>47.959183673469397</v>
      </c>
      <c r="Y19">
        <v>48.979591836734699</v>
      </c>
      <c r="Z19">
        <v>50</v>
      </c>
      <c r="AA19">
        <v>50</v>
      </c>
      <c r="AB19">
        <v>46.078431372548998</v>
      </c>
      <c r="AC19">
        <v>53.921568627451002</v>
      </c>
      <c r="AD19">
        <v>70.588235294117695</v>
      </c>
      <c r="AE19">
        <v>86.059629331184496</v>
      </c>
    </row>
    <row r="20" spans="1:31" x14ac:dyDescent="0.3">
      <c r="A20" t="s">
        <v>305</v>
      </c>
      <c r="B20" t="s">
        <v>158</v>
      </c>
      <c r="C20" t="s">
        <v>0</v>
      </c>
      <c r="D20" t="s">
        <v>159</v>
      </c>
      <c r="E20" t="s">
        <v>123</v>
      </c>
      <c r="F20">
        <v>28.115023215211401</v>
      </c>
      <c r="G20">
        <v>28.115023215211401</v>
      </c>
      <c r="H20">
        <v>30.3642250724284</v>
      </c>
      <c r="I20">
        <v>39.361032501296002</v>
      </c>
      <c r="J20">
        <v>48.622451913365701</v>
      </c>
      <c r="K20">
        <v>54.552019219873699</v>
      </c>
      <c r="L20">
        <v>61.6674999876833</v>
      </c>
      <c r="M20">
        <v>66.504166653383905</v>
      </c>
      <c r="N20">
        <v>64.041049369925304</v>
      </c>
      <c r="O20">
        <v>65.296756220315899</v>
      </c>
      <c r="P20">
        <v>85.853142437822797</v>
      </c>
      <c r="Q20">
        <v>90.6227614621463</v>
      </c>
      <c r="R20">
        <v>95.270082562769204</v>
      </c>
      <c r="S20">
        <v>99.806753160996294</v>
      </c>
      <c r="T20">
        <v>112.005356325118</v>
      </c>
      <c r="U20">
        <v>116.441212021162</v>
      </c>
      <c r="V20">
        <v>130.85774303330601</v>
      </c>
      <c r="W20">
        <v>140.59096358950299</v>
      </c>
      <c r="X20">
        <v>161.73246187363799</v>
      </c>
      <c r="Y20">
        <v>167.952941176471</v>
      </c>
      <c r="Z20">
        <v>172</v>
      </c>
      <c r="AA20">
        <v>181</v>
      </c>
      <c r="AB20">
        <v>181</v>
      </c>
      <c r="AC20">
        <v>198.51612903225799</v>
      </c>
      <c r="AD20">
        <v>208.15283432508599</v>
      </c>
      <c r="AE20">
        <v>214.80612126698401</v>
      </c>
    </row>
    <row r="21" spans="1:31" x14ac:dyDescent="0.3">
      <c r="A21" t="s">
        <v>305</v>
      </c>
      <c r="B21" t="s">
        <v>160</v>
      </c>
      <c r="C21" t="s">
        <v>0</v>
      </c>
      <c r="D21" t="s">
        <v>161</v>
      </c>
      <c r="E21" t="s">
        <v>123</v>
      </c>
      <c r="F21">
        <v>29.2165318982263</v>
      </c>
      <c r="G21">
        <v>28.092819132909899</v>
      </c>
      <c r="H21">
        <v>30.340244663542698</v>
      </c>
      <c r="I21">
        <v>39.329946786073897</v>
      </c>
      <c r="J21">
        <v>49.740815052975798</v>
      </c>
      <c r="K21">
        <v>55.662340654520598</v>
      </c>
      <c r="L21">
        <v>65.136781616992195</v>
      </c>
      <c r="M21">
        <v>68.755491706825097</v>
      </c>
      <c r="N21">
        <v>68.755491706825097</v>
      </c>
      <c r="O21">
        <v>68.755491706825097</v>
      </c>
      <c r="P21">
        <v>91.673988942433397</v>
      </c>
      <c r="Q21">
        <v>96.436274082300102</v>
      </c>
      <c r="R21">
        <v>101.08380536337501</v>
      </c>
      <c r="S21">
        <v>106.76267083322701</v>
      </c>
      <c r="T21">
        <v>117.88378237835499</v>
      </c>
      <c r="U21">
        <v>125.59580552460299</v>
      </c>
      <c r="V21">
        <v>137.71469904013401</v>
      </c>
      <c r="W21">
        <v>146.321867730143</v>
      </c>
      <c r="X21">
        <v>170.533399800598</v>
      </c>
      <c r="Y21">
        <v>182.93582887700501</v>
      </c>
      <c r="Z21">
        <v>189</v>
      </c>
      <c r="AA21">
        <v>198</v>
      </c>
      <c r="AB21">
        <v>199.98</v>
      </c>
      <c r="AC21">
        <v>216.56370731707301</v>
      </c>
      <c r="AD21">
        <v>230.09893902439001</v>
      </c>
      <c r="AE21">
        <v>234.87277593361</v>
      </c>
    </row>
    <row r="22" spans="1:31" x14ac:dyDescent="0.3">
      <c r="A22" t="s">
        <v>305</v>
      </c>
      <c r="B22" t="s">
        <v>162</v>
      </c>
      <c r="C22" t="s">
        <v>0</v>
      </c>
      <c r="D22" t="s">
        <v>163</v>
      </c>
      <c r="E22" t="s">
        <v>123</v>
      </c>
      <c r="F22" t="e">
        <v>#NUM!</v>
      </c>
      <c r="G22" t="e">
        <v>#NUM!</v>
      </c>
      <c r="H22" t="e">
        <v>#NUM!</v>
      </c>
      <c r="I22">
        <v>0</v>
      </c>
      <c r="J22">
        <v>1.2</v>
      </c>
      <c r="K22">
        <v>1.2</v>
      </c>
      <c r="L22">
        <v>3.6</v>
      </c>
      <c r="M22">
        <v>2.4</v>
      </c>
      <c r="N22">
        <v>4.8</v>
      </c>
      <c r="O22">
        <v>3.6</v>
      </c>
      <c r="P22">
        <v>6</v>
      </c>
      <c r="Q22">
        <v>6</v>
      </c>
      <c r="R22">
        <v>6</v>
      </c>
      <c r="S22">
        <v>7.2</v>
      </c>
      <c r="T22">
        <v>6</v>
      </c>
      <c r="U22">
        <v>9</v>
      </c>
      <c r="V22">
        <v>7</v>
      </c>
      <c r="W22">
        <v>6</v>
      </c>
      <c r="X22">
        <v>9</v>
      </c>
      <c r="Y22">
        <v>15</v>
      </c>
      <c r="Z22">
        <v>17</v>
      </c>
      <c r="AA22">
        <v>17</v>
      </c>
      <c r="AB22">
        <v>19</v>
      </c>
      <c r="AC22">
        <v>18</v>
      </c>
      <c r="AD22">
        <v>22</v>
      </c>
      <c r="AE22">
        <v>20</v>
      </c>
    </row>
    <row r="23" spans="1:31" x14ac:dyDescent="0.3">
      <c r="A23" t="s">
        <v>305</v>
      </c>
      <c r="B23" t="s">
        <v>164</v>
      </c>
      <c r="C23" t="s">
        <v>0</v>
      </c>
      <c r="D23" t="s">
        <v>165</v>
      </c>
      <c r="E23" t="s">
        <v>123</v>
      </c>
      <c r="F23">
        <v>37.109240958440601</v>
      </c>
      <c r="G23">
        <v>37.109240958440601</v>
      </c>
      <c r="H23">
        <v>40.700457825386501</v>
      </c>
      <c r="I23">
        <v>47.8828915592782</v>
      </c>
      <c r="J23">
        <v>55.065325293169899</v>
      </c>
      <c r="K23">
        <v>61.183694770188801</v>
      </c>
      <c r="L23">
        <v>68.525738142611502</v>
      </c>
      <c r="M23">
        <v>73.509428189346906</v>
      </c>
      <c r="N23">
        <v>80.984963259449998</v>
      </c>
      <c r="O23">
        <v>82.250353310378898</v>
      </c>
      <c r="P23">
        <v>89.507737426000503</v>
      </c>
      <c r="Q23">
        <v>93.088046923040494</v>
      </c>
      <c r="R23">
        <v>80.288440471122499</v>
      </c>
      <c r="S23">
        <v>99.787061728395102</v>
      </c>
      <c r="T23">
        <v>91.014572785239494</v>
      </c>
      <c r="U23">
        <v>92.111133903133904</v>
      </c>
      <c r="V23">
        <v>81.274529914529893</v>
      </c>
      <c r="W23">
        <v>96.246153846153803</v>
      </c>
      <c r="X23">
        <v>98.338461538461502</v>
      </c>
      <c r="Y23">
        <v>119.85</v>
      </c>
      <c r="Z23">
        <v>141</v>
      </c>
      <c r="AA23">
        <v>157</v>
      </c>
      <c r="AB23">
        <v>196.496855345912</v>
      </c>
      <c r="AC23">
        <v>189.687558378479</v>
      </c>
      <c r="AD23">
        <v>201.18377403778101</v>
      </c>
      <c r="AE23">
        <v>199.28581390534899</v>
      </c>
    </row>
    <row r="24" spans="1:31" x14ac:dyDescent="0.3">
      <c r="A24" t="s">
        <v>305</v>
      </c>
      <c r="B24" t="s">
        <v>166</v>
      </c>
      <c r="C24" t="s">
        <v>0</v>
      </c>
      <c r="D24" t="s">
        <v>167</v>
      </c>
      <c r="E24" t="s">
        <v>123</v>
      </c>
      <c r="F24">
        <v>65.628298166298805</v>
      </c>
      <c r="G24">
        <v>75.003769332912995</v>
      </c>
      <c r="H24">
        <v>90.238909978660899</v>
      </c>
      <c r="I24">
        <v>121.881125165984</v>
      </c>
      <c r="J24">
        <v>159.74710580007601</v>
      </c>
      <c r="K24">
        <v>208.62495160457601</v>
      </c>
      <c r="L24">
        <v>268.23208063445497</v>
      </c>
      <c r="M24">
        <v>329.19391714228601</v>
      </c>
      <c r="N24">
        <v>451.25458304897597</v>
      </c>
      <c r="O24">
        <v>497.89262654845197</v>
      </c>
      <c r="P24">
        <v>524.67413702294004</v>
      </c>
      <c r="Q24">
        <v>506.49835860413202</v>
      </c>
      <c r="R24">
        <v>493.60140965819301</v>
      </c>
      <c r="S24">
        <v>515.36110057120004</v>
      </c>
      <c r="T24">
        <v>517.57770745537698</v>
      </c>
      <c r="U24">
        <v>504.36295747779297</v>
      </c>
      <c r="V24">
        <v>513.13448717305903</v>
      </c>
      <c r="W24">
        <v>584.909039658643</v>
      </c>
      <c r="X24">
        <v>663.52584606437495</v>
      </c>
      <c r="Y24">
        <v>745.95141700404895</v>
      </c>
      <c r="Z24">
        <v>750</v>
      </c>
      <c r="AA24">
        <v>733</v>
      </c>
      <c r="AB24">
        <v>733</v>
      </c>
      <c r="AC24">
        <v>763.29733333333297</v>
      </c>
      <c r="AD24">
        <v>769.09452827004202</v>
      </c>
      <c r="AE24">
        <v>815.96720474421204</v>
      </c>
    </row>
    <row r="25" spans="1:31" x14ac:dyDescent="0.3">
      <c r="A25" t="s">
        <v>305</v>
      </c>
      <c r="B25" t="s">
        <v>168</v>
      </c>
      <c r="C25" t="s">
        <v>0</v>
      </c>
      <c r="D25" t="s">
        <v>169</v>
      </c>
      <c r="E25" t="s">
        <v>123</v>
      </c>
      <c r="F25">
        <v>11.344136757029201</v>
      </c>
      <c r="G25">
        <v>11.344136757029201</v>
      </c>
      <c r="H25">
        <v>12.478550432732201</v>
      </c>
      <c r="I25">
        <v>15.881791459840899</v>
      </c>
      <c r="J25">
        <v>20.419446162652601</v>
      </c>
      <c r="K25">
        <v>21.553859838355599</v>
      </c>
      <c r="L25">
        <v>24.957100865464302</v>
      </c>
      <c r="M25">
        <v>27.333967614556201</v>
      </c>
      <c r="N25">
        <v>32.0877011127399</v>
      </c>
      <c r="O25">
        <v>33.321843463229897</v>
      </c>
      <c r="P25">
        <v>33.321843463229897</v>
      </c>
      <c r="Q25">
        <v>33.321843463229897</v>
      </c>
      <c r="R25">
        <v>36.892040977147403</v>
      </c>
      <c r="S25">
        <v>41.503546099290801</v>
      </c>
      <c r="T25">
        <v>43.746981023576801</v>
      </c>
      <c r="U25">
        <v>45.9904159478628</v>
      </c>
      <c r="V25">
        <v>41.503546099290801</v>
      </c>
      <c r="W25">
        <v>45.872340425531902</v>
      </c>
      <c r="X25">
        <v>45.872340425531902</v>
      </c>
      <c r="Y25">
        <v>50.042553191489397</v>
      </c>
      <c r="Z25">
        <v>48</v>
      </c>
      <c r="AA25">
        <v>50</v>
      </c>
      <c r="AB25">
        <v>51</v>
      </c>
      <c r="AC25">
        <v>64.730769230769198</v>
      </c>
      <c r="AD25">
        <v>68.653846153846104</v>
      </c>
      <c r="AE25">
        <v>75.422535211267601</v>
      </c>
    </row>
    <row r="26" spans="1:31" x14ac:dyDescent="0.3">
      <c r="A26" t="s">
        <v>305</v>
      </c>
      <c r="B26" t="s">
        <v>170</v>
      </c>
      <c r="C26" t="s">
        <v>0</v>
      </c>
      <c r="D26" t="s">
        <v>171</v>
      </c>
      <c r="E26" t="s">
        <v>123</v>
      </c>
      <c r="F26">
        <v>43.097304808111701</v>
      </c>
      <c r="G26">
        <v>50.086056939156798</v>
      </c>
      <c r="H26">
        <v>60.569185135724602</v>
      </c>
      <c r="I26">
        <v>82.700233550700801</v>
      </c>
      <c r="J26">
        <v>109.873167431645</v>
      </c>
      <c r="K26">
        <v>148.08992132091299</v>
      </c>
      <c r="L26">
        <v>193.472316564419</v>
      </c>
      <c r="M26">
        <v>240.92779043871101</v>
      </c>
      <c r="N26">
        <v>342.24101513601403</v>
      </c>
      <c r="O26">
        <v>378.86459240149202</v>
      </c>
      <c r="P26">
        <v>393.48316188322201</v>
      </c>
      <c r="Q26">
        <v>371.69024830199697</v>
      </c>
      <c r="R26">
        <v>345.97582860814799</v>
      </c>
      <c r="S26">
        <v>353.96866953308898</v>
      </c>
      <c r="T26">
        <v>359.49942999454299</v>
      </c>
      <c r="U26">
        <v>338.61108390923403</v>
      </c>
      <c r="V26">
        <v>352.81090355703998</v>
      </c>
      <c r="W26">
        <v>398.78323341447299</v>
      </c>
      <c r="X26">
        <v>441.69691470054403</v>
      </c>
      <c r="Y26">
        <v>477.732793522267</v>
      </c>
      <c r="Z26">
        <v>500</v>
      </c>
      <c r="AA26">
        <v>482</v>
      </c>
      <c r="AB26">
        <v>495.856262833676</v>
      </c>
      <c r="AC26">
        <v>508.57052598325703</v>
      </c>
      <c r="AD26">
        <v>494.067564215674</v>
      </c>
      <c r="AE26">
        <v>522.79242260030605</v>
      </c>
    </row>
    <row r="27" spans="1:31" x14ac:dyDescent="0.3">
      <c r="A27" t="s">
        <v>305</v>
      </c>
      <c r="B27" t="s">
        <v>172</v>
      </c>
      <c r="C27" t="s">
        <v>0</v>
      </c>
      <c r="D27" t="s">
        <v>173</v>
      </c>
      <c r="E27" t="s">
        <v>123</v>
      </c>
      <c r="F27">
        <v>10.865632312406801</v>
      </c>
      <c r="G27">
        <v>13.280217270719399</v>
      </c>
      <c r="H27">
        <v>16.902094708188301</v>
      </c>
      <c r="I27">
        <v>22.938557103969799</v>
      </c>
      <c r="J27">
        <v>28.975019499751401</v>
      </c>
      <c r="K27">
        <v>38.633359333001799</v>
      </c>
      <c r="L27">
        <v>49.498991645408601</v>
      </c>
      <c r="M27">
        <v>60.636264765625498</v>
      </c>
      <c r="N27">
        <v>76.723437050383296</v>
      </c>
      <c r="O27">
        <v>85.527765892230505</v>
      </c>
      <c r="P27">
        <v>97.746018162549205</v>
      </c>
      <c r="Q27">
        <v>101.411493843645</v>
      </c>
      <c r="R27">
        <v>110.845121177937</v>
      </c>
      <c r="S27">
        <v>120.082214609432</v>
      </c>
      <c r="T27">
        <v>114.522852821958</v>
      </c>
      <c r="U27">
        <v>120.02875920762899</v>
      </c>
      <c r="V27">
        <v>118.927577930495</v>
      </c>
      <c r="W27">
        <v>140.35597035040399</v>
      </c>
      <c r="X27">
        <v>175.968679245283</v>
      </c>
      <c r="Y27">
        <v>218.16</v>
      </c>
      <c r="Z27">
        <v>202</v>
      </c>
      <c r="AA27">
        <v>201</v>
      </c>
      <c r="AB27">
        <v>186.147783251232</v>
      </c>
      <c r="AC27">
        <v>190.046166146545</v>
      </c>
      <c r="AD27">
        <v>206.363261219733</v>
      </c>
      <c r="AE27">
        <v>217.77505446690799</v>
      </c>
    </row>
    <row r="28" spans="1:31" x14ac:dyDescent="0.3">
      <c r="A28" t="s">
        <v>305</v>
      </c>
      <c r="B28" t="s">
        <v>174</v>
      </c>
      <c r="C28" t="s">
        <v>0</v>
      </c>
      <c r="D28" t="s">
        <v>175</v>
      </c>
      <c r="E28" t="s">
        <v>123</v>
      </c>
      <c r="F28">
        <v>113.964653422426</v>
      </c>
      <c r="G28">
        <v>127.30094265271001</v>
      </c>
      <c r="H28">
        <v>144.274401673071</v>
      </c>
      <c r="I28">
        <v>171.92699532707701</v>
      </c>
      <c r="J28">
        <v>197.352818579672</v>
      </c>
      <c r="K28">
        <v>211.97154588186999</v>
      </c>
      <c r="L28">
        <v>213.18977315705399</v>
      </c>
      <c r="M28">
        <v>204.66218223077101</v>
      </c>
      <c r="N28">
        <v>198.46029792074799</v>
      </c>
      <c r="O28">
        <v>215.934789561569</v>
      </c>
      <c r="P28">
        <v>213.50855597098899</v>
      </c>
      <c r="Q28">
        <v>214.721672766279</v>
      </c>
      <c r="R28">
        <v>204.16159049908501</v>
      </c>
      <c r="S28">
        <v>193.72150916674499</v>
      </c>
      <c r="T28">
        <v>224.89508535449701</v>
      </c>
      <c r="U28">
        <v>208.43934740172901</v>
      </c>
      <c r="V28">
        <v>204.07412546661499</v>
      </c>
      <c r="W28">
        <v>208.37042284485901</v>
      </c>
      <c r="X28">
        <v>195.868197474168</v>
      </c>
      <c r="Y28">
        <v>199.97014925373099</v>
      </c>
      <c r="Z28">
        <v>203</v>
      </c>
      <c r="AA28">
        <v>216</v>
      </c>
      <c r="AB28">
        <v>242</v>
      </c>
      <c r="AC28">
        <v>256.816326530612</v>
      </c>
      <c r="AD28">
        <v>272.38095238095201</v>
      </c>
      <c r="AE28">
        <v>289.76697061803401</v>
      </c>
    </row>
    <row r="29" spans="1:31" x14ac:dyDescent="0.3">
      <c r="A29" t="s">
        <v>305</v>
      </c>
      <c r="B29" t="s">
        <v>176</v>
      </c>
      <c r="C29" t="s">
        <v>0</v>
      </c>
      <c r="D29" t="s">
        <v>177</v>
      </c>
      <c r="E29" t="s">
        <v>123</v>
      </c>
      <c r="F29">
        <v>23.207191670452001</v>
      </c>
      <c r="G29">
        <v>21.842062748660702</v>
      </c>
      <c r="H29">
        <v>24.572320592243301</v>
      </c>
      <c r="I29">
        <v>23.279040561072598</v>
      </c>
      <c r="J29">
        <v>23.279040561072598</v>
      </c>
      <c r="K29">
        <v>24.572320592243301</v>
      </c>
      <c r="L29">
        <v>28.452160685755398</v>
      </c>
      <c r="M29">
        <v>31.0387207480968</v>
      </c>
      <c r="N29">
        <v>31.0387207480968</v>
      </c>
      <c r="O29">
        <v>36.436759139070197</v>
      </c>
      <c r="P29">
        <v>35.087249541326898</v>
      </c>
      <c r="Q29">
        <v>39.135778334556903</v>
      </c>
      <c r="R29">
        <v>41.660667259367003</v>
      </c>
      <c r="S29">
        <v>35.348444947341697</v>
      </c>
      <c r="T29">
        <v>61.270637908725597</v>
      </c>
      <c r="U29">
        <v>54.334339277549198</v>
      </c>
      <c r="V29">
        <v>40.7507544581619</v>
      </c>
      <c r="W29">
        <v>33.041152263374499</v>
      </c>
      <c r="X29">
        <v>28.7777777777778</v>
      </c>
      <c r="Y29">
        <v>37</v>
      </c>
      <c r="Z29">
        <v>35</v>
      </c>
      <c r="AA29">
        <v>37</v>
      </c>
      <c r="AB29">
        <v>57</v>
      </c>
      <c r="AC29">
        <v>59</v>
      </c>
      <c r="AD29">
        <v>61.9016393442623</v>
      </c>
      <c r="AE29">
        <v>61.9016393442623</v>
      </c>
    </row>
    <row r="30" spans="1:31" x14ac:dyDescent="0.3">
      <c r="A30" t="s">
        <v>305</v>
      </c>
      <c r="B30" t="s">
        <v>178</v>
      </c>
      <c r="C30" t="s">
        <v>0</v>
      </c>
      <c r="D30" t="s">
        <v>179</v>
      </c>
      <c r="E30" t="s">
        <v>123</v>
      </c>
      <c r="F30">
        <v>4.8148148148148202</v>
      </c>
      <c r="G30">
        <v>4.8148148148148202</v>
      </c>
      <c r="H30">
        <v>6.0185185185185199</v>
      </c>
      <c r="I30">
        <v>6.0185185185185199</v>
      </c>
      <c r="J30">
        <v>7.2222222222222197</v>
      </c>
      <c r="K30">
        <v>8.4259259259259291</v>
      </c>
      <c r="L30">
        <v>9.6296296296296298</v>
      </c>
      <c r="M30">
        <v>10.8333333333333</v>
      </c>
      <c r="N30">
        <v>10.8333333333333</v>
      </c>
      <c r="O30">
        <v>10.8333333333333</v>
      </c>
      <c r="P30">
        <v>11.9166666666667</v>
      </c>
      <c r="Q30">
        <v>11.9166666666667</v>
      </c>
      <c r="R30">
        <v>11.9166666666667</v>
      </c>
      <c r="S30">
        <v>13</v>
      </c>
      <c r="T30">
        <v>13</v>
      </c>
      <c r="U30">
        <v>13</v>
      </c>
      <c r="V30">
        <v>11</v>
      </c>
      <c r="W30">
        <v>10</v>
      </c>
      <c r="X30">
        <v>9</v>
      </c>
      <c r="Y30">
        <v>9</v>
      </c>
      <c r="Z30">
        <v>10</v>
      </c>
      <c r="AA30">
        <v>10</v>
      </c>
      <c r="AB30">
        <v>10</v>
      </c>
      <c r="AC30">
        <v>11</v>
      </c>
      <c r="AD30">
        <v>10</v>
      </c>
      <c r="AE30">
        <v>10</v>
      </c>
    </row>
    <row r="31" spans="1:31" x14ac:dyDescent="0.3">
      <c r="A31" t="s">
        <v>305</v>
      </c>
      <c r="B31" t="s">
        <v>180</v>
      </c>
      <c r="C31" t="s">
        <v>0</v>
      </c>
      <c r="D31" t="s">
        <v>181</v>
      </c>
      <c r="E31" t="s">
        <v>123</v>
      </c>
      <c r="F31">
        <v>32.960675660801797</v>
      </c>
      <c r="G31">
        <v>32.960675660801797</v>
      </c>
      <c r="H31">
        <v>34.137842648687602</v>
      </c>
      <c r="I31">
        <v>40.023677588116399</v>
      </c>
      <c r="J31">
        <v>45.909512527545303</v>
      </c>
      <c r="K31">
        <v>51.795347466974199</v>
      </c>
      <c r="L31">
        <v>57.681182406403103</v>
      </c>
      <c r="M31">
        <v>61.212683370060397</v>
      </c>
      <c r="N31">
        <v>62.412932063591001</v>
      </c>
      <c r="O31">
        <v>78.0161650794888</v>
      </c>
      <c r="P31">
        <v>78.0161650794888</v>
      </c>
      <c r="Q31">
        <v>75.687324330847304</v>
      </c>
      <c r="R31">
        <v>68.909354987786401</v>
      </c>
      <c r="S31">
        <v>60.017825311943</v>
      </c>
      <c r="T31">
        <v>54.659090909090899</v>
      </c>
      <c r="U31">
        <v>44.147727272727302</v>
      </c>
      <c r="V31">
        <v>38.892045454545503</v>
      </c>
      <c r="W31">
        <v>37.840909090909101</v>
      </c>
      <c r="X31">
        <v>36.818181818181799</v>
      </c>
      <c r="Y31">
        <v>34.772727272727302</v>
      </c>
      <c r="Z31">
        <v>45</v>
      </c>
      <c r="AA31">
        <v>60</v>
      </c>
      <c r="AB31">
        <v>63</v>
      </c>
      <c r="AC31">
        <v>73</v>
      </c>
      <c r="AD31">
        <v>76.945945945945894</v>
      </c>
      <c r="AE31">
        <v>67.205952788231301</v>
      </c>
    </row>
    <row r="32" spans="1:31" x14ac:dyDescent="0.3">
      <c r="A32" t="s">
        <v>305</v>
      </c>
      <c r="B32" t="s">
        <v>182</v>
      </c>
      <c r="C32" t="s">
        <v>0</v>
      </c>
      <c r="D32" t="s">
        <v>183</v>
      </c>
      <c r="E32" t="s">
        <v>123</v>
      </c>
      <c r="F32">
        <v>19.519222202996598</v>
      </c>
      <c r="G32">
        <v>19.519222202996598</v>
      </c>
      <c r="H32">
        <v>18.299270815309299</v>
      </c>
      <c r="I32">
        <v>24.399027753745798</v>
      </c>
      <c r="J32">
        <v>28.0588819168076</v>
      </c>
      <c r="K32">
        <v>34.158638855244099</v>
      </c>
      <c r="L32">
        <v>36.598541630618598</v>
      </c>
      <c r="M32">
        <v>40.258395793680499</v>
      </c>
      <c r="N32">
        <v>39.038444405993197</v>
      </c>
      <c r="O32">
        <v>41.478347181367802</v>
      </c>
      <c r="P32">
        <v>42.663442815121201</v>
      </c>
      <c r="Q32">
        <v>43.8485384488745</v>
      </c>
      <c r="R32">
        <v>42.694629542325202</v>
      </c>
      <c r="S32">
        <v>46.156356261973201</v>
      </c>
      <c r="T32">
        <v>54.036709770114904</v>
      </c>
      <c r="U32">
        <v>52.933919774806498</v>
      </c>
      <c r="V32">
        <v>66.167399718508094</v>
      </c>
      <c r="W32">
        <v>68.336822660098505</v>
      </c>
      <c r="X32">
        <v>60.053571428571402</v>
      </c>
      <c r="Y32">
        <v>57</v>
      </c>
      <c r="Z32">
        <v>55</v>
      </c>
      <c r="AA32">
        <v>62</v>
      </c>
      <c r="AB32">
        <v>77</v>
      </c>
      <c r="AC32">
        <v>76.025316455696199</v>
      </c>
      <c r="AD32">
        <v>89.670886075949397</v>
      </c>
      <c r="AE32">
        <v>111.113924050633</v>
      </c>
    </row>
    <row r="33" spans="1:31" x14ac:dyDescent="0.3">
      <c r="A33" t="s">
        <v>305</v>
      </c>
      <c r="B33" t="s">
        <v>184</v>
      </c>
      <c r="C33" t="s">
        <v>0</v>
      </c>
      <c r="D33" t="s">
        <v>185</v>
      </c>
      <c r="E33" t="s">
        <v>123</v>
      </c>
      <c r="F33">
        <v>33.200287571671502</v>
      </c>
      <c r="G33">
        <v>46.938337601328598</v>
      </c>
      <c r="H33">
        <v>59.531550128514397</v>
      </c>
      <c r="I33">
        <v>75.559275163114407</v>
      </c>
      <c r="J33">
        <v>89.508679808612399</v>
      </c>
      <c r="K33">
        <v>89.508679808612399</v>
      </c>
      <c r="L33">
        <v>77.731221939058202</v>
      </c>
      <c r="M33">
        <v>58.887289347771301</v>
      </c>
      <c r="N33">
        <v>52.878382271468098</v>
      </c>
      <c r="O33">
        <v>46.729733170134601</v>
      </c>
      <c r="P33">
        <v>43.135138310893502</v>
      </c>
      <c r="Q33">
        <v>41.936940024479803</v>
      </c>
      <c r="R33">
        <v>37.2772800217598</v>
      </c>
      <c r="S33">
        <v>37.2772800217598</v>
      </c>
      <c r="T33">
        <v>41.662842377261001</v>
      </c>
      <c r="U33">
        <v>43.855623555011597</v>
      </c>
      <c r="V33">
        <v>47.144795321637403</v>
      </c>
      <c r="W33">
        <v>58.9309941520468</v>
      </c>
      <c r="X33">
        <v>61.035672514619897</v>
      </c>
      <c r="Y33">
        <v>62.0701754385965</v>
      </c>
      <c r="Z33">
        <v>58</v>
      </c>
      <c r="AA33">
        <v>47</v>
      </c>
      <c r="AB33">
        <v>35</v>
      </c>
      <c r="AC33">
        <v>37.9166666666667</v>
      </c>
      <c r="AD33">
        <v>34.125</v>
      </c>
      <c r="AE33">
        <v>39.658783783783797</v>
      </c>
    </row>
    <row r="34" spans="1:31" x14ac:dyDescent="0.3">
      <c r="A34" t="s">
        <v>305</v>
      </c>
      <c r="B34" t="s">
        <v>186</v>
      </c>
      <c r="C34" t="s">
        <v>0</v>
      </c>
      <c r="D34" t="s">
        <v>187</v>
      </c>
      <c r="E34" t="s">
        <v>123</v>
      </c>
      <c r="F34">
        <v>7.1641090716055302</v>
      </c>
      <c r="G34">
        <v>6.1406649185190298</v>
      </c>
      <c r="H34">
        <v>7.1641090716055302</v>
      </c>
      <c r="I34">
        <v>8.1875532246920404</v>
      </c>
      <c r="J34">
        <v>9.2109973777785399</v>
      </c>
      <c r="K34">
        <v>12.281329837038101</v>
      </c>
      <c r="L34">
        <v>13.3047739901246</v>
      </c>
      <c r="M34">
        <v>14.3282181432111</v>
      </c>
      <c r="N34">
        <v>17.3985506024706</v>
      </c>
      <c r="O34">
        <v>19.7183573494667</v>
      </c>
      <c r="P34">
        <v>19.7183573494667</v>
      </c>
      <c r="Q34">
        <v>19.7183573494667</v>
      </c>
      <c r="R34">
        <v>22.038164096462701</v>
      </c>
      <c r="S34">
        <v>25.343888710932099</v>
      </c>
      <c r="T34">
        <v>29.7515215302247</v>
      </c>
      <c r="U34">
        <v>36.362970759163503</v>
      </c>
      <c r="V34">
        <v>39.6686953736329</v>
      </c>
      <c r="W34">
        <v>42.974419988102298</v>
      </c>
      <c r="X34">
        <v>44.048780487804898</v>
      </c>
      <c r="Y34">
        <v>42</v>
      </c>
      <c r="Z34">
        <v>42</v>
      </c>
      <c r="AA34">
        <v>45</v>
      </c>
      <c r="AB34">
        <v>47</v>
      </c>
      <c r="AC34">
        <v>48</v>
      </c>
      <c r="AD34">
        <v>55.836734693877503</v>
      </c>
      <c r="AE34">
        <v>54.874032371569299</v>
      </c>
    </row>
    <row r="35" spans="1:31" x14ac:dyDescent="0.3">
      <c r="A35" t="s">
        <v>305</v>
      </c>
      <c r="B35" t="s">
        <v>188</v>
      </c>
      <c r="C35" t="s">
        <v>0</v>
      </c>
      <c r="D35" t="s">
        <v>189</v>
      </c>
      <c r="E35" t="s">
        <v>123</v>
      </c>
      <c r="F35">
        <v>315.80753449890398</v>
      </c>
      <c r="G35">
        <v>334.11521765826001</v>
      </c>
      <c r="H35">
        <v>353.63397607815898</v>
      </c>
      <c r="I35">
        <v>406.44944003788402</v>
      </c>
      <c r="J35">
        <v>473.023055216503</v>
      </c>
      <c r="K35">
        <v>554.82403469003305</v>
      </c>
      <c r="L35">
        <v>635.43949272191799</v>
      </c>
      <c r="M35">
        <v>666.55329085896096</v>
      </c>
      <c r="N35">
        <v>773.78672704833696</v>
      </c>
      <c r="O35">
        <v>753.91419473248902</v>
      </c>
      <c r="P35">
        <v>853.80187983900203</v>
      </c>
      <c r="Q35">
        <v>900.63489434493897</v>
      </c>
      <c r="R35">
        <v>979.76044061813695</v>
      </c>
      <c r="S35">
        <v>970.63577993717695</v>
      </c>
      <c r="T35">
        <v>971.740029971235</v>
      </c>
      <c r="U35">
        <v>945.35794770957204</v>
      </c>
      <c r="V35">
        <v>898.36327516447204</v>
      </c>
      <c r="W35">
        <v>844.82553528577898</v>
      </c>
      <c r="X35">
        <v>882.65354432842605</v>
      </c>
      <c r="Y35">
        <v>936.33539731682094</v>
      </c>
      <c r="Z35">
        <v>983</v>
      </c>
      <c r="AA35">
        <v>1032</v>
      </c>
      <c r="AB35">
        <v>1051.80806142035</v>
      </c>
      <c r="AC35">
        <v>1193.6798464491401</v>
      </c>
      <c r="AD35">
        <v>1286.46791548486</v>
      </c>
      <c r="AE35">
        <v>1293.1732583057001</v>
      </c>
    </row>
    <row r="36" spans="1:31" x14ac:dyDescent="0.3">
      <c r="A36" t="s">
        <v>305</v>
      </c>
      <c r="B36" t="s">
        <v>190</v>
      </c>
      <c r="C36" t="s">
        <v>0</v>
      </c>
      <c r="D36" t="s">
        <v>191</v>
      </c>
      <c r="E36" t="s">
        <v>123</v>
      </c>
      <c r="F36">
        <v>56.329323707665502</v>
      </c>
      <c r="G36">
        <v>63.370489171123701</v>
      </c>
      <c r="H36">
        <v>64.544016748366701</v>
      </c>
      <c r="I36">
        <v>70.411654634581893</v>
      </c>
      <c r="J36">
        <v>84.732669136530703</v>
      </c>
      <c r="K36">
        <v>91.9954693482333</v>
      </c>
      <c r="L36">
        <v>105.310603069688</v>
      </c>
      <c r="M36">
        <v>94.416402752134204</v>
      </c>
      <c r="N36">
        <v>99.258269559935997</v>
      </c>
      <c r="O36">
        <v>115.188609118938</v>
      </c>
      <c r="P36">
        <v>124.688700592665</v>
      </c>
      <c r="Q36">
        <v>122.313677724233</v>
      </c>
      <c r="R36">
        <v>148.853437985152</v>
      </c>
      <c r="S36">
        <v>151.10879310613899</v>
      </c>
      <c r="T36">
        <v>177.38858321155399</v>
      </c>
      <c r="U36">
        <v>196.00343453622401</v>
      </c>
      <c r="V36">
        <v>202.536882354098</v>
      </c>
      <c r="W36">
        <v>214.26270185880901</v>
      </c>
      <c r="X36">
        <v>209.011165048544</v>
      </c>
      <c r="Y36">
        <v>206.94174757281601</v>
      </c>
      <c r="Z36">
        <v>210</v>
      </c>
      <c r="AA36">
        <v>218</v>
      </c>
      <c r="AB36">
        <v>216.018181818182</v>
      </c>
      <c r="AC36">
        <v>234.58988070752801</v>
      </c>
      <c r="AD36">
        <v>240.358484331483</v>
      </c>
      <c r="AE36">
        <v>247.008719075833</v>
      </c>
    </row>
    <row r="37" spans="1:31" x14ac:dyDescent="0.3">
      <c r="A37" t="s">
        <v>305</v>
      </c>
      <c r="B37" t="s">
        <v>192</v>
      </c>
      <c r="C37" t="s">
        <v>0</v>
      </c>
      <c r="D37" t="s">
        <v>193</v>
      </c>
      <c r="E37" t="s">
        <v>123</v>
      </c>
      <c r="F37">
        <v>102.63856933368901</v>
      </c>
      <c r="G37">
        <v>100.407296087304</v>
      </c>
      <c r="H37">
        <v>103.75420595688099</v>
      </c>
      <c r="I37">
        <v>119.373118681573</v>
      </c>
      <c r="J37">
        <v>135.289534505783</v>
      </c>
      <c r="K37">
        <v>168.82283793029299</v>
      </c>
      <c r="L37">
        <v>190.792933277386</v>
      </c>
      <c r="M37">
        <v>207.080134898626</v>
      </c>
      <c r="N37">
        <v>286.81788799177502</v>
      </c>
      <c r="O37">
        <v>240.63534670496401</v>
      </c>
      <c r="P37">
        <v>266.33426722685402</v>
      </c>
      <c r="Q37">
        <v>267.55040543336901</v>
      </c>
      <c r="R37">
        <v>292.19320593381099</v>
      </c>
      <c r="S37">
        <v>242.72742697651199</v>
      </c>
      <c r="T37">
        <v>239.38714128417499</v>
      </c>
      <c r="U37">
        <v>222.76303425055099</v>
      </c>
      <c r="V37">
        <v>181.959904214559</v>
      </c>
      <c r="W37">
        <v>156.11944444444401</v>
      </c>
      <c r="X37">
        <v>151.9</v>
      </c>
      <c r="Y37">
        <v>155</v>
      </c>
      <c r="Z37">
        <v>155</v>
      </c>
      <c r="AA37">
        <v>166</v>
      </c>
      <c r="AB37">
        <v>191.69047619047601</v>
      </c>
      <c r="AC37">
        <v>208.23229393280201</v>
      </c>
      <c r="AD37">
        <v>204.37614034145301</v>
      </c>
      <c r="AE37">
        <v>190.05070994368799</v>
      </c>
    </row>
    <row r="38" spans="1:31" x14ac:dyDescent="0.3">
      <c r="A38" t="s">
        <v>305</v>
      </c>
      <c r="B38" t="s">
        <v>194</v>
      </c>
      <c r="C38" t="s">
        <v>0</v>
      </c>
      <c r="D38" t="s">
        <v>195</v>
      </c>
      <c r="E38" t="s">
        <v>123</v>
      </c>
      <c r="F38">
        <v>157.41318071171099</v>
      </c>
      <c r="G38">
        <v>171.302579009803</v>
      </c>
      <c r="H38">
        <v>186.451786677337</v>
      </c>
      <c r="I38">
        <v>217.915525679138</v>
      </c>
      <c r="J38">
        <v>254.629554462036</v>
      </c>
      <c r="K38">
        <v>295.466369800287</v>
      </c>
      <c r="L38">
        <v>341.10751635480301</v>
      </c>
      <c r="M38">
        <v>366.69058008141297</v>
      </c>
      <c r="N38">
        <v>387.82190164542698</v>
      </c>
      <c r="O38">
        <v>399.22842816440999</v>
      </c>
      <c r="P38">
        <v>464.35934997975198</v>
      </c>
      <c r="Q38">
        <v>512.35514842727105</v>
      </c>
      <c r="R38">
        <v>540.30179288694103</v>
      </c>
      <c r="S38">
        <v>577.99726680928495</v>
      </c>
      <c r="T38">
        <v>555.89412085099502</v>
      </c>
      <c r="U38">
        <v>527.33039132110196</v>
      </c>
      <c r="V38">
        <v>514.22901513921101</v>
      </c>
      <c r="W38">
        <v>474.59052855556399</v>
      </c>
      <c r="X38">
        <v>521.83958560202495</v>
      </c>
      <c r="Y38">
        <v>574.43606557377097</v>
      </c>
      <c r="Z38">
        <v>618</v>
      </c>
      <c r="AA38">
        <v>648</v>
      </c>
      <c r="AB38">
        <v>644.036697247706</v>
      </c>
      <c r="AC38">
        <v>750.88601231619998</v>
      </c>
      <c r="AD38">
        <v>841.96121897132605</v>
      </c>
      <c r="AE38">
        <v>856.378363131794</v>
      </c>
    </row>
    <row r="39" spans="1:31" x14ac:dyDescent="0.3">
      <c r="A39" t="s">
        <v>305</v>
      </c>
      <c r="B39" t="s">
        <v>196</v>
      </c>
      <c r="C39" t="s">
        <v>0</v>
      </c>
      <c r="D39" t="s">
        <v>197</v>
      </c>
      <c r="E39" t="s">
        <v>123</v>
      </c>
      <c r="F39">
        <v>413.04229055981</v>
      </c>
      <c r="G39">
        <v>388.40056299800398</v>
      </c>
      <c r="H39">
        <v>371.87287946617403</v>
      </c>
      <c r="I39">
        <v>378.95617240838601</v>
      </c>
      <c r="J39">
        <v>406.36495217377302</v>
      </c>
      <c r="K39">
        <v>436.421531476567</v>
      </c>
      <c r="L39">
        <v>486.91658470526102</v>
      </c>
      <c r="M39">
        <v>494.18399641727899</v>
      </c>
      <c r="N39">
        <v>554.27088431913205</v>
      </c>
      <c r="O39">
        <v>621.68220808767501</v>
      </c>
      <c r="P39">
        <v>661.28744528244999</v>
      </c>
      <c r="Q39">
        <v>712.80077888235098</v>
      </c>
      <c r="R39">
        <v>806.98815749486403</v>
      </c>
      <c r="S39">
        <v>849.40088736320195</v>
      </c>
      <c r="T39">
        <v>843.84198103229096</v>
      </c>
      <c r="U39">
        <v>834.99435868857097</v>
      </c>
      <c r="V39">
        <v>819.63309584804495</v>
      </c>
      <c r="W39">
        <v>712.21067175262601</v>
      </c>
      <c r="X39">
        <v>646.88957463921997</v>
      </c>
      <c r="Y39">
        <v>680.88217967599405</v>
      </c>
      <c r="Z39">
        <v>689</v>
      </c>
      <c r="AA39">
        <v>697</v>
      </c>
      <c r="AB39">
        <v>934.61363636363603</v>
      </c>
      <c r="AC39">
        <v>819.25337580829205</v>
      </c>
      <c r="AD39">
        <v>761.287335067139</v>
      </c>
      <c r="AE39">
        <v>653.07919813306796</v>
      </c>
    </row>
    <row r="40" spans="1:31" x14ac:dyDescent="0.3">
      <c r="A40" t="s">
        <v>305</v>
      </c>
      <c r="B40" t="s">
        <v>198</v>
      </c>
      <c r="C40" t="s">
        <v>0</v>
      </c>
      <c r="D40" t="s">
        <v>199</v>
      </c>
      <c r="E40" t="s">
        <v>123</v>
      </c>
      <c r="F40">
        <v>8.2087469055943991</v>
      </c>
      <c r="G40">
        <v>8.2087469055943991</v>
      </c>
      <c r="H40">
        <v>8.2087469055943991</v>
      </c>
      <c r="I40">
        <v>8.2087469055943991</v>
      </c>
      <c r="J40">
        <v>6.8406224213286704</v>
      </c>
      <c r="K40">
        <v>6.8406224213286704</v>
      </c>
      <c r="L40">
        <v>6.8406224213286704</v>
      </c>
      <c r="M40">
        <v>8.2087469055943991</v>
      </c>
      <c r="N40">
        <v>6.8406224213286704</v>
      </c>
      <c r="O40">
        <v>5.4724979370629301</v>
      </c>
      <c r="P40">
        <v>6.8406224213286704</v>
      </c>
      <c r="Q40">
        <v>10.944995874125899</v>
      </c>
      <c r="R40">
        <v>10.944995874125899</v>
      </c>
      <c r="S40">
        <v>17.785618295454501</v>
      </c>
      <c r="T40">
        <v>25.408026136363599</v>
      </c>
      <c r="U40">
        <v>38.716992207792202</v>
      </c>
      <c r="V40">
        <v>37.578257142857098</v>
      </c>
      <c r="W40">
        <v>38.683500000000002</v>
      </c>
      <c r="X40">
        <v>41.82</v>
      </c>
      <c r="Y40">
        <v>51</v>
      </c>
      <c r="Z40">
        <v>53</v>
      </c>
      <c r="AA40">
        <v>52</v>
      </c>
      <c r="AB40">
        <v>52</v>
      </c>
      <c r="AC40">
        <v>56.727272727272698</v>
      </c>
      <c r="AD40">
        <v>53.0074515648286</v>
      </c>
      <c r="AE40">
        <v>54.867362146050702</v>
      </c>
    </row>
    <row r="41" spans="1:31" x14ac:dyDescent="0.3">
      <c r="A41" t="s">
        <v>305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305</v>
      </c>
      <c r="B42" t="s">
        <v>202</v>
      </c>
      <c r="C42" t="s">
        <v>0</v>
      </c>
      <c r="D42" t="s">
        <v>203</v>
      </c>
      <c r="E42" t="s">
        <v>123</v>
      </c>
      <c r="F42">
        <v>82.7958840006184</v>
      </c>
      <c r="G42">
        <v>81.613085657752407</v>
      </c>
      <c r="H42">
        <v>85.161480686350302</v>
      </c>
      <c r="I42">
        <v>98.172262457876002</v>
      </c>
      <c r="J42">
        <v>117.097035943732</v>
      </c>
      <c r="K42">
        <v>140.994390217963</v>
      </c>
      <c r="L42">
        <v>158.91740592363601</v>
      </c>
      <c r="M42">
        <v>171.048505612463</v>
      </c>
      <c r="N42">
        <v>194.59866218229499</v>
      </c>
      <c r="O42">
        <v>204.64246410138099</v>
      </c>
      <c r="P42">
        <v>230.07140934474799</v>
      </c>
      <c r="Q42">
        <v>228.860507190302</v>
      </c>
      <c r="R42">
        <v>264.87408954004502</v>
      </c>
      <c r="S42">
        <v>295.56765356399802</v>
      </c>
      <c r="T42">
        <v>282.33328101635698</v>
      </c>
      <c r="U42">
        <v>290.023292561549</v>
      </c>
      <c r="V42">
        <v>303.05804728341701</v>
      </c>
      <c r="W42">
        <v>296.65541248165403</v>
      </c>
      <c r="X42">
        <v>309.27904705534201</v>
      </c>
      <c r="Y42">
        <v>322.816513761468</v>
      </c>
      <c r="Z42">
        <v>333</v>
      </c>
      <c r="AA42">
        <v>334</v>
      </c>
      <c r="AB42">
        <v>334</v>
      </c>
      <c r="AC42">
        <v>324.20527859237501</v>
      </c>
      <c r="AD42">
        <v>391.74804496578702</v>
      </c>
      <c r="AE42">
        <v>418.56698202945898</v>
      </c>
    </row>
    <row r="43" spans="1:31" x14ac:dyDescent="0.3">
      <c r="A43" t="s">
        <v>305</v>
      </c>
      <c r="B43" t="s">
        <v>204</v>
      </c>
      <c r="C43" t="s">
        <v>0</v>
      </c>
      <c r="D43" t="s">
        <v>205</v>
      </c>
      <c r="E43" t="s">
        <v>123</v>
      </c>
      <c r="F43">
        <v>121.38666792993099</v>
      </c>
      <c r="G43">
        <v>115.606350409458</v>
      </c>
      <c r="H43">
        <v>121.38666792993099</v>
      </c>
      <c r="I43">
        <v>140.85434108850501</v>
      </c>
      <c r="J43">
        <v>161.46717149170101</v>
      </c>
      <c r="K43">
        <v>189.34639534638299</v>
      </c>
      <c r="L43">
        <v>214.90235054650799</v>
      </c>
      <c r="M43">
        <v>229.071736296827</v>
      </c>
      <c r="N43">
        <v>261.970336722436</v>
      </c>
      <c r="O43">
        <v>271.85600980630102</v>
      </c>
      <c r="P43">
        <v>305.38890969430298</v>
      </c>
      <c r="Q43">
        <v>311.37692753144597</v>
      </c>
      <c r="R43">
        <v>349.57558406876097</v>
      </c>
      <c r="S43">
        <v>385.89512527071003</v>
      </c>
      <c r="T43">
        <v>379.27978026607002</v>
      </c>
      <c r="U43">
        <v>393.53017663444803</v>
      </c>
      <c r="V43">
        <v>409.79175418132598</v>
      </c>
      <c r="W43">
        <v>417.22321086337098</v>
      </c>
      <c r="X43">
        <v>434.99963839389</v>
      </c>
      <c r="Y43">
        <v>461.86422413793099</v>
      </c>
      <c r="Z43">
        <v>471</v>
      </c>
      <c r="AA43">
        <v>489</v>
      </c>
      <c r="AB43">
        <v>504.74245472836998</v>
      </c>
      <c r="AC43">
        <v>503.77179616158497</v>
      </c>
      <c r="AD43">
        <v>591.88397343699501</v>
      </c>
      <c r="AE43">
        <v>619.39140168967594</v>
      </c>
    </row>
    <row r="44" spans="1:31" x14ac:dyDescent="0.3">
      <c r="A44" t="s">
        <v>305</v>
      </c>
      <c r="B44" t="s">
        <v>206</v>
      </c>
      <c r="C44" t="s">
        <v>0</v>
      </c>
      <c r="D44" t="s">
        <v>207</v>
      </c>
      <c r="E44" t="s">
        <v>123</v>
      </c>
      <c r="F44">
        <v>1544.1102303482801</v>
      </c>
      <c r="G44">
        <v>1565.1026655040801</v>
      </c>
      <c r="H44">
        <v>1670.53622830001</v>
      </c>
      <c r="I44">
        <v>1937.07384905047</v>
      </c>
      <c r="J44">
        <v>2236.7186466502299</v>
      </c>
      <c r="K44">
        <v>2574.13409281335</v>
      </c>
      <c r="L44">
        <v>2964.0098910301099</v>
      </c>
      <c r="M44">
        <v>3112.39133856641</v>
      </c>
      <c r="N44">
        <v>3568.9408566841998</v>
      </c>
      <c r="O44">
        <v>3735.0833606880501</v>
      </c>
      <c r="P44">
        <v>4098.0161711538703</v>
      </c>
      <c r="Q44">
        <v>4346.4171513673</v>
      </c>
      <c r="R44">
        <v>4597.4401740131098</v>
      </c>
      <c r="S44">
        <v>4757.2320370622301</v>
      </c>
      <c r="T44">
        <v>4863.4400081222202</v>
      </c>
      <c r="U44">
        <v>4910.7540172510098</v>
      </c>
      <c r="V44">
        <v>4899.8315216610399</v>
      </c>
      <c r="W44">
        <v>4860.2477298921704</v>
      </c>
      <c r="X44">
        <v>4856.0524362107699</v>
      </c>
      <c r="Y44">
        <v>5042.6650669866003</v>
      </c>
      <c r="Z44">
        <v>5068</v>
      </c>
      <c r="AA44">
        <v>5091</v>
      </c>
      <c r="AB44">
        <v>5456.0561601243699</v>
      </c>
      <c r="AC44">
        <v>5606.5815360934002</v>
      </c>
      <c r="AD44">
        <v>5852.9079130237596</v>
      </c>
      <c r="AE44">
        <v>5895.0220500921296</v>
      </c>
    </row>
    <row r="45" spans="1:31" x14ac:dyDescent="0.3">
      <c r="A45" t="s">
        <v>305</v>
      </c>
      <c r="B45" t="s">
        <v>208</v>
      </c>
      <c r="C45" t="s">
        <v>0</v>
      </c>
      <c r="D45" t="s">
        <v>209</v>
      </c>
      <c r="E45" t="s">
        <v>123</v>
      </c>
      <c r="F45">
        <v>1541.15420610712</v>
      </c>
      <c r="G45">
        <v>1562.15403631903</v>
      </c>
      <c r="H45">
        <v>1667.6258017119101</v>
      </c>
      <c r="I45">
        <v>1934.25881909642</v>
      </c>
      <c r="J45">
        <v>2232.8356837891602</v>
      </c>
      <c r="K45">
        <v>2569.1923412830402</v>
      </c>
      <c r="L45">
        <v>2959.2229334833901</v>
      </c>
      <c r="M45">
        <v>3107.6668245186502</v>
      </c>
      <c r="N45">
        <v>3563.1960192623901</v>
      </c>
      <c r="O45">
        <v>3729.4201758958202</v>
      </c>
      <c r="P45">
        <v>4091.3013728476699</v>
      </c>
      <c r="Q45">
        <v>4337.4037148176703</v>
      </c>
      <c r="R45">
        <v>4588.5104428800196</v>
      </c>
      <c r="S45">
        <v>4748.3490748788299</v>
      </c>
      <c r="T45">
        <v>4853.4744913583199</v>
      </c>
      <c r="U45">
        <v>4899.69805794268</v>
      </c>
      <c r="V45">
        <v>4888.7734245916399</v>
      </c>
      <c r="W45">
        <v>4850.2538703597902</v>
      </c>
      <c r="X45">
        <v>4845.0092186833699</v>
      </c>
      <c r="Y45">
        <v>5032.6643959126404</v>
      </c>
      <c r="Z45">
        <v>5058</v>
      </c>
      <c r="AA45">
        <v>5081</v>
      </c>
      <c r="AB45">
        <v>5446.0484813084104</v>
      </c>
      <c r="AC45">
        <v>5596.56740918377</v>
      </c>
      <c r="AD45">
        <v>5842.8781943653103</v>
      </c>
      <c r="AE45">
        <v>5884.9890281985699</v>
      </c>
    </row>
    <row r="46" spans="1:31" x14ac:dyDescent="0.3">
      <c r="A46" t="s">
        <v>305</v>
      </c>
      <c r="B46" t="s">
        <v>210</v>
      </c>
      <c r="C46" t="s">
        <v>0</v>
      </c>
      <c r="D46" t="s">
        <v>211</v>
      </c>
      <c r="E46" t="s">
        <v>123</v>
      </c>
      <c r="F46">
        <v>37.909055623747598</v>
      </c>
      <c r="G46">
        <v>33.576592123890698</v>
      </c>
      <c r="H46">
        <v>35.742823873819198</v>
      </c>
      <c r="I46">
        <v>42.0503810280225</v>
      </c>
      <c r="J46">
        <v>44.152900079423702</v>
      </c>
      <c r="K46">
        <v>48.460500087172299</v>
      </c>
      <c r="L46">
        <v>55.998800100732502</v>
      </c>
      <c r="M46">
        <v>58.194831477231801</v>
      </c>
      <c r="N46">
        <v>67.506004513588906</v>
      </c>
      <c r="O46">
        <v>67.506004513588906</v>
      </c>
      <c r="P46">
        <v>75.653280920401301</v>
      </c>
      <c r="Q46">
        <v>82.6366606976691</v>
      </c>
      <c r="R46">
        <v>84.932123494826598</v>
      </c>
      <c r="S46">
        <v>90.594265061148405</v>
      </c>
      <c r="T46">
        <v>97.223113724159205</v>
      </c>
      <c r="U46">
        <v>103.77748094151799</v>
      </c>
      <c r="V46">
        <v>107.02052722094101</v>
      </c>
      <c r="W46">
        <v>120.660398337335</v>
      </c>
      <c r="X46">
        <v>125.816825616708</v>
      </c>
      <c r="Y46">
        <v>139.00729927007299</v>
      </c>
      <c r="Z46">
        <v>138</v>
      </c>
      <c r="AA46">
        <v>155</v>
      </c>
      <c r="AB46">
        <v>170.5</v>
      </c>
      <c r="AC46">
        <v>179.072625698324</v>
      </c>
      <c r="AD46">
        <v>199.807350779183</v>
      </c>
      <c r="AE46">
        <v>200.736687294435</v>
      </c>
    </row>
    <row r="47" spans="1:31" x14ac:dyDescent="0.3">
      <c r="A47" t="s">
        <v>305</v>
      </c>
      <c r="B47" t="s">
        <v>212</v>
      </c>
      <c r="C47" t="s">
        <v>0</v>
      </c>
      <c r="D47" t="s">
        <v>213</v>
      </c>
      <c r="E47" t="s">
        <v>123</v>
      </c>
      <c r="F47">
        <v>103.827823629644</v>
      </c>
      <c r="G47">
        <v>110.673614198631</v>
      </c>
      <c r="H47">
        <v>115.23747457795599</v>
      </c>
      <c r="I47">
        <v>127.7880906211</v>
      </c>
      <c r="J47">
        <v>140.45177527724499</v>
      </c>
      <c r="K47">
        <v>161.345427797827</v>
      </c>
      <c r="L47">
        <v>200.81121589226001</v>
      </c>
      <c r="M47">
        <v>225.47224240534399</v>
      </c>
      <c r="N47">
        <v>267.22636136929702</v>
      </c>
      <c r="O47">
        <v>296.37832806412899</v>
      </c>
      <c r="P47">
        <v>316.29307738069099</v>
      </c>
      <c r="Q47">
        <v>316.29307738069099</v>
      </c>
      <c r="R47">
        <v>311.69245080060898</v>
      </c>
      <c r="S47">
        <v>319.597694118015</v>
      </c>
      <c r="T47">
        <v>320.69220676910402</v>
      </c>
      <c r="U47">
        <v>342.50800314795498</v>
      </c>
      <c r="V47">
        <v>357.68240835071202</v>
      </c>
      <c r="W47">
        <v>351.295222487307</v>
      </c>
      <c r="X47">
        <v>341.88552902782499</v>
      </c>
      <c r="Y47">
        <v>336.75211267605602</v>
      </c>
      <c r="Z47">
        <v>359</v>
      </c>
      <c r="AA47">
        <v>380</v>
      </c>
      <c r="AB47">
        <v>380</v>
      </c>
      <c r="AC47">
        <v>400.40920716112498</v>
      </c>
      <c r="AD47">
        <v>410.946291560102</v>
      </c>
      <c r="AE47">
        <v>390.96973572037501</v>
      </c>
    </row>
    <row r="48" spans="1:31" x14ac:dyDescent="0.3">
      <c r="A48" t="s">
        <v>305</v>
      </c>
      <c r="B48" t="s">
        <v>214</v>
      </c>
      <c r="C48" t="s">
        <v>0</v>
      </c>
      <c r="D48" t="s">
        <v>215</v>
      </c>
      <c r="E48" t="s">
        <v>123</v>
      </c>
      <c r="F48">
        <v>166.62340638202201</v>
      </c>
      <c r="G48">
        <v>175.944995550247</v>
      </c>
      <c r="H48">
        <v>182.93618742641499</v>
      </c>
      <c r="I48">
        <v>209.735756285062</v>
      </c>
      <c r="J48">
        <v>233.16991899847699</v>
      </c>
      <c r="K48">
        <v>265.12721754141597</v>
      </c>
      <c r="L48">
        <v>312.47136353095402</v>
      </c>
      <c r="M48">
        <v>354.21372125455503</v>
      </c>
      <c r="N48">
        <v>401.52308813444398</v>
      </c>
      <c r="O48">
        <v>431.08307008299198</v>
      </c>
      <c r="P48">
        <v>456.02176008779298</v>
      </c>
      <c r="Q48">
        <v>470.42244724846</v>
      </c>
      <c r="R48">
        <v>468.10509529157201</v>
      </c>
      <c r="S48">
        <v>474.92215978610898</v>
      </c>
      <c r="T48">
        <v>469.42537552932498</v>
      </c>
      <c r="U48">
        <v>504.440788156221</v>
      </c>
      <c r="V48">
        <v>521.87286722857402</v>
      </c>
      <c r="W48">
        <v>535.80376512173996</v>
      </c>
      <c r="X48">
        <v>546.30972130059695</v>
      </c>
      <c r="Y48">
        <v>564.86363636363603</v>
      </c>
      <c r="Z48">
        <v>578</v>
      </c>
      <c r="AA48">
        <v>625</v>
      </c>
      <c r="AB48">
        <v>655.65664556961997</v>
      </c>
      <c r="AC48">
        <v>700.33843178621703</v>
      </c>
      <c r="AD48">
        <v>740.57675481634101</v>
      </c>
      <c r="AE48">
        <v>757.68892630118603</v>
      </c>
    </row>
    <row r="49" spans="1:31" x14ac:dyDescent="0.3">
      <c r="A49" t="s">
        <v>305</v>
      </c>
      <c r="B49" t="s">
        <v>216</v>
      </c>
      <c r="C49" t="s">
        <v>0</v>
      </c>
      <c r="D49" t="s">
        <v>217</v>
      </c>
      <c r="E49" t="s">
        <v>123</v>
      </c>
      <c r="F49">
        <v>31.269131128223599</v>
      </c>
      <c r="G49">
        <v>32.519896373352601</v>
      </c>
      <c r="H49">
        <v>33.770661618481498</v>
      </c>
      <c r="I49">
        <v>41.275253089255202</v>
      </c>
      <c r="J49">
        <v>47.529079314900002</v>
      </c>
      <c r="K49">
        <v>51.281375050286798</v>
      </c>
      <c r="L49">
        <v>52.532140295415701</v>
      </c>
      <c r="M49">
        <v>63.7890275015762</v>
      </c>
      <c r="N49">
        <v>65.064808051607798</v>
      </c>
      <c r="O49">
        <v>62.462215729543502</v>
      </c>
      <c r="P49">
        <v>61.1874766330222</v>
      </c>
      <c r="Q49">
        <v>57.363259343458303</v>
      </c>
      <c r="R49">
        <v>50.192851925526</v>
      </c>
      <c r="S49">
        <v>52.4743451948681</v>
      </c>
      <c r="T49">
        <v>49.124918905833901</v>
      </c>
      <c r="U49">
        <v>53.590820624546097</v>
      </c>
      <c r="V49">
        <v>56.940246913580303</v>
      </c>
      <c r="W49">
        <v>60.289673202614402</v>
      </c>
      <c r="X49">
        <v>61.366274509803901</v>
      </c>
      <c r="Y49">
        <v>71.946666666666701</v>
      </c>
      <c r="Z49">
        <v>76</v>
      </c>
      <c r="AA49">
        <v>91</v>
      </c>
      <c r="AB49">
        <v>102.869565217391</v>
      </c>
      <c r="AC49">
        <v>108.69237079573401</v>
      </c>
      <c r="AD49">
        <v>114.41302189024699</v>
      </c>
      <c r="AE49">
        <v>129.54201652036201</v>
      </c>
    </row>
    <row r="50" spans="1:31" x14ac:dyDescent="0.3">
      <c r="A50" t="s">
        <v>305</v>
      </c>
      <c r="B50" t="s">
        <v>218</v>
      </c>
      <c r="C50" t="s">
        <v>0</v>
      </c>
      <c r="D50" t="s">
        <v>219</v>
      </c>
      <c r="E50" t="s">
        <v>123</v>
      </c>
      <c r="F50">
        <v>32.382298803640403</v>
      </c>
      <c r="G50">
        <v>33.581643203775201</v>
      </c>
      <c r="H50">
        <v>34.780987603909999</v>
      </c>
      <c r="I50">
        <v>41.977054004719001</v>
      </c>
      <c r="J50">
        <v>46.7744316052583</v>
      </c>
      <c r="K50">
        <v>54.159868174509597</v>
      </c>
      <c r="L50">
        <v>60.3143986488857</v>
      </c>
      <c r="M50">
        <v>66.468929123261802</v>
      </c>
      <c r="N50">
        <v>70.231321337786</v>
      </c>
      <c r="O50">
        <v>72.739582814135503</v>
      </c>
      <c r="P50">
        <v>78.701843700540095</v>
      </c>
      <c r="Q50">
        <v>96.588626359753803</v>
      </c>
      <c r="R50">
        <v>105.898373478766</v>
      </c>
      <c r="S50">
        <v>102.445165647937</v>
      </c>
      <c r="T50">
        <v>99.140482885100198</v>
      </c>
      <c r="U50">
        <v>107.85612973214199</v>
      </c>
      <c r="V50">
        <v>106.766673876262</v>
      </c>
      <c r="W50">
        <v>123.84934169646399</v>
      </c>
      <c r="X50">
        <v>142.741614158636</v>
      </c>
      <c r="Y50">
        <v>156.091549295775</v>
      </c>
      <c r="Z50">
        <v>143</v>
      </c>
      <c r="AA50">
        <v>154</v>
      </c>
      <c r="AB50">
        <v>172.75641025640999</v>
      </c>
      <c r="AC50">
        <v>191.196701238836</v>
      </c>
      <c r="AD50">
        <v>215.21638732411699</v>
      </c>
      <c r="AE50">
        <v>237.11894001639399</v>
      </c>
    </row>
    <row r="51" spans="1:31" x14ac:dyDescent="0.3">
      <c r="A51" t="s">
        <v>305</v>
      </c>
      <c r="B51" t="s">
        <v>220</v>
      </c>
      <c r="C51" t="s">
        <v>0</v>
      </c>
      <c r="D51" t="s">
        <v>221</v>
      </c>
      <c r="E51" t="s">
        <v>123</v>
      </c>
      <c r="F51">
        <v>29.575473459489501</v>
      </c>
      <c r="G51">
        <v>30.758492397868999</v>
      </c>
      <c r="H51">
        <v>31.941511336248599</v>
      </c>
      <c r="I51">
        <v>37.856606028146501</v>
      </c>
      <c r="J51">
        <v>42.588681781664803</v>
      </c>
      <c r="K51">
        <v>48.672779179045499</v>
      </c>
      <c r="L51">
        <v>54.756876576426201</v>
      </c>
      <c r="M51">
        <v>60.840973973806904</v>
      </c>
      <c r="N51">
        <v>64.56593156404</v>
      </c>
      <c r="O51">
        <v>65.807584094117701</v>
      </c>
      <c r="P51">
        <v>72.858396675630303</v>
      </c>
      <c r="Q51">
        <v>91.660563559663899</v>
      </c>
      <c r="R51">
        <v>102.102906243676</v>
      </c>
      <c r="S51">
        <v>99.808458912357693</v>
      </c>
      <c r="T51">
        <v>96.481510281945702</v>
      </c>
      <c r="U51">
        <v>101.96341427523799</v>
      </c>
      <c r="V51">
        <v>100.86703347658</v>
      </c>
      <c r="W51">
        <v>115.889783143304</v>
      </c>
      <c r="X51">
        <v>132.746478873239</v>
      </c>
      <c r="Y51">
        <v>146.124031007752</v>
      </c>
      <c r="Z51">
        <v>130</v>
      </c>
      <c r="AA51">
        <v>140</v>
      </c>
      <c r="AB51">
        <v>153.80281690140799</v>
      </c>
      <c r="AC51">
        <v>171.21445655062499</v>
      </c>
      <c r="AD51">
        <v>190.34456342778901</v>
      </c>
      <c r="AE51">
        <v>206.44335734954299</v>
      </c>
    </row>
    <row r="52" spans="1:31" x14ac:dyDescent="0.3">
      <c r="A52" t="s">
        <v>305</v>
      </c>
      <c r="B52" t="s">
        <v>222</v>
      </c>
      <c r="C52" t="s">
        <v>0</v>
      </c>
      <c r="D52" t="s">
        <v>223</v>
      </c>
      <c r="E52" t="s">
        <v>123</v>
      </c>
      <c r="F52">
        <v>4</v>
      </c>
      <c r="G52">
        <v>4</v>
      </c>
      <c r="H52">
        <v>4</v>
      </c>
      <c r="I52">
        <v>6</v>
      </c>
      <c r="J52">
        <v>6</v>
      </c>
      <c r="K52">
        <v>8</v>
      </c>
      <c r="L52">
        <v>8</v>
      </c>
      <c r="M52">
        <v>8</v>
      </c>
      <c r="N52">
        <v>8</v>
      </c>
      <c r="O52">
        <v>10</v>
      </c>
      <c r="P52">
        <v>8</v>
      </c>
      <c r="Q52">
        <v>6</v>
      </c>
      <c r="R52">
        <v>4.5</v>
      </c>
      <c r="S52">
        <v>3</v>
      </c>
      <c r="T52">
        <v>3</v>
      </c>
      <c r="U52">
        <v>6</v>
      </c>
      <c r="V52">
        <v>6</v>
      </c>
      <c r="W52">
        <v>8</v>
      </c>
      <c r="X52">
        <v>10</v>
      </c>
      <c r="Y52">
        <v>10</v>
      </c>
      <c r="Z52">
        <v>13</v>
      </c>
      <c r="AA52">
        <v>14</v>
      </c>
      <c r="AB52">
        <v>19</v>
      </c>
      <c r="AC52">
        <v>20</v>
      </c>
      <c r="AD52">
        <v>25</v>
      </c>
      <c r="AE52">
        <v>31</v>
      </c>
    </row>
    <row r="53" spans="1:31" x14ac:dyDescent="0.3">
      <c r="A53" t="s">
        <v>305</v>
      </c>
      <c r="B53" t="s">
        <v>224</v>
      </c>
      <c r="C53" t="s">
        <v>0</v>
      </c>
      <c r="D53" t="s">
        <v>225</v>
      </c>
      <c r="E53" t="s">
        <v>123</v>
      </c>
      <c r="F53">
        <v>18.9395159229841</v>
      </c>
      <c r="G53">
        <v>18.9395159229841</v>
      </c>
      <c r="H53">
        <v>21.306955413357102</v>
      </c>
      <c r="I53">
        <v>23.6743949037301</v>
      </c>
      <c r="J53">
        <v>26.041834394103098</v>
      </c>
      <c r="K53">
        <v>30.776713374849098</v>
      </c>
      <c r="L53">
        <v>31.960433120035599</v>
      </c>
      <c r="M53">
        <v>33.144152865222097</v>
      </c>
      <c r="N53">
        <v>31.960433120035599</v>
      </c>
      <c r="O53">
        <v>35.511592355595099</v>
      </c>
      <c r="P53">
        <v>43.797630571900697</v>
      </c>
      <c r="Q53">
        <v>61.553426749698197</v>
      </c>
      <c r="R53">
        <v>62.714812160069897</v>
      </c>
      <c r="S53">
        <v>82.099390464091499</v>
      </c>
      <c r="T53">
        <v>73.223780684189705</v>
      </c>
      <c r="U53">
        <v>86.537195354042396</v>
      </c>
      <c r="V53">
        <v>75.442683129165204</v>
      </c>
      <c r="W53">
        <v>62.509651735593998</v>
      </c>
      <c r="X53">
        <v>61.450166112956801</v>
      </c>
      <c r="Y53">
        <v>58.325581395348799</v>
      </c>
      <c r="Z53">
        <v>44</v>
      </c>
      <c r="AA53">
        <v>40</v>
      </c>
      <c r="AB53">
        <v>53</v>
      </c>
      <c r="AC53">
        <v>49</v>
      </c>
      <c r="AD53">
        <v>56</v>
      </c>
      <c r="AE53">
        <v>55</v>
      </c>
    </row>
    <row r="54" spans="1:31" x14ac:dyDescent="0.3">
      <c r="A54" t="s">
        <v>305</v>
      </c>
      <c r="B54" t="s">
        <v>226</v>
      </c>
      <c r="C54" t="s">
        <v>0</v>
      </c>
      <c r="D54" t="s">
        <v>227</v>
      </c>
      <c r="E54" t="s">
        <v>123</v>
      </c>
      <c r="F54">
        <v>31.9837605473599</v>
      </c>
      <c r="G54">
        <v>33.126037709765598</v>
      </c>
      <c r="H54">
        <v>37.858328811160703</v>
      </c>
      <c r="I54">
        <v>43.7736926879045</v>
      </c>
      <c r="J54">
        <v>48.505983789299599</v>
      </c>
      <c r="K54">
        <v>56.787493216740998</v>
      </c>
      <c r="L54">
        <v>61.519784318136097</v>
      </c>
      <c r="M54">
        <v>69.963676283370404</v>
      </c>
      <c r="N54">
        <v>65.138595160379396</v>
      </c>
      <c r="O54">
        <v>63.932324879631601</v>
      </c>
      <c r="P54">
        <v>73.403780417354795</v>
      </c>
      <c r="Q54">
        <v>82.875235955077997</v>
      </c>
      <c r="R54">
        <v>87.416344774534394</v>
      </c>
      <c r="S54">
        <v>108.71006978371599</v>
      </c>
      <c r="T54">
        <v>106.535868388041</v>
      </c>
      <c r="U54">
        <v>122.84237885559899</v>
      </c>
      <c r="V54">
        <v>110.88427117939</v>
      </c>
      <c r="W54">
        <v>99.156127112339206</v>
      </c>
      <c r="X54">
        <v>100.18900343642601</v>
      </c>
      <c r="Y54">
        <v>99.1666666666667</v>
      </c>
      <c r="Z54">
        <v>85</v>
      </c>
      <c r="AA54">
        <v>82</v>
      </c>
      <c r="AB54">
        <v>95</v>
      </c>
      <c r="AC54">
        <v>97.96875</v>
      </c>
      <c r="AD54">
        <v>111.822916666667</v>
      </c>
      <c r="AE54">
        <v>102.916666666667</v>
      </c>
    </row>
    <row r="55" spans="1:31" x14ac:dyDescent="0.3">
      <c r="A55" t="s">
        <v>305</v>
      </c>
      <c r="B55" t="s">
        <v>228</v>
      </c>
      <c r="C55" t="s">
        <v>0</v>
      </c>
      <c r="D55" t="s">
        <v>229</v>
      </c>
      <c r="E55" t="s">
        <v>123</v>
      </c>
      <c r="F55">
        <v>13.554961490683199</v>
      </c>
      <c r="G55">
        <v>14.6845416149068</v>
      </c>
      <c r="H55">
        <v>17.131965217391301</v>
      </c>
      <c r="I55">
        <v>20.803100621117999</v>
      </c>
      <c r="J55">
        <v>23.2505242236025</v>
      </c>
      <c r="K55">
        <v>26.921659627329198</v>
      </c>
      <c r="L55">
        <v>30.5927950310559</v>
      </c>
      <c r="M55">
        <v>38.2409937888199</v>
      </c>
      <c r="N55">
        <v>34.416894409937903</v>
      </c>
      <c r="O55">
        <v>29.3180952380952</v>
      </c>
      <c r="P55">
        <v>30.539682539682499</v>
      </c>
      <c r="Q55">
        <v>21.988571428571401</v>
      </c>
      <c r="R55">
        <v>25.286857142857102</v>
      </c>
      <c r="S55">
        <v>27.485714285714302</v>
      </c>
      <c r="T55">
        <v>33.828571428571401</v>
      </c>
      <c r="U55">
        <v>37</v>
      </c>
      <c r="V55">
        <v>35.9428571428572</v>
      </c>
      <c r="W55">
        <v>37</v>
      </c>
      <c r="X55">
        <v>39</v>
      </c>
      <c r="Y55">
        <v>41</v>
      </c>
      <c r="Z55">
        <v>41</v>
      </c>
      <c r="AA55">
        <v>42</v>
      </c>
      <c r="AB55">
        <v>42</v>
      </c>
      <c r="AC55">
        <v>48.837209302325597</v>
      </c>
      <c r="AD55">
        <v>55.674418604651201</v>
      </c>
      <c r="AE55">
        <v>47.860465116279101</v>
      </c>
    </row>
    <row r="56" spans="1:31" x14ac:dyDescent="0.3">
      <c r="A56" t="s">
        <v>305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305</v>
      </c>
      <c r="B57" t="s">
        <v>232</v>
      </c>
      <c r="C57" t="s">
        <v>0</v>
      </c>
      <c r="D57" t="s">
        <v>233</v>
      </c>
      <c r="E57" t="s">
        <v>123</v>
      </c>
      <c r="F57">
        <v>1719.2998647649699</v>
      </c>
      <c r="G57">
        <v>1749.6473165530799</v>
      </c>
      <c r="H57">
        <v>1862.14975619749</v>
      </c>
      <c r="I57">
        <v>2155.74246273365</v>
      </c>
      <c r="J57">
        <v>2477.86489969385</v>
      </c>
      <c r="K57">
        <v>2847.5175074441399</v>
      </c>
      <c r="L57">
        <v>3285.1384979098002</v>
      </c>
      <c r="M57">
        <v>3476.8921767525499</v>
      </c>
      <c r="N57">
        <v>3979.9005721190101</v>
      </c>
      <c r="O57">
        <v>4174.6510392616001</v>
      </c>
      <c r="P57">
        <v>4563.8846901164898</v>
      </c>
      <c r="Q57">
        <v>4830.5116378022403</v>
      </c>
      <c r="R57">
        <v>5079.3632243428501</v>
      </c>
      <c r="S57">
        <v>5251.7966431548502</v>
      </c>
      <c r="T57">
        <v>5359.1342483773597</v>
      </c>
      <c r="U57">
        <v>5453.7719373630698</v>
      </c>
      <c r="V57">
        <v>5459.2333552855298</v>
      </c>
      <c r="W57">
        <v>5434.6181098098295</v>
      </c>
      <c r="X57">
        <v>5444.0586739843602</v>
      </c>
      <c r="Y57">
        <v>5658.4809811589002</v>
      </c>
      <c r="Z57">
        <v>5699</v>
      </c>
      <c r="AA57">
        <v>5768</v>
      </c>
      <c r="AB57">
        <v>6163.6782713085204</v>
      </c>
      <c r="AC57">
        <v>6363.8611048982302</v>
      </c>
      <c r="AD57">
        <v>6646.5492952765198</v>
      </c>
      <c r="AE57">
        <v>6707.7461237756897</v>
      </c>
    </row>
    <row r="58" spans="1:31" x14ac:dyDescent="0.3">
      <c r="A58" t="s">
        <v>305</v>
      </c>
      <c r="B58" t="s">
        <v>234</v>
      </c>
      <c r="C58" t="s">
        <v>0</v>
      </c>
      <c r="D58" t="s">
        <v>235</v>
      </c>
      <c r="E58" t="s">
        <v>123</v>
      </c>
      <c r="F58">
        <v>1719.2998647649699</v>
      </c>
      <c r="G58">
        <v>1749.6473165530799</v>
      </c>
      <c r="H58">
        <v>1862.14975619749</v>
      </c>
      <c r="I58">
        <v>2155.74246273365</v>
      </c>
      <c r="J58">
        <v>2477.86489969385</v>
      </c>
      <c r="K58">
        <v>2847.5175074441399</v>
      </c>
      <c r="L58">
        <v>3285.1384979098002</v>
      </c>
      <c r="M58">
        <v>3476.8921767525499</v>
      </c>
      <c r="N58">
        <v>3979.9005721190101</v>
      </c>
      <c r="O58">
        <v>4174.6510392616001</v>
      </c>
      <c r="P58">
        <v>4563.8846901164898</v>
      </c>
      <c r="Q58">
        <v>4830.5116378022403</v>
      </c>
      <c r="R58">
        <v>5079.3632243428501</v>
      </c>
      <c r="S58">
        <v>5251.7966431548502</v>
      </c>
      <c r="T58">
        <v>5359.1342483773597</v>
      </c>
      <c r="U58">
        <v>5453.7719373630698</v>
      </c>
      <c r="V58">
        <v>5459.2333552855298</v>
      </c>
      <c r="W58">
        <v>5434.6181098098295</v>
      </c>
      <c r="X58">
        <v>5444.0586739843602</v>
      </c>
      <c r="Y58">
        <v>5658.4809811589002</v>
      </c>
      <c r="Z58">
        <v>5699</v>
      </c>
      <c r="AA58">
        <v>5768</v>
      </c>
      <c r="AB58">
        <v>6163.6782713085204</v>
      </c>
      <c r="AC58">
        <v>6363.8611048982302</v>
      </c>
      <c r="AD58">
        <v>6646.5492952765198</v>
      </c>
      <c r="AE58">
        <v>6707.7461237756897</v>
      </c>
    </row>
    <row r="59" spans="1:31" x14ac:dyDescent="0.3">
      <c r="A59" t="s">
        <v>305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306</v>
      </c>
      <c r="B2" t="s">
        <v>121</v>
      </c>
      <c r="C2" t="s">
        <v>0</v>
      </c>
      <c r="D2" t="s">
        <v>122</v>
      </c>
      <c r="E2" t="s">
        <v>123</v>
      </c>
      <c r="F2">
        <v>2591.76339956324</v>
      </c>
      <c r="G2">
        <v>2533.37011673079</v>
      </c>
      <c r="H2">
        <v>2522.7320898459002</v>
      </c>
      <c r="I2">
        <v>2486.0822289764701</v>
      </c>
      <c r="J2">
        <v>2484.5709327886402</v>
      </c>
      <c r="K2">
        <v>2499.07514138635</v>
      </c>
      <c r="L2">
        <v>2515.8006861139802</v>
      </c>
      <c r="M2">
        <v>2553.75457577518</v>
      </c>
      <c r="N2">
        <v>2572.1837325075799</v>
      </c>
      <c r="O2">
        <v>2564.4940950411901</v>
      </c>
      <c r="P2">
        <v>2524.7922029070301</v>
      </c>
      <c r="Q2">
        <v>2452.6896173885002</v>
      </c>
      <c r="R2">
        <v>2410.6687853502899</v>
      </c>
      <c r="S2">
        <v>2421.6363412435999</v>
      </c>
      <c r="T2">
        <v>2422.7400952733401</v>
      </c>
      <c r="U2">
        <v>2397.6283232177798</v>
      </c>
      <c r="V2">
        <v>2390.06823391033</v>
      </c>
      <c r="W2">
        <v>2375.1635767723601</v>
      </c>
      <c r="X2">
        <v>2379.22021823568</v>
      </c>
      <c r="Y2">
        <v>2382.2691975841199</v>
      </c>
      <c r="Z2">
        <v>2370</v>
      </c>
      <c r="AA2">
        <v>2305</v>
      </c>
      <c r="AB2">
        <v>2250.0238508239399</v>
      </c>
      <c r="AC2">
        <v>2196.6197916686901</v>
      </c>
      <c r="AD2">
        <v>2160.6751041686598</v>
      </c>
      <c r="AE2">
        <v>2131.51755273967</v>
      </c>
    </row>
    <row r="3" spans="1:31" x14ac:dyDescent="0.3">
      <c r="A3" t="s">
        <v>306</v>
      </c>
      <c r="B3" t="s">
        <v>124</v>
      </c>
      <c r="C3" t="s">
        <v>0</v>
      </c>
      <c r="D3" t="s">
        <v>125</v>
      </c>
      <c r="E3" t="s">
        <v>123</v>
      </c>
      <c r="F3">
        <v>11.955810333700301</v>
      </c>
      <c r="G3">
        <v>14.3469724004404</v>
      </c>
      <c r="H3">
        <v>13.1513913670703</v>
      </c>
      <c r="I3">
        <v>14.3469724004404</v>
      </c>
      <c r="J3">
        <v>17.933715500550498</v>
      </c>
      <c r="K3">
        <v>17.933715500550498</v>
      </c>
      <c r="L3">
        <v>16.738134467180402</v>
      </c>
      <c r="M3">
        <v>17.854010098325801</v>
      </c>
      <c r="N3">
        <v>18.969885729471201</v>
      </c>
      <c r="O3">
        <v>21.201636991761902</v>
      </c>
      <c r="P3">
        <v>23.433388254052598</v>
      </c>
      <c r="Q3">
        <v>23.433388254052598</v>
      </c>
      <c r="R3">
        <v>25.665139516343299</v>
      </c>
      <c r="S3">
        <v>31.244517672070199</v>
      </c>
      <c r="T3">
        <v>29.012766409779399</v>
      </c>
      <c r="U3">
        <v>26.8636726016476</v>
      </c>
      <c r="V3">
        <v>29.963327132606999</v>
      </c>
      <c r="W3">
        <v>54.760563380281702</v>
      </c>
      <c r="X3">
        <v>68.957746478873204</v>
      </c>
      <c r="Y3">
        <v>73.014084507042298</v>
      </c>
      <c r="Z3">
        <v>72</v>
      </c>
      <c r="AA3">
        <v>66</v>
      </c>
      <c r="AB3">
        <v>63</v>
      </c>
      <c r="AC3">
        <v>58.868852459016402</v>
      </c>
      <c r="AD3">
        <v>49.888858016115599</v>
      </c>
      <c r="AE3">
        <v>47.810155598777399</v>
      </c>
    </row>
    <row r="4" spans="1:31" x14ac:dyDescent="0.3">
      <c r="A4" t="s">
        <v>306</v>
      </c>
      <c r="B4" t="s">
        <v>126</v>
      </c>
      <c r="C4" t="s">
        <v>0</v>
      </c>
      <c r="D4" t="s">
        <v>127</v>
      </c>
      <c r="E4" t="s">
        <v>123</v>
      </c>
      <c r="F4">
        <v>552.46705810072103</v>
      </c>
      <c r="G4">
        <v>520.39773018986102</v>
      </c>
      <c r="H4">
        <v>510.525686527723</v>
      </c>
      <c r="I4">
        <v>526.81905950201201</v>
      </c>
      <c r="J4">
        <v>530.88193142619195</v>
      </c>
      <c r="K4">
        <v>541.49957005471595</v>
      </c>
      <c r="L4">
        <v>532.98159928980999</v>
      </c>
      <c r="M4">
        <v>507.87325842390902</v>
      </c>
      <c r="N4">
        <v>501.27750182100101</v>
      </c>
      <c r="O4">
        <v>499.083727195964</v>
      </c>
      <c r="P4">
        <v>508.89104934610299</v>
      </c>
      <c r="Q4">
        <v>580.81141178045596</v>
      </c>
      <c r="R4">
        <v>619.60401071198896</v>
      </c>
      <c r="S4">
        <v>713.027839016916</v>
      </c>
      <c r="T4">
        <v>697.90300606807295</v>
      </c>
      <c r="U4">
        <v>651.30553677065996</v>
      </c>
      <c r="V4">
        <v>613.36540841508702</v>
      </c>
      <c r="W4">
        <v>590.49415589791499</v>
      </c>
      <c r="X4">
        <v>543.13370312111897</v>
      </c>
      <c r="Y4">
        <v>517.941972920696</v>
      </c>
      <c r="Z4">
        <v>523</v>
      </c>
      <c r="AA4">
        <v>513</v>
      </c>
      <c r="AB4">
        <v>532.11176470588202</v>
      </c>
      <c r="AC4">
        <v>530.07302231237304</v>
      </c>
      <c r="AD4">
        <v>510.88942721916402</v>
      </c>
      <c r="AE4">
        <v>497.63281533523298</v>
      </c>
    </row>
    <row r="5" spans="1:31" x14ac:dyDescent="0.3">
      <c r="A5" t="s">
        <v>306</v>
      </c>
      <c r="B5" t="s">
        <v>128</v>
      </c>
      <c r="C5" t="s">
        <v>0</v>
      </c>
      <c r="D5" t="s">
        <v>129</v>
      </c>
      <c r="E5" t="s">
        <v>123</v>
      </c>
      <c r="F5">
        <v>70.427230092346406</v>
      </c>
      <c r="G5">
        <v>63.091060291060302</v>
      </c>
      <c r="H5">
        <v>61.657172557172601</v>
      </c>
      <c r="I5">
        <v>56.176534996534997</v>
      </c>
      <c r="J5">
        <v>54.806375606375603</v>
      </c>
      <c r="K5">
        <v>53.436216216216202</v>
      </c>
      <c r="L5">
        <v>53.436216216216202</v>
      </c>
      <c r="M5">
        <v>48.578378378378403</v>
      </c>
      <c r="N5">
        <v>45.1084942084942</v>
      </c>
      <c r="O5">
        <v>42.795238095238098</v>
      </c>
      <c r="P5">
        <v>42.795238095238098</v>
      </c>
      <c r="Q5">
        <v>47.3</v>
      </c>
      <c r="R5">
        <v>48.426190476190499</v>
      </c>
      <c r="S5">
        <v>50.678571428571402</v>
      </c>
      <c r="T5">
        <v>48.426190476190499</v>
      </c>
      <c r="U5">
        <v>46.225000000000001</v>
      </c>
      <c r="V5">
        <v>43</v>
      </c>
      <c r="W5">
        <v>43</v>
      </c>
      <c r="X5">
        <v>41.976190476190503</v>
      </c>
      <c r="Y5">
        <v>44.023809523809497</v>
      </c>
      <c r="Z5">
        <v>43</v>
      </c>
      <c r="AA5">
        <v>44</v>
      </c>
      <c r="AB5">
        <v>55.255813953488399</v>
      </c>
      <c r="AC5">
        <v>53.209302325581397</v>
      </c>
      <c r="AD5">
        <v>49.116279069767401</v>
      </c>
      <c r="AE5">
        <v>47.069767441860499</v>
      </c>
    </row>
    <row r="6" spans="1:31" x14ac:dyDescent="0.3">
      <c r="A6" t="s">
        <v>306</v>
      </c>
      <c r="B6" t="s">
        <v>130</v>
      </c>
      <c r="C6" t="s">
        <v>0</v>
      </c>
      <c r="D6" t="s">
        <v>131</v>
      </c>
      <c r="E6" t="s">
        <v>123</v>
      </c>
      <c r="F6">
        <v>18.6666666666667</v>
      </c>
      <c r="G6">
        <v>16.969696969697001</v>
      </c>
      <c r="H6">
        <v>18.6666666666667</v>
      </c>
      <c r="I6">
        <v>17.1111111111111</v>
      </c>
      <c r="J6">
        <v>15.5555555555556</v>
      </c>
      <c r="K6">
        <v>15.5555555555556</v>
      </c>
      <c r="L6">
        <v>15.5555555555556</v>
      </c>
      <c r="M6">
        <v>14.4444444444444</v>
      </c>
      <c r="N6">
        <v>13.3333333333333</v>
      </c>
      <c r="O6">
        <v>12.2222222222222</v>
      </c>
      <c r="P6">
        <v>12.2222222222222</v>
      </c>
      <c r="Q6">
        <v>12.2222222222222</v>
      </c>
      <c r="R6">
        <v>12.2222222222222</v>
      </c>
      <c r="S6">
        <v>12.2222222222222</v>
      </c>
      <c r="T6">
        <v>10</v>
      </c>
      <c r="U6">
        <v>7</v>
      </c>
      <c r="V6">
        <v>5</v>
      </c>
      <c r="W6">
        <v>3</v>
      </c>
      <c r="X6">
        <v>3</v>
      </c>
      <c r="Y6">
        <v>3</v>
      </c>
      <c r="Z6">
        <v>1</v>
      </c>
      <c r="AA6">
        <v>0</v>
      </c>
      <c r="AB6" t="e">
        <v>#NUM!</v>
      </c>
      <c r="AC6" t="e">
        <v>#NUM!</v>
      </c>
      <c r="AD6" t="e">
        <v>#NUM!</v>
      </c>
      <c r="AE6" t="e">
        <v>#NUM!</v>
      </c>
    </row>
    <row r="7" spans="1:31" x14ac:dyDescent="0.3">
      <c r="A7" t="s">
        <v>306</v>
      </c>
      <c r="B7" t="s">
        <v>132</v>
      </c>
      <c r="C7" t="s">
        <v>0</v>
      </c>
      <c r="D7" t="s">
        <v>133</v>
      </c>
      <c r="E7" t="s">
        <v>123</v>
      </c>
      <c r="F7">
        <v>129.26620240113701</v>
      </c>
      <c r="G7">
        <v>126.456067566329</v>
      </c>
      <c r="H7">
        <v>126.456067566329</v>
      </c>
      <c r="I7">
        <v>131.72507038159301</v>
      </c>
      <c r="J7">
        <v>135.67682249304099</v>
      </c>
      <c r="K7">
        <v>138.26114292148</v>
      </c>
      <c r="L7">
        <v>135.87733011248901</v>
      </c>
      <c r="M7">
        <v>130.26256440536099</v>
      </c>
      <c r="N7">
        <v>125.956363929151</v>
      </c>
      <c r="O7">
        <v>124.888937116192</v>
      </c>
      <c r="P7">
        <v>123.830556293173</v>
      </c>
      <c r="Q7">
        <v>138.64788781543299</v>
      </c>
      <c r="R7">
        <v>143.93979193052601</v>
      </c>
      <c r="S7">
        <v>151.34845769165599</v>
      </c>
      <c r="T7">
        <v>135.47274534637799</v>
      </c>
      <c r="U7">
        <v>122.028885121165</v>
      </c>
      <c r="V7">
        <v>115.87616822429899</v>
      </c>
      <c r="W7">
        <v>107.815217391304</v>
      </c>
      <c r="X7">
        <v>99.902173913043498</v>
      </c>
      <c r="Y7">
        <v>91</v>
      </c>
      <c r="Z7">
        <v>89</v>
      </c>
      <c r="AA7">
        <v>92</v>
      </c>
      <c r="AB7">
        <v>111</v>
      </c>
      <c r="AC7">
        <v>105.954545454545</v>
      </c>
      <c r="AD7">
        <v>101.956260720412</v>
      </c>
      <c r="AE7">
        <v>95.958833619211006</v>
      </c>
    </row>
    <row r="8" spans="1:31" x14ac:dyDescent="0.3">
      <c r="A8" t="s">
        <v>306</v>
      </c>
      <c r="B8" t="s">
        <v>134</v>
      </c>
      <c r="C8" t="s">
        <v>0</v>
      </c>
      <c r="D8" t="s">
        <v>135</v>
      </c>
      <c r="E8" t="s">
        <v>123</v>
      </c>
      <c r="F8">
        <v>9.5588235294117592</v>
      </c>
      <c r="G8">
        <v>11.151960784313699</v>
      </c>
      <c r="H8">
        <v>12.7450980392157</v>
      </c>
      <c r="I8">
        <v>14.338235294117601</v>
      </c>
      <c r="J8">
        <v>14.338235294117601</v>
      </c>
      <c r="K8">
        <v>14.338235294117601</v>
      </c>
      <c r="L8">
        <v>14.338235294117601</v>
      </c>
      <c r="M8">
        <v>12.9044117647059</v>
      </c>
      <c r="N8">
        <v>11.613970588235301</v>
      </c>
      <c r="O8">
        <v>10.323529411764699</v>
      </c>
      <c r="P8">
        <v>10.323529411764699</v>
      </c>
      <c r="Q8">
        <v>10.323529411764699</v>
      </c>
      <c r="R8">
        <v>10.323529411764699</v>
      </c>
      <c r="S8">
        <v>10.323529411764699</v>
      </c>
      <c r="T8">
        <v>11.4705882352941</v>
      </c>
      <c r="U8">
        <v>14.911764705882399</v>
      </c>
      <c r="V8">
        <v>13.764705882352899</v>
      </c>
      <c r="W8">
        <v>13.764705882352899</v>
      </c>
      <c r="X8">
        <v>12.705882352941201</v>
      </c>
      <c r="Y8">
        <v>12.705882352941201</v>
      </c>
      <c r="Z8">
        <v>18</v>
      </c>
      <c r="AA8">
        <v>13</v>
      </c>
      <c r="AB8">
        <v>0</v>
      </c>
      <c r="AC8" t="e">
        <v>#NUM!</v>
      </c>
      <c r="AD8" t="e">
        <v>#NUM!</v>
      </c>
      <c r="AE8" t="e">
        <v>#NUM!</v>
      </c>
    </row>
    <row r="9" spans="1:31" x14ac:dyDescent="0.3">
      <c r="A9" t="s">
        <v>306</v>
      </c>
      <c r="B9" t="s">
        <v>136</v>
      </c>
      <c r="C9" t="s">
        <v>0</v>
      </c>
      <c r="D9" t="s">
        <v>137</v>
      </c>
      <c r="E9" t="s">
        <v>123</v>
      </c>
      <c r="F9">
        <v>39.431501831501798</v>
      </c>
      <c r="G9">
        <v>37.971075837742497</v>
      </c>
      <c r="H9">
        <v>37.971075837742497</v>
      </c>
      <c r="I9">
        <v>37.971075837742497</v>
      </c>
      <c r="J9">
        <v>36.661728395061701</v>
      </c>
      <c r="K9">
        <v>35.397530864197499</v>
      </c>
      <c r="L9">
        <v>34.255675029868598</v>
      </c>
      <c r="M9">
        <v>33.185185185185198</v>
      </c>
      <c r="N9">
        <v>30.074074074074101</v>
      </c>
      <c r="O9">
        <v>30.074074074074101</v>
      </c>
      <c r="P9">
        <v>30.074074074074101</v>
      </c>
      <c r="Q9">
        <v>29.037037037036999</v>
      </c>
      <c r="R9">
        <v>31.1111111111111</v>
      </c>
      <c r="S9">
        <v>31.1111111111111</v>
      </c>
      <c r="T9">
        <v>28</v>
      </c>
      <c r="U9">
        <v>25</v>
      </c>
      <c r="V9">
        <v>23</v>
      </c>
      <c r="W9">
        <v>23</v>
      </c>
      <c r="X9">
        <v>25</v>
      </c>
      <c r="Y9">
        <v>24</v>
      </c>
      <c r="Z9">
        <v>28</v>
      </c>
      <c r="AA9">
        <v>35</v>
      </c>
      <c r="AB9">
        <v>44</v>
      </c>
      <c r="AC9">
        <v>48.093023255814003</v>
      </c>
      <c r="AD9">
        <v>49.094961240310099</v>
      </c>
      <c r="AE9">
        <v>50.1177729328165</v>
      </c>
    </row>
    <row r="10" spans="1:31" x14ac:dyDescent="0.3">
      <c r="A10" t="s">
        <v>306</v>
      </c>
      <c r="B10" t="s">
        <v>138</v>
      </c>
      <c r="C10" t="s">
        <v>0</v>
      </c>
      <c r="D10" t="s">
        <v>139</v>
      </c>
      <c r="E10" t="s">
        <v>123</v>
      </c>
      <c r="F10">
        <v>45.665644858313797</v>
      </c>
      <c r="G10">
        <v>44.2385934564915</v>
      </c>
      <c r="H10">
        <v>42.856137410976103</v>
      </c>
      <c r="I10">
        <v>44.154808241611804</v>
      </c>
      <c r="J10">
        <v>42.856137410976103</v>
      </c>
      <c r="K10">
        <v>41.595662781241501</v>
      </c>
      <c r="L10">
        <v>39.284792626728098</v>
      </c>
      <c r="M10">
        <v>38.193548387096797</v>
      </c>
      <c r="N10">
        <v>35.096774193548399</v>
      </c>
      <c r="O10">
        <v>34.064516129032299</v>
      </c>
      <c r="P10">
        <v>34.064516129032299</v>
      </c>
      <c r="Q10">
        <v>33.0322580645161</v>
      </c>
      <c r="R10">
        <v>34.064516129032299</v>
      </c>
      <c r="S10">
        <v>36.129032258064498</v>
      </c>
      <c r="T10">
        <v>32</v>
      </c>
      <c r="U10">
        <v>28</v>
      </c>
      <c r="V10">
        <v>26</v>
      </c>
      <c r="W10">
        <v>25</v>
      </c>
      <c r="X10">
        <v>27</v>
      </c>
      <c r="Y10">
        <v>25</v>
      </c>
      <c r="Z10">
        <v>29</v>
      </c>
      <c r="AA10">
        <v>36</v>
      </c>
      <c r="AB10">
        <v>45</v>
      </c>
      <c r="AC10">
        <v>49.090909090909101</v>
      </c>
      <c r="AD10">
        <v>49.090909090909101</v>
      </c>
      <c r="AE10">
        <v>50.113636363636402</v>
      </c>
    </row>
    <row r="11" spans="1:31" x14ac:dyDescent="0.3">
      <c r="A11" t="s">
        <v>306</v>
      </c>
      <c r="B11" t="s">
        <v>140</v>
      </c>
      <c r="C11" t="s">
        <v>0</v>
      </c>
      <c r="D11" t="s">
        <v>141</v>
      </c>
      <c r="E11" t="s">
        <v>123</v>
      </c>
      <c r="F11">
        <v>6.25</v>
      </c>
      <c r="G11">
        <v>6.25</v>
      </c>
      <c r="H11">
        <v>5</v>
      </c>
      <c r="I11">
        <v>6.25</v>
      </c>
      <c r="J11">
        <v>6.25</v>
      </c>
      <c r="K11">
        <v>6.25</v>
      </c>
      <c r="L11">
        <v>5</v>
      </c>
      <c r="M11">
        <v>5</v>
      </c>
      <c r="N11">
        <v>5</v>
      </c>
      <c r="O11">
        <v>4</v>
      </c>
      <c r="P11">
        <v>4</v>
      </c>
      <c r="Q11">
        <v>4</v>
      </c>
      <c r="R11">
        <v>3</v>
      </c>
      <c r="S11">
        <v>5</v>
      </c>
      <c r="T11">
        <v>4</v>
      </c>
      <c r="U11">
        <v>3</v>
      </c>
      <c r="V11">
        <v>3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 t="e">
        <v>#NUM!</v>
      </c>
    </row>
    <row r="12" spans="1:31" x14ac:dyDescent="0.3">
      <c r="A12" t="s">
        <v>306</v>
      </c>
      <c r="B12" t="s">
        <v>142</v>
      </c>
      <c r="C12" t="s">
        <v>0</v>
      </c>
      <c r="D12" t="s">
        <v>143</v>
      </c>
      <c r="E12" t="s">
        <v>123</v>
      </c>
      <c r="F12">
        <v>63.163303983228502</v>
      </c>
      <c r="G12">
        <v>58.756561844863697</v>
      </c>
      <c r="H12">
        <v>54.559664570230602</v>
      </c>
      <c r="I12">
        <v>58.651639412997902</v>
      </c>
      <c r="J12">
        <v>55.923656184486397</v>
      </c>
      <c r="K12">
        <v>57.2876477987421</v>
      </c>
      <c r="L12">
        <v>53.630989428609602</v>
      </c>
      <c r="M12">
        <v>50.279052589321502</v>
      </c>
      <c r="N12">
        <v>48.093006824568398</v>
      </c>
      <c r="O12">
        <v>46.999983942191903</v>
      </c>
      <c r="P12">
        <v>45.906961059815302</v>
      </c>
      <c r="Q12">
        <v>51.372075471698103</v>
      </c>
      <c r="R12">
        <v>50.323665768194097</v>
      </c>
      <c r="S12">
        <v>55.5657142857143</v>
      </c>
      <c r="T12">
        <v>53.428571428571402</v>
      </c>
      <c r="U12">
        <v>49.238095238095198</v>
      </c>
      <c r="V12">
        <v>45.047619047619001</v>
      </c>
      <c r="W12">
        <v>43</v>
      </c>
      <c r="X12">
        <v>39</v>
      </c>
      <c r="Y12">
        <v>37</v>
      </c>
      <c r="Z12">
        <v>37</v>
      </c>
      <c r="AA12">
        <v>34</v>
      </c>
      <c r="AB12">
        <v>31</v>
      </c>
      <c r="AC12">
        <v>28.933333333333302</v>
      </c>
      <c r="AD12">
        <v>25.8333333333333</v>
      </c>
      <c r="AE12">
        <v>23.6805555555556</v>
      </c>
    </row>
    <row r="13" spans="1:31" x14ac:dyDescent="0.3">
      <c r="A13" t="s">
        <v>306</v>
      </c>
      <c r="B13" t="s">
        <v>144</v>
      </c>
      <c r="C13" t="s">
        <v>0</v>
      </c>
      <c r="D13" t="s">
        <v>145</v>
      </c>
      <c r="E13" t="s">
        <v>123</v>
      </c>
      <c r="F13">
        <v>62.203909254519203</v>
      </c>
      <c r="G13">
        <v>53.721557992539303</v>
      </c>
      <c r="H13">
        <v>48.3494021932854</v>
      </c>
      <c r="I13">
        <v>52.269623992741003</v>
      </c>
      <c r="J13">
        <v>50.9947551148692</v>
      </c>
      <c r="K13">
        <v>54.726078659859702</v>
      </c>
      <c r="L13">
        <v>54.726078659859702</v>
      </c>
      <c r="M13">
        <v>52.492361163538902</v>
      </c>
      <c r="N13">
        <v>53.563633840345801</v>
      </c>
      <c r="O13">
        <v>53.563633840345801</v>
      </c>
      <c r="P13">
        <v>52.492361163538902</v>
      </c>
      <c r="Q13">
        <v>67.490178638835701</v>
      </c>
      <c r="R13">
        <v>85.417257339776398</v>
      </c>
      <c r="S13">
        <v>106.50793816441301</v>
      </c>
      <c r="T13">
        <v>120.35397012578601</v>
      </c>
      <c r="U13">
        <v>117.186760385634</v>
      </c>
      <c r="V13">
        <v>111.90807748538001</v>
      </c>
      <c r="W13">
        <v>119.229166666667</v>
      </c>
      <c r="X13">
        <v>107.104166666667</v>
      </c>
      <c r="Y13">
        <v>100.03125</v>
      </c>
      <c r="Z13">
        <v>97</v>
      </c>
      <c r="AA13">
        <v>92</v>
      </c>
      <c r="AB13">
        <v>89</v>
      </c>
      <c r="AC13">
        <v>91.022727272727295</v>
      </c>
      <c r="AD13">
        <v>94.023476523476504</v>
      </c>
      <c r="AE13">
        <v>90.990461151751504</v>
      </c>
    </row>
    <row r="14" spans="1:31" x14ac:dyDescent="0.3">
      <c r="A14" t="s">
        <v>306</v>
      </c>
      <c r="B14" t="s">
        <v>146</v>
      </c>
      <c r="C14" t="s">
        <v>0</v>
      </c>
      <c r="D14" t="s">
        <v>147</v>
      </c>
      <c r="E14" t="s">
        <v>123</v>
      </c>
      <c r="F14">
        <v>11.761677962026599</v>
      </c>
      <c r="G14">
        <v>15.682237282702101</v>
      </c>
      <c r="H14">
        <v>20.909649710269498</v>
      </c>
      <c r="I14">
        <v>27.4439152447287</v>
      </c>
      <c r="J14">
        <v>33.978180779187902</v>
      </c>
      <c r="K14">
        <v>40.512446313647096</v>
      </c>
      <c r="L14">
        <v>44.195395978524097</v>
      </c>
      <c r="M14">
        <v>46.351268953086297</v>
      </c>
      <c r="N14">
        <v>52.818887876772799</v>
      </c>
      <c r="O14">
        <v>59.2865068004592</v>
      </c>
      <c r="P14">
        <v>65.754125724145695</v>
      </c>
      <c r="Q14">
        <v>77.611427084237505</v>
      </c>
      <c r="R14">
        <v>80.800937786329499</v>
      </c>
      <c r="S14">
        <v>112.281822638146</v>
      </c>
      <c r="T14">
        <v>101.68919786096301</v>
      </c>
      <c r="U14">
        <v>98.544171122994598</v>
      </c>
      <c r="V14">
        <v>94.350802139037398</v>
      </c>
      <c r="W14">
        <v>88.129870129870099</v>
      </c>
      <c r="X14">
        <v>80.025974025973994</v>
      </c>
      <c r="Y14">
        <v>78</v>
      </c>
      <c r="Z14">
        <v>78</v>
      </c>
      <c r="AA14">
        <v>75</v>
      </c>
      <c r="AB14">
        <v>76</v>
      </c>
      <c r="AC14">
        <v>73.945945945945994</v>
      </c>
      <c r="AD14">
        <v>71.920029618659797</v>
      </c>
      <c r="AE14">
        <v>75.002316602316597</v>
      </c>
    </row>
    <row r="15" spans="1:31" x14ac:dyDescent="0.3">
      <c r="A15" t="s">
        <v>306</v>
      </c>
      <c r="B15" t="s">
        <v>148</v>
      </c>
      <c r="C15" t="s">
        <v>0</v>
      </c>
      <c r="D15" t="s">
        <v>149</v>
      </c>
      <c r="E15" t="s">
        <v>123</v>
      </c>
      <c r="F15">
        <v>27.820282654180598</v>
      </c>
      <c r="G15">
        <v>29.284508057032198</v>
      </c>
      <c r="H15">
        <v>34.862509591704999</v>
      </c>
      <c r="I15">
        <v>41.566838359340601</v>
      </c>
      <c r="J15">
        <v>49.6120328805033</v>
      </c>
      <c r="K15">
        <v>56.316361648138901</v>
      </c>
      <c r="L15">
        <v>58.764899111101499</v>
      </c>
      <c r="M15">
        <v>58.764899111101499</v>
      </c>
      <c r="N15">
        <v>67.312520799989002</v>
      </c>
      <c r="O15">
        <v>74.791689777765498</v>
      </c>
      <c r="P15">
        <v>81.2024060444312</v>
      </c>
      <c r="Q15">
        <v>94.023838577762405</v>
      </c>
      <c r="R15">
        <v>97.193181451170105</v>
      </c>
      <c r="S15">
        <v>131.31419196062299</v>
      </c>
      <c r="T15">
        <v>120.809056603774</v>
      </c>
      <c r="U15">
        <v>116.643227065712</v>
      </c>
      <c r="V15">
        <v>110.394482758621</v>
      </c>
      <c r="W15">
        <v>103.172413793103</v>
      </c>
      <c r="X15">
        <v>95.080459770114899</v>
      </c>
      <c r="Y15">
        <v>90.022988505747094</v>
      </c>
      <c r="Z15">
        <v>89</v>
      </c>
      <c r="AA15">
        <v>85</v>
      </c>
      <c r="AB15">
        <v>86.011904761904802</v>
      </c>
      <c r="AC15">
        <v>83.939328743545602</v>
      </c>
      <c r="AD15">
        <v>79.844727341421404</v>
      </c>
      <c r="AE15">
        <v>82.955560874204096</v>
      </c>
    </row>
    <row r="16" spans="1:31" x14ac:dyDescent="0.3">
      <c r="A16" t="s">
        <v>306</v>
      </c>
      <c r="B16" t="s">
        <v>150</v>
      </c>
      <c r="C16" t="s">
        <v>0</v>
      </c>
      <c r="D16" t="s">
        <v>151</v>
      </c>
      <c r="E16" t="s">
        <v>123</v>
      </c>
      <c r="F16">
        <v>17.622352789256201</v>
      </c>
      <c r="G16">
        <v>14.097882231405</v>
      </c>
      <c r="H16">
        <v>14.097882231405</v>
      </c>
      <c r="I16">
        <v>14.097882231405</v>
      </c>
      <c r="J16">
        <v>15.507670454545501</v>
      </c>
      <c r="K16">
        <v>15.507670454545501</v>
      </c>
      <c r="L16">
        <v>14.3147727272727</v>
      </c>
      <c r="M16">
        <v>12.112500000000001</v>
      </c>
      <c r="N16">
        <v>14.13125</v>
      </c>
      <c r="O16">
        <v>15.140625</v>
      </c>
      <c r="P16">
        <v>15.140625</v>
      </c>
      <c r="Q16">
        <v>16.149999999999999</v>
      </c>
      <c r="R16">
        <v>16.149999999999999</v>
      </c>
      <c r="S16">
        <v>19</v>
      </c>
      <c r="T16">
        <v>19</v>
      </c>
      <c r="U16">
        <v>18</v>
      </c>
      <c r="V16">
        <v>16</v>
      </c>
      <c r="W16">
        <v>15</v>
      </c>
      <c r="X16">
        <v>15</v>
      </c>
      <c r="Y16">
        <v>12</v>
      </c>
      <c r="Z16">
        <v>11</v>
      </c>
      <c r="AA16">
        <v>10</v>
      </c>
      <c r="AB16">
        <v>10</v>
      </c>
      <c r="AC16">
        <v>10</v>
      </c>
      <c r="AD16">
        <v>7.7777777777777803</v>
      </c>
      <c r="AE16">
        <v>7.7777777777777803</v>
      </c>
    </row>
    <row r="17" spans="1:31" x14ac:dyDescent="0.3">
      <c r="A17" t="s">
        <v>306</v>
      </c>
      <c r="B17" t="s">
        <v>152</v>
      </c>
      <c r="C17" t="s">
        <v>0</v>
      </c>
      <c r="D17" t="s">
        <v>153</v>
      </c>
      <c r="E17" t="s">
        <v>123</v>
      </c>
      <c r="F17">
        <v>55.240414833438102</v>
      </c>
      <c r="G17">
        <v>53.786719706242302</v>
      </c>
      <c r="H17">
        <v>50.955839721703299</v>
      </c>
      <c r="I17">
        <v>52.333024579046601</v>
      </c>
      <c r="J17">
        <v>53.710209436389903</v>
      </c>
      <c r="K17">
        <v>51.024698964570398</v>
      </c>
      <c r="L17">
        <v>52.211319870723202</v>
      </c>
      <c r="M17">
        <v>49.890816765357798</v>
      </c>
      <c r="N17">
        <v>51.0510683180405</v>
      </c>
      <c r="O17">
        <v>49.890816765357798</v>
      </c>
      <c r="P17">
        <v>54.426345562208503</v>
      </c>
      <c r="Q17">
        <v>66.899049753547899</v>
      </c>
      <c r="R17">
        <v>73.702342948823997</v>
      </c>
      <c r="S17">
        <v>88.442811538588799</v>
      </c>
      <c r="T17">
        <v>97.513869132290196</v>
      </c>
      <c r="U17">
        <v>85.461593172119507</v>
      </c>
      <c r="V17">
        <v>82.216216216216196</v>
      </c>
      <c r="W17">
        <v>78</v>
      </c>
      <c r="X17">
        <v>71</v>
      </c>
      <c r="Y17">
        <v>68</v>
      </c>
      <c r="Z17">
        <v>67</v>
      </c>
      <c r="AA17">
        <v>64</v>
      </c>
      <c r="AB17">
        <v>59</v>
      </c>
      <c r="AC17">
        <v>61.034482758620697</v>
      </c>
      <c r="AD17">
        <v>62.051724137930997</v>
      </c>
      <c r="AE17">
        <v>57.914942528735601</v>
      </c>
    </row>
    <row r="18" spans="1:31" x14ac:dyDescent="0.3">
      <c r="A18" t="s">
        <v>306</v>
      </c>
      <c r="B18" t="s">
        <v>154</v>
      </c>
      <c r="C18" t="s">
        <v>0</v>
      </c>
      <c r="D18" t="s">
        <v>155</v>
      </c>
      <c r="E18" t="s">
        <v>123</v>
      </c>
      <c r="F18">
        <v>46.585648148148103</v>
      </c>
      <c r="G18">
        <v>39.9305555555556</v>
      </c>
      <c r="H18">
        <v>36.7361111111111</v>
      </c>
      <c r="I18">
        <v>33.5416666666667</v>
      </c>
      <c r="J18">
        <v>31.9444444444444</v>
      </c>
      <c r="K18">
        <v>31.9444444444444</v>
      </c>
      <c r="L18">
        <v>29.1666666666667</v>
      </c>
      <c r="M18">
        <v>25.3623188405797</v>
      </c>
      <c r="N18">
        <v>22.946859903381601</v>
      </c>
      <c r="O18">
        <v>21.739130434782599</v>
      </c>
      <c r="P18">
        <v>22.946859903381601</v>
      </c>
      <c r="Q18">
        <v>27.7777777777778</v>
      </c>
      <c r="R18">
        <v>30.1932367149758</v>
      </c>
      <c r="S18">
        <v>31.400966183574901</v>
      </c>
      <c r="T18">
        <v>32.6086956521739</v>
      </c>
      <c r="U18">
        <v>30.279503105590098</v>
      </c>
      <c r="V18">
        <v>27.950310559006201</v>
      </c>
      <c r="W18">
        <v>25.714285714285701</v>
      </c>
      <c r="X18">
        <v>21.428571428571399</v>
      </c>
      <c r="Y18">
        <v>18.214285714285701</v>
      </c>
      <c r="Z18">
        <v>15</v>
      </c>
      <c r="AA18">
        <v>13</v>
      </c>
      <c r="AB18">
        <v>11</v>
      </c>
      <c r="AC18">
        <v>11</v>
      </c>
      <c r="AD18">
        <v>0</v>
      </c>
      <c r="AE18" t="e">
        <v>#NUM!</v>
      </c>
    </row>
    <row r="19" spans="1:31" x14ac:dyDescent="0.3">
      <c r="A19" t="s">
        <v>306</v>
      </c>
      <c r="B19" t="s">
        <v>156</v>
      </c>
      <c r="C19" t="s">
        <v>0</v>
      </c>
      <c r="D19" t="s">
        <v>157</v>
      </c>
      <c r="E19" t="s">
        <v>123</v>
      </c>
      <c r="F19">
        <v>26.8266397468078</v>
      </c>
      <c r="G19">
        <v>25.336270871985199</v>
      </c>
      <c r="H19">
        <v>25.336270871985199</v>
      </c>
      <c r="I19">
        <v>26.6697588126159</v>
      </c>
      <c r="J19">
        <v>26.6697588126159</v>
      </c>
      <c r="K19">
        <v>28.0032467532467</v>
      </c>
      <c r="L19">
        <v>26.785714285714299</v>
      </c>
      <c r="M19">
        <v>26.785714285714299</v>
      </c>
      <c r="N19">
        <v>26.785714285714299</v>
      </c>
      <c r="O19">
        <v>26.785714285714299</v>
      </c>
      <c r="P19">
        <v>27.8571428571429</v>
      </c>
      <c r="Q19">
        <v>31.071428571428601</v>
      </c>
      <c r="R19">
        <v>33.142857142857103</v>
      </c>
      <c r="S19">
        <v>37.285714285714299</v>
      </c>
      <c r="T19">
        <v>35.214285714285701</v>
      </c>
      <c r="U19">
        <v>34.178571428571402</v>
      </c>
      <c r="V19">
        <v>32.107142857142897</v>
      </c>
      <c r="W19">
        <v>29</v>
      </c>
      <c r="X19">
        <v>25</v>
      </c>
      <c r="Y19">
        <v>29</v>
      </c>
      <c r="Z19">
        <v>38</v>
      </c>
      <c r="AA19">
        <v>40</v>
      </c>
      <c r="AB19">
        <v>45.128205128205103</v>
      </c>
      <c r="AC19">
        <v>46.153846153846096</v>
      </c>
      <c r="AD19">
        <v>49.163879598662199</v>
      </c>
      <c r="AE19">
        <v>48.160535117056902</v>
      </c>
    </row>
    <row r="20" spans="1:31" x14ac:dyDescent="0.3">
      <c r="A20" t="s">
        <v>306</v>
      </c>
      <c r="B20" t="s">
        <v>158</v>
      </c>
      <c r="C20" t="s">
        <v>0</v>
      </c>
      <c r="D20" t="s">
        <v>159</v>
      </c>
      <c r="E20" t="s">
        <v>123</v>
      </c>
      <c r="F20">
        <v>104.039105250858</v>
      </c>
      <c r="G20">
        <v>95.603502122410404</v>
      </c>
      <c r="H20">
        <v>91.506209174307102</v>
      </c>
      <c r="I20">
        <v>90.198977614674206</v>
      </c>
      <c r="J20">
        <v>87.5845144954083</v>
      </c>
      <c r="K20">
        <v>85.045832915831198</v>
      </c>
      <c r="L20">
        <v>81.502256544338294</v>
      </c>
      <c r="M20">
        <v>77.096729163563197</v>
      </c>
      <c r="N20">
        <v>74.924990313885402</v>
      </c>
      <c r="O20">
        <v>73.839120889046498</v>
      </c>
      <c r="P20">
        <v>71.667382039368604</v>
      </c>
      <c r="Q20">
        <v>70.5815126145297</v>
      </c>
      <c r="R20">
        <v>68.442678898937899</v>
      </c>
      <c r="S20">
        <v>73.789763187917401</v>
      </c>
      <c r="T20">
        <v>72.720346330121501</v>
      </c>
      <c r="U20">
        <v>102.230052087272</v>
      </c>
      <c r="V20">
        <v>92.841577915992204</v>
      </c>
      <c r="W20">
        <v>113.473039675102</v>
      </c>
      <c r="X20">
        <v>137.57350827866301</v>
      </c>
      <c r="Y20">
        <v>165.690721649485</v>
      </c>
      <c r="Z20">
        <v>196</v>
      </c>
      <c r="AA20">
        <v>233</v>
      </c>
      <c r="AB20">
        <v>250</v>
      </c>
      <c r="AC20">
        <v>260.12145748987803</v>
      </c>
      <c r="AD20">
        <v>258.11279758648197</v>
      </c>
      <c r="AE20">
        <v>275.38806356667902</v>
      </c>
    </row>
    <row r="21" spans="1:31" x14ac:dyDescent="0.3">
      <c r="A21" t="s">
        <v>306</v>
      </c>
      <c r="B21" t="s">
        <v>160</v>
      </c>
      <c r="C21" t="s">
        <v>0</v>
      </c>
      <c r="D21" t="s">
        <v>161</v>
      </c>
      <c r="E21" t="s">
        <v>123</v>
      </c>
      <c r="F21">
        <v>292.711602650614</v>
      </c>
      <c r="G21">
        <v>275.57726493448098</v>
      </c>
      <c r="H21">
        <v>264.38631001328298</v>
      </c>
      <c r="I21">
        <v>273.686330968525</v>
      </c>
      <c r="J21">
        <v>279.00062865723402</v>
      </c>
      <c r="K21">
        <v>275.12561992588297</v>
      </c>
      <c r="L21">
        <v>268.010302169179</v>
      </c>
      <c r="M21">
        <v>238.97585276751801</v>
      </c>
      <c r="N21">
        <v>213.76280408103699</v>
      </c>
      <c r="O21">
        <v>195.316267688257</v>
      </c>
      <c r="P21">
        <v>184.58460462846301</v>
      </c>
      <c r="Q21">
        <v>174.92610787464801</v>
      </c>
      <c r="R21">
        <v>168.526372220697</v>
      </c>
      <c r="S21">
        <v>170.65961743868101</v>
      </c>
      <c r="T21">
        <v>163.193259175739</v>
      </c>
      <c r="U21">
        <v>194.98415382036299</v>
      </c>
      <c r="V21">
        <v>177.16302148194299</v>
      </c>
      <c r="W21">
        <v>217.56862287256101</v>
      </c>
      <c r="X21">
        <v>237.621030510585</v>
      </c>
      <c r="Y21">
        <v>264.69178082191797</v>
      </c>
      <c r="Z21">
        <v>295</v>
      </c>
      <c r="AA21">
        <v>341</v>
      </c>
      <c r="AB21">
        <v>362</v>
      </c>
      <c r="AC21">
        <v>367.05586592178798</v>
      </c>
      <c r="AD21">
        <v>354.05388701992598</v>
      </c>
      <c r="AE21">
        <v>361.11479074966797</v>
      </c>
    </row>
    <row r="22" spans="1:31" x14ac:dyDescent="0.3">
      <c r="A22" t="s">
        <v>306</v>
      </c>
      <c r="B22" t="s">
        <v>162</v>
      </c>
      <c r="C22" t="s">
        <v>0</v>
      </c>
      <c r="D22" t="s">
        <v>163</v>
      </c>
      <c r="E22" t="s">
        <v>123</v>
      </c>
      <c r="F22">
        <v>188.462361890794</v>
      </c>
      <c r="G22">
        <v>179.83049798739901</v>
      </c>
      <c r="H22">
        <v>172.75055712175299</v>
      </c>
      <c r="I22">
        <v>183.46376996651301</v>
      </c>
      <c r="J22">
        <v>191.49867960008299</v>
      </c>
      <c r="K22">
        <v>190.19596749396001</v>
      </c>
      <c r="L22">
        <v>186.62979310344801</v>
      </c>
      <c r="M22">
        <v>161.89572413793101</v>
      </c>
      <c r="N22">
        <v>138.76776354679799</v>
      </c>
      <c r="O22">
        <v>121.421793103448</v>
      </c>
      <c r="P22">
        <v>112.900965517241</v>
      </c>
      <c r="Q22">
        <v>104.38013793103499</v>
      </c>
      <c r="R22">
        <v>100.119724137931</v>
      </c>
      <c r="S22">
        <v>96.924413793103497</v>
      </c>
      <c r="T22">
        <v>90.533793103448303</v>
      </c>
      <c r="U22">
        <v>92.664000000000001</v>
      </c>
      <c r="V22">
        <v>84.24</v>
      </c>
      <c r="W22">
        <v>104</v>
      </c>
      <c r="X22">
        <v>100</v>
      </c>
      <c r="Y22">
        <v>99</v>
      </c>
      <c r="Z22">
        <v>99</v>
      </c>
      <c r="AA22">
        <v>108</v>
      </c>
      <c r="AB22">
        <v>112</v>
      </c>
      <c r="AC22">
        <v>106.954954954955</v>
      </c>
      <c r="AD22">
        <v>96.061394728061401</v>
      </c>
      <c r="AE22">
        <v>86.158158158158201</v>
      </c>
    </row>
    <row r="23" spans="1:31" x14ac:dyDescent="0.3">
      <c r="A23" t="s">
        <v>306</v>
      </c>
      <c r="B23" t="s">
        <v>164</v>
      </c>
      <c r="C23" t="s">
        <v>0</v>
      </c>
      <c r="D23" t="s">
        <v>165</v>
      </c>
      <c r="E23" t="s">
        <v>123</v>
      </c>
      <c r="F23">
        <v>313.20292848095198</v>
      </c>
      <c r="G23">
        <v>355.56854199528402</v>
      </c>
      <c r="H23">
        <v>395.57000296975298</v>
      </c>
      <c r="I23">
        <v>452.28254819839202</v>
      </c>
      <c r="J23">
        <v>511.64463264942998</v>
      </c>
      <c r="K23">
        <v>561.15862935743996</v>
      </c>
      <c r="L23">
        <v>588.83909986386095</v>
      </c>
      <c r="M23">
        <v>610.251430768001</v>
      </c>
      <c r="N23">
        <v>634.66148799872099</v>
      </c>
      <c r="O23">
        <v>664.66366743138803</v>
      </c>
      <c r="P23">
        <v>694.35654604516105</v>
      </c>
      <c r="Q23">
        <v>726.07266886614798</v>
      </c>
      <c r="R23">
        <v>771.80074785771706</v>
      </c>
      <c r="S23">
        <v>810.00870567245602</v>
      </c>
      <c r="T23">
        <v>805.61841458480001</v>
      </c>
      <c r="U23">
        <v>858.81963064228705</v>
      </c>
      <c r="V23">
        <v>854.52015814845902</v>
      </c>
      <c r="W23">
        <v>837.59896689799405</v>
      </c>
      <c r="X23">
        <v>798.92489552238806</v>
      </c>
      <c r="Y23">
        <v>765.25373134328402</v>
      </c>
      <c r="Z23">
        <v>754</v>
      </c>
      <c r="AA23">
        <v>743</v>
      </c>
      <c r="AB23">
        <v>738.06640106241696</v>
      </c>
      <c r="AC23">
        <v>721.24719353150397</v>
      </c>
      <c r="AD23">
        <v>680.256148702921</v>
      </c>
      <c r="AE23">
        <v>630.19400788928601</v>
      </c>
    </row>
    <row r="24" spans="1:31" x14ac:dyDescent="0.3">
      <c r="A24" t="s">
        <v>306</v>
      </c>
      <c r="B24" t="s">
        <v>166</v>
      </c>
      <c r="C24" t="s">
        <v>0</v>
      </c>
      <c r="D24" t="s">
        <v>167</v>
      </c>
      <c r="E24" t="s">
        <v>123</v>
      </c>
      <c r="F24">
        <v>2117.9746804034498</v>
      </c>
      <c r="G24">
        <v>1962.5549556544199</v>
      </c>
      <c r="H24">
        <v>1828.47650147683</v>
      </c>
      <c r="I24">
        <v>1761.5299934136101</v>
      </c>
      <c r="J24">
        <v>1700.1288704828501</v>
      </c>
      <c r="K24">
        <v>1668.3259921573699</v>
      </c>
      <c r="L24">
        <v>1665.8904797600601</v>
      </c>
      <c r="M24">
        <v>1610.7437604300701</v>
      </c>
      <c r="N24">
        <v>1575.65376986554</v>
      </c>
      <c r="O24">
        <v>1533.06853284214</v>
      </c>
      <c r="P24">
        <v>1509.7392290815001</v>
      </c>
      <c r="Q24">
        <v>1463.1149293598701</v>
      </c>
      <c r="R24">
        <v>1469.68089014981</v>
      </c>
      <c r="S24">
        <v>1506.4770243656401</v>
      </c>
      <c r="T24">
        <v>1473.7985639672499</v>
      </c>
      <c r="U24">
        <v>1515.9070943663201</v>
      </c>
      <c r="V24">
        <v>1488.17058173189</v>
      </c>
      <c r="W24">
        <v>1483.9637390980199</v>
      </c>
      <c r="X24">
        <v>1391.6597744651301</v>
      </c>
      <c r="Y24">
        <v>1303.34876033058</v>
      </c>
      <c r="Z24">
        <v>1234</v>
      </c>
      <c r="AA24">
        <v>1143</v>
      </c>
      <c r="AB24">
        <v>1028.8984375</v>
      </c>
      <c r="AC24">
        <v>928.10431316682798</v>
      </c>
      <c r="AD24">
        <v>817.63918768894905</v>
      </c>
      <c r="AE24">
        <v>709.21744625574297</v>
      </c>
    </row>
    <row r="25" spans="1:31" x14ac:dyDescent="0.3">
      <c r="A25" t="s">
        <v>306</v>
      </c>
      <c r="B25" t="s">
        <v>168</v>
      </c>
      <c r="C25" t="s">
        <v>0</v>
      </c>
      <c r="D25" t="s">
        <v>169</v>
      </c>
      <c r="E25" t="s">
        <v>123</v>
      </c>
      <c r="F25">
        <v>181.022921647283</v>
      </c>
      <c r="G25">
        <v>175.276162229909</v>
      </c>
      <c r="H25">
        <v>169.66732503855201</v>
      </c>
      <c r="I25">
        <v>168.33136184927201</v>
      </c>
      <c r="J25">
        <v>165.659435470712</v>
      </c>
      <c r="K25">
        <v>181.31229551518899</v>
      </c>
      <c r="L25">
        <v>189.66220386128299</v>
      </c>
      <c r="M25">
        <v>188.539942299974</v>
      </c>
      <c r="N25">
        <v>188.539942299974</v>
      </c>
      <c r="O25">
        <v>189.63610475520599</v>
      </c>
      <c r="P25">
        <v>183.096928729165</v>
      </c>
      <c r="Q25">
        <v>188.54624208419901</v>
      </c>
      <c r="R25">
        <v>184.211845714448</v>
      </c>
      <c r="S25">
        <v>198.298633916141</v>
      </c>
      <c r="T25">
        <v>195.02997511532499</v>
      </c>
      <c r="U25">
        <v>211.282473041602</v>
      </c>
      <c r="V25">
        <v>219.776240802069</v>
      </c>
      <c r="W25">
        <v>216.63658021918201</v>
      </c>
      <c r="X25">
        <v>194.36552991627499</v>
      </c>
      <c r="Y25">
        <v>179.18072289156601</v>
      </c>
      <c r="Z25">
        <v>169</v>
      </c>
      <c r="AA25">
        <v>162</v>
      </c>
      <c r="AB25">
        <v>146.09815950920199</v>
      </c>
      <c r="AC25">
        <v>134.09009160433601</v>
      </c>
      <c r="AD25">
        <v>120.184452474998</v>
      </c>
      <c r="AE25">
        <v>108.166007227498</v>
      </c>
    </row>
    <row r="26" spans="1:31" x14ac:dyDescent="0.3">
      <c r="A26" t="s">
        <v>306</v>
      </c>
      <c r="B26" t="s">
        <v>170</v>
      </c>
      <c r="C26" t="s">
        <v>0</v>
      </c>
      <c r="D26" t="s">
        <v>171</v>
      </c>
      <c r="E26" t="s">
        <v>123</v>
      </c>
      <c r="F26">
        <v>1521.27785640466</v>
      </c>
      <c r="G26">
        <v>1397.3105461745099</v>
      </c>
      <c r="H26">
        <v>1292.6596508386499</v>
      </c>
      <c r="I26">
        <v>1236.9415624404301</v>
      </c>
      <c r="J26">
        <v>1176.1747826262199</v>
      </c>
      <c r="K26">
        <v>1121.1643807662001</v>
      </c>
      <c r="L26">
        <v>1089.9542374043999</v>
      </c>
      <c r="M26">
        <v>1033.1265920757</v>
      </c>
      <c r="N26">
        <v>972.61809319057295</v>
      </c>
      <c r="O26">
        <v>919.44535005486898</v>
      </c>
      <c r="P26">
        <v>888.65052971810303</v>
      </c>
      <c r="Q26">
        <v>833.31737095608003</v>
      </c>
      <c r="R26">
        <v>831.13591186980705</v>
      </c>
      <c r="S26">
        <v>839.80486531825397</v>
      </c>
      <c r="T26">
        <v>803.81322823318601</v>
      </c>
      <c r="U26">
        <v>793.00928699349197</v>
      </c>
      <c r="V26">
        <v>762.01566256921797</v>
      </c>
      <c r="W26">
        <v>751.49058435693598</v>
      </c>
      <c r="X26">
        <v>701.796875</v>
      </c>
      <c r="Y26">
        <v>650</v>
      </c>
      <c r="Z26">
        <v>600</v>
      </c>
      <c r="AA26">
        <v>544</v>
      </c>
      <c r="AB26">
        <v>485.537340619308</v>
      </c>
      <c r="AC26">
        <v>429.819940876109</v>
      </c>
      <c r="AD26">
        <v>369.95917285454999</v>
      </c>
      <c r="AE26">
        <v>311.59662954327098</v>
      </c>
    </row>
    <row r="27" spans="1:31" x14ac:dyDescent="0.3">
      <c r="A27" t="s">
        <v>306</v>
      </c>
      <c r="B27" t="s">
        <v>172</v>
      </c>
      <c r="C27" t="s">
        <v>0</v>
      </c>
      <c r="D27" t="s">
        <v>173</v>
      </c>
      <c r="E27" t="s">
        <v>123</v>
      </c>
      <c r="F27">
        <v>408.66621554328202</v>
      </c>
      <c r="G27">
        <v>382.93537974981598</v>
      </c>
      <c r="H27">
        <v>359.27914007415097</v>
      </c>
      <c r="I27">
        <v>349.45510108774897</v>
      </c>
      <c r="J27">
        <v>352.26196936957803</v>
      </c>
      <c r="K27">
        <v>360.45410819212702</v>
      </c>
      <c r="L27">
        <v>382.03058649940198</v>
      </c>
      <c r="M27">
        <v>385.58987767796799</v>
      </c>
      <c r="N27">
        <v>412.54600894420798</v>
      </c>
      <c r="O27">
        <v>422.97554287819099</v>
      </c>
      <c r="P27">
        <v>437.836845736074</v>
      </c>
      <c r="Q27">
        <v>441.213479507817</v>
      </c>
      <c r="R27">
        <v>454.48305783887901</v>
      </c>
      <c r="S27">
        <v>468.51697648948601</v>
      </c>
      <c r="T27">
        <v>475.03925458446702</v>
      </c>
      <c r="U27">
        <v>511.66359620776001</v>
      </c>
      <c r="V27">
        <v>506.33376708059501</v>
      </c>
      <c r="W27">
        <v>515.80778767046104</v>
      </c>
      <c r="X27">
        <v>495.50039445508799</v>
      </c>
      <c r="Y27">
        <v>474.177631578947</v>
      </c>
      <c r="Z27">
        <v>465</v>
      </c>
      <c r="AA27">
        <v>437</v>
      </c>
      <c r="AB27">
        <v>397.27272727272702</v>
      </c>
      <c r="AC27">
        <v>364.250057247538</v>
      </c>
      <c r="AD27">
        <v>327.62708953514999</v>
      </c>
      <c r="AE27">
        <v>289.670292576809</v>
      </c>
    </row>
    <row r="28" spans="1:31" x14ac:dyDescent="0.3">
      <c r="A28" t="s">
        <v>306</v>
      </c>
      <c r="B28" t="s">
        <v>174</v>
      </c>
      <c r="C28" t="s">
        <v>0</v>
      </c>
      <c r="D28" t="s">
        <v>175</v>
      </c>
      <c r="E28" t="s">
        <v>123</v>
      </c>
      <c r="F28">
        <v>9943.1237822722596</v>
      </c>
      <c r="G28">
        <v>9489.5112364906399</v>
      </c>
      <c r="H28">
        <v>9437.2104775279804</v>
      </c>
      <c r="I28">
        <v>9441.5748418616604</v>
      </c>
      <c r="J28">
        <v>9444.4003917170703</v>
      </c>
      <c r="K28">
        <v>9101.5660519567591</v>
      </c>
      <c r="L28">
        <v>9013.4944976801507</v>
      </c>
      <c r="M28">
        <v>8587.22883979779</v>
      </c>
      <c r="N28">
        <v>8073.9637972443697</v>
      </c>
      <c r="O28">
        <v>8177.5507624966103</v>
      </c>
      <c r="P28">
        <v>8176.3954148330704</v>
      </c>
      <c r="Q28">
        <v>8263.7574352924094</v>
      </c>
      <c r="R28">
        <v>8386.6684786029891</v>
      </c>
      <c r="S28">
        <v>8154.4680283634398</v>
      </c>
      <c r="T28">
        <v>8206.2753220633294</v>
      </c>
      <c r="U28">
        <v>7888.5910130782204</v>
      </c>
      <c r="V28">
        <v>7789.5050854232304</v>
      </c>
      <c r="W28">
        <v>7690.7070303280798</v>
      </c>
      <c r="X28">
        <v>7654.1358360579898</v>
      </c>
      <c r="Y28">
        <v>7308.6254019292601</v>
      </c>
      <c r="Z28">
        <v>7159</v>
      </c>
      <c r="AA28">
        <v>7327</v>
      </c>
      <c r="AB28">
        <v>7407.5492671009797</v>
      </c>
      <c r="AC28">
        <v>7095.26634162764</v>
      </c>
      <c r="AD28">
        <v>7490.9352822718602</v>
      </c>
      <c r="AE28">
        <v>7238.0149018640404</v>
      </c>
    </row>
    <row r="29" spans="1:31" x14ac:dyDescent="0.3">
      <c r="A29" t="s">
        <v>306</v>
      </c>
      <c r="B29" t="s">
        <v>176</v>
      </c>
      <c r="C29" t="s">
        <v>0</v>
      </c>
      <c r="D29" t="s">
        <v>177</v>
      </c>
      <c r="E29" t="s">
        <v>123</v>
      </c>
      <c r="F29">
        <v>2806.11239361156</v>
      </c>
      <c r="G29">
        <v>2787.6604658842198</v>
      </c>
      <c r="H29">
        <v>2795.9242814945501</v>
      </c>
      <c r="I29">
        <v>2851.8427671244399</v>
      </c>
      <c r="J29">
        <v>2916.34120664699</v>
      </c>
      <c r="K29">
        <v>2875.9384947161102</v>
      </c>
      <c r="L29">
        <v>2844.43369117462</v>
      </c>
      <c r="M29">
        <v>2787.0133475023099</v>
      </c>
      <c r="N29">
        <v>2760.7900378720601</v>
      </c>
      <c r="O29">
        <v>2806.4572415060402</v>
      </c>
      <c r="P29">
        <v>2883.7843146555401</v>
      </c>
      <c r="Q29">
        <v>2823.8776204399201</v>
      </c>
      <c r="R29">
        <v>2743.9275462496098</v>
      </c>
      <c r="S29">
        <v>2771.4279336841801</v>
      </c>
      <c r="T29">
        <v>2689.43302440358</v>
      </c>
      <c r="U29">
        <v>2624.5296633319999</v>
      </c>
      <c r="V29">
        <v>2628.5411721792798</v>
      </c>
      <c r="W29">
        <v>2536.5718986605898</v>
      </c>
      <c r="X29">
        <v>2461.3345965816802</v>
      </c>
      <c r="Y29">
        <v>2457.2443022790899</v>
      </c>
      <c r="Z29">
        <v>2528</v>
      </c>
      <c r="AA29">
        <v>2662</v>
      </c>
      <c r="AB29">
        <v>2813.88884772138</v>
      </c>
      <c r="AC29">
        <v>2585.2360540787399</v>
      </c>
      <c r="AD29">
        <v>2921.764148402</v>
      </c>
      <c r="AE29">
        <v>2886.81946091281</v>
      </c>
    </row>
    <row r="30" spans="1:31" x14ac:dyDescent="0.3">
      <c r="A30" t="s">
        <v>306</v>
      </c>
      <c r="B30" t="s">
        <v>178</v>
      </c>
      <c r="C30" t="s">
        <v>0</v>
      </c>
      <c r="D30" t="s">
        <v>179</v>
      </c>
      <c r="E30" t="s">
        <v>123</v>
      </c>
      <c r="F30">
        <v>5242.3478510057002</v>
      </c>
      <c r="G30">
        <v>4871.3605590712796</v>
      </c>
      <c r="H30">
        <v>4871.3605590712796</v>
      </c>
      <c r="I30">
        <v>4790.4121343508104</v>
      </c>
      <c r="J30">
        <v>4592.7392894741797</v>
      </c>
      <c r="K30">
        <v>4295.6422078405303</v>
      </c>
      <c r="L30">
        <v>4192.1177295447296</v>
      </c>
      <c r="M30">
        <v>3961.5867207288102</v>
      </c>
      <c r="N30">
        <v>3614.1609282693698</v>
      </c>
      <c r="O30">
        <v>3710.4612034046399</v>
      </c>
      <c r="P30">
        <v>3531.7410397850899</v>
      </c>
      <c r="Q30">
        <v>3493.10552004484</v>
      </c>
      <c r="R30">
        <v>3586.7422159074299</v>
      </c>
      <c r="S30">
        <v>3305.4960802473902</v>
      </c>
      <c r="T30">
        <v>3154.2043040363401</v>
      </c>
      <c r="U30">
        <v>2934.2490074931902</v>
      </c>
      <c r="V30">
        <v>2930.88532884494</v>
      </c>
      <c r="W30">
        <v>3039.19104612503</v>
      </c>
      <c r="X30">
        <v>3002.8191715849898</v>
      </c>
      <c r="Y30">
        <v>2761.1313248358401</v>
      </c>
      <c r="Z30">
        <v>2591</v>
      </c>
      <c r="AA30">
        <v>2450</v>
      </c>
      <c r="AB30">
        <v>2231.0893512851899</v>
      </c>
      <c r="AC30">
        <v>2186.14798118321</v>
      </c>
      <c r="AD30">
        <v>2104.5901402109498</v>
      </c>
      <c r="AE30">
        <v>2003.7122293549701</v>
      </c>
    </row>
    <row r="31" spans="1:31" x14ac:dyDescent="0.3">
      <c r="A31" t="s">
        <v>306</v>
      </c>
      <c r="B31" t="s">
        <v>180</v>
      </c>
      <c r="C31" t="s">
        <v>0</v>
      </c>
      <c r="D31" t="s">
        <v>181</v>
      </c>
      <c r="E31" t="s">
        <v>123</v>
      </c>
      <c r="F31">
        <v>1565.03904480033</v>
      </c>
      <c r="G31">
        <v>1514.9885956431301</v>
      </c>
      <c r="H31">
        <v>1396.6012084378001</v>
      </c>
      <c r="I31">
        <v>1348.9898036047</v>
      </c>
      <c r="J31">
        <v>1542.1911316241301</v>
      </c>
      <c r="K31">
        <v>1550.4824817941501</v>
      </c>
      <c r="L31">
        <v>1631.5234793632701</v>
      </c>
      <c r="M31">
        <v>1501.2332281275201</v>
      </c>
      <c r="N31">
        <v>1360.13987961929</v>
      </c>
      <c r="O31">
        <v>1305.34085554372</v>
      </c>
      <c r="P31">
        <v>1436.9835108267901</v>
      </c>
      <c r="Q31">
        <v>1627.56118844855</v>
      </c>
      <c r="R31">
        <v>1782.5005468686099</v>
      </c>
      <c r="S31">
        <v>1814.47988585299</v>
      </c>
      <c r="T31">
        <v>2147.6945562488299</v>
      </c>
      <c r="U31">
        <v>2052.14915045826</v>
      </c>
      <c r="V31">
        <v>1920.7239880540001</v>
      </c>
      <c r="W31">
        <v>1827.5897960822999</v>
      </c>
      <c r="X31">
        <v>1940.1541503046701</v>
      </c>
      <c r="Y31">
        <v>1816.00541638456</v>
      </c>
      <c r="Z31">
        <v>1760</v>
      </c>
      <c r="AA31">
        <v>1849</v>
      </c>
      <c r="AB31">
        <v>1965.2514905149101</v>
      </c>
      <c r="AC31">
        <v>1946.0140982842099</v>
      </c>
      <c r="AD31">
        <v>2066.6812888241602</v>
      </c>
      <c r="AE31">
        <v>1954.62643346595</v>
      </c>
    </row>
    <row r="32" spans="1:31" x14ac:dyDescent="0.3">
      <c r="A32" t="s">
        <v>306</v>
      </c>
      <c r="B32" t="s">
        <v>182</v>
      </c>
      <c r="C32" t="s">
        <v>0</v>
      </c>
      <c r="D32" t="s">
        <v>183</v>
      </c>
      <c r="E32" t="s">
        <v>123</v>
      </c>
      <c r="F32">
        <v>178.27901482289801</v>
      </c>
      <c r="G32">
        <v>166.393747168038</v>
      </c>
      <c r="H32">
        <v>205.80279254994201</v>
      </c>
      <c r="I32">
        <v>267.40362841523103</v>
      </c>
      <c r="J32">
        <v>239.977615244438</v>
      </c>
      <c r="K32">
        <v>221.208416286773</v>
      </c>
      <c r="L32">
        <v>205.32051898440801</v>
      </c>
      <c r="M32">
        <v>182.50712798614001</v>
      </c>
      <c r="N32">
        <v>168.04009954821501</v>
      </c>
      <c r="O32">
        <v>161.363009499941</v>
      </c>
      <c r="P32">
        <v>151.41597466775301</v>
      </c>
      <c r="Q32">
        <v>164.67868777733699</v>
      </c>
      <c r="R32">
        <v>154.86340175087301</v>
      </c>
      <c r="S32">
        <v>150.50105240577801</v>
      </c>
      <c r="T32">
        <v>160.38798285579301</v>
      </c>
      <c r="U32">
        <v>187.29871823428201</v>
      </c>
      <c r="V32">
        <v>191.555507285061</v>
      </c>
      <c r="W32">
        <v>173.76073338426301</v>
      </c>
      <c r="X32">
        <v>162.648128342246</v>
      </c>
      <c r="Y32">
        <v>176.791443850267</v>
      </c>
      <c r="Z32">
        <v>190</v>
      </c>
      <c r="AA32">
        <v>280</v>
      </c>
      <c r="AB32">
        <v>304.47552447552403</v>
      </c>
      <c r="AC32">
        <v>295.72063719028603</v>
      </c>
      <c r="AD32">
        <v>317.66120059472598</v>
      </c>
      <c r="AE32">
        <v>318.61801143989101</v>
      </c>
    </row>
    <row r="33" spans="1:31" x14ac:dyDescent="0.3">
      <c r="A33" t="s">
        <v>306</v>
      </c>
      <c r="B33" t="s">
        <v>184</v>
      </c>
      <c r="C33" t="s">
        <v>0</v>
      </c>
      <c r="D33" t="s">
        <v>185</v>
      </c>
      <c r="E33" t="s">
        <v>123</v>
      </c>
      <c r="F33">
        <v>45.359910218162803</v>
      </c>
      <c r="G33">
        <v>41.107418635210102</v>
      </c>
      <c r="H33">
        <v>36.996676771689003</v>
      </c>
      <c r="I33">
        <v>35.675366886985898</v>
      </c>
      <c r="J33">
        <v>34.354057002282701</v>
      </c>
      <c r="K33">
        <v>47.567155849314503</v>
      </c>
      <c r="L33">
        <v>48.786826512117401</v>
      </c>
      <c r="M33">
        <v>49.948417619548799</v>
      </c>
      <c r="N33">
        <v>47.728487947568802</v>
      </c>
      <c r="O33">
        <v>55.4982417994987</v>
      </c>
      <c r="P33">
        <v>47.728487947568802</v>
      </c>
      <c r="Q33">
        <v>68.817819831378301</v>
      </c>
      <c r="R33">
        <v>69.910166177908096</v>
      </c>
      <c r="S33">
        <v>67.725473484848493</v>
      </c>
      <c r="T33">
        <v>78.648936950146606</v>
      </c>
      <c r="U33">
        <v>103.428739002933</v>
      </c>
      <c r="V33">
        <v>106.627565982405</v>
      </c>
      <c r="W33">
        <v>98.181818181818201</v>
      </c>
      <c r="X33">
        <v>97.159090909090907</v>
      </c>
      <c r="Y33">
        <v>99.204545454545496</v>
      </c>
      <c r="Z33">
        <v>90</v>
      </c>
      <c r="AA33">
        <v>86</v>
      </c>
      <c r="AB33">
        <v>90.942528735632195</v>
      </c>
      <c r="AC33">
        <v>84.022988505747094</v>
      </c>
      <c r="AD33">
        <v>78.160919540229898</v>
      </c>
      <c r="AE33">
        <v>71.321839080459796</v>
      </c>
    </row>
    <row r="34" spans="1:31" x14ac:dyDescent="0.3">
      <c r="A34" t="s">
        <v>306</v>
      </c>
      <c r="B34" t="s">
        <v>186</v>
      </c>
      <c r="C34" t="s">
        <v>0</v>
      </c>
      <c r="D34" t="s">
        <v>187</v>
      </c>
      <c r="E34" t="s">
        <v>123</v>
      </c>
      <c r="F34">
        <v>71.971689243934307</v>
      </c>
      <c r="G34">
        <v>77.729424383449</v>
      </c>
      <c r="H34">
        <v>73.411123028812995</v>
      </c>
      <c r="I34">
        <v>77.489518752635902</v>
      </c>
      <c r="J34">
        <v>81.567914476458796</v>
      </c>
      <c r="K34">
        <v>84.157372078886098</v>
      </c>
      <c r="L34">
        <v>84.157372078886098</v>
      </c>
      <c r="M34">
        <v>85.264705922029293</v>
      </c>
      <c r="N34">
        <v>87.423306071954102</v>
      </c>
      <c r="O34">
        <v>89.555581829806698</v>
      </c>
      <c r="P34">
        <v>93.769962151209299</v>
      </c>
      <c r="Q34">
        <v>100.09153263331299</v>
      </c>
      <c r="R34">
        <v>97.984342472611999</v>
      </c>
      <c r="S34">
        <v>94.823557231560002</v>
      </c>
      <c r="T34">
        <v>92.692690776918198</v>
      </c>
      <c r="U34">
        <v>96.905994903141703</v>
      </c>
      <c r="V34">
        <v>95.863994957946701</v>
      </c>
      <c r="W34">
        <v>102.048768826201</v>
      </c>
      <c r="X34">
        <v>98.046856323213007</v>
      </c>
      <c r="Y34">
        <v>94.044943820224702</v>
      </c>
      <c r="Z34">
        <v>90</v>
      </c>
      <c r="AA34">
        <v>87</v>
      </c>
      <c r="AB34">
        <v>80</v>
      </c>
      <c r="AC34">
        <v>75.897435897435898</v>
      </c>
      <c r="AD34">
        <v>70.837606837606799</v>
      </c>
      <c r="AE34">
        <v>62.624550972377101</v>
      </c>
    </row>
    <row r="35" spans="1:31" x14ac:dyDescent="0.3">
      <c r="A35" t="s">
        <v>306</v>
      </c>
      <c r="B35" t="s">
        <v>188</v>
      </c>
      <c r="C35" t="s">
        <v>0</v>
      </c>
      <c r="D35" t="s">
        <v>189</v>
      </c>
      <c r="E35" t="s">
        <v>123</v>
      </c>
      <c r="F35">
        <v>206.64161590331301</v>
      </c>
      <c r="G35">
        <v>203.71052915291099</v>
      </c>
      <c r="H35">
        <v>205.135078307827</v>
      </c>
      <c r="I35">
        <v>210.60534706270201</v>
      </c>
      <c r="J35">
        <v>217.44318300629601</v>
      </c>
      <c r="K35">
        <v>234.785277356492</v>
      </c>
      <c r="L35">
        <v>244.56799724634601</v>
      </c>
      <c r="M35">
        <v>242.27158412666199</v>
      </c>
      <c r="N35">
        <v>233.33991282245299</v>
      </c>
      <c r="O35">
        <v>273.53243369139199</v>
      </c>
      <c r="P35">
        <v>296.69445428622799</v>
      </c>
      <c r="Q35">
        <v>306.62103454115697</v>
      </c>
      <c r="R35">
        <v>316.47671065140901</v>
      </c>
      <c r="S35">
        <v>352.12084529815399</v>
      </c>
      <c r="T35">
        <v>368.42273628418002</v>
      </c>
      <c r="U35">
        <v>426.59474727641901</v>
      </c>
      <c r="V35">
        <v>402.12671937777202</v>
      </c>
      <c r="W35">
        <v>386.41864440207701</v>
      </c>
      <c r="X35">
        <v>354.97775732474298</v>
      </c>
      <c r="Y35">
        <v>322.52264808362401</v>
      </c>
      <c r="Z35">
        <v>292</v>
      </c>
      <c r="AA35">
        <v>268</v>
      </c>
      <c r="AB35">
        <v>243.81954887218001</v>
      </c>
      <c r="AC35">
        <v>228.45277058191701</v>
      </c>
      <c r="AD35">
        <v>202.05378375911801</v>
      </c>
      <c r="AE35">
        <v>182.46693737430499</v>
      </c>
    </row>
    <row r="36" spans="1:31" x14ac:dyDescent="0.3">
      <c r="A36" t="s">
        <v>306</v>
      </c>
      <c r="B36" t="s">
        <v>190</v>
      </c>
      <c r="C36" t="s">
        <v>0</v>
      </c>
      <c r="D36" t="s">
        <v>191</v>
      </c>
      <c r="E36" t="s">
        <v>123</v>
      </c>
      <c r="F36">
        <v>39.756987001732</v>
      </c>
      <c r="G36">
        <v>39.756987001732</v>
      </c>
      <c r="H36">
        <v>41.176879394651003</v>
      </c>
      <c r="I36">
        <v>45.294567334116103</v>
      </c>
      <c r="J36">
        <v>46.6671299806044</v>
      </c>
      <c r="K36">
        <v>50.7848179200695</v>
      </c>
      <c r="L36">
        <v>53.324058816072998</v>
      </c>
      <c r="M36">
        <v>50.954100646469797</v>
      </c>
      <c r="N36">
        <v>49.821787298770403</v>
      </c>
      <c r="O36">
        <v>47.557160603371798</v>
      </c>
      <c r="P36">
        <v>49.769121561668101</v>
      </c>
      <c r="Q36">
        <v>51.981082519964502</v>
      </c>
      <c r="R36">
        <v>51.981082519964502</v>
      </c>
      <c r="S36">
        <v>50.875102040816301</v>
      </c>
      <c r="T36">
        <v>50.875102040816301</v>
      </c>
      <c r="U36">
        <v>53.04</v>
      </c>
      <c r="V36">
        <v>53.04</v>
      </c>
      <c r="W36">
        <v>52</v>
      </c>
      <c r="X36">
        <v>45</v>
      </c>
      <c r="Y36">
        <v>38</v>
      </c>
      <c r="Z36">
        <v>32</v>
      </c>
      <c r="AA36">
        <v>28</v>
      </c>
      <c r="AB36">
        <v>25</v>
      </c>
      <c r="AC36">
        <v>23</v>
      </c>
      <c r="AD36">
        <v>20</v>
      </c>
      <c r="AE36">
        <v>17</v>
      </c>
    </row>
    <row r="37" spans="1:31" x14ac:dyDescent="0.3">
      <c r="A37" t="s">
        <v>306</v>
      </c>
      <c r="B37" t="s">
        <v>192</v>
      </c>
      <c r="C37" t="s">
        <v>0</v>
      </c>
      <c r="D37" t="s">
        <v>193</v>
      </c>
      <c r="E37" t="s">
        <v>123</v>
      </c>
      <c r="F37">
        <v>76.707774246466499</v>
      </c>
      <c r="G37">
        <v>73.813141256033802</v>
      </c>
      <c r="H37">
        <v>78.071591713112696</v>
      </c>
      <c r="I37">
        <v>82.180622855908098</v>
      </c>
      <c r="J37">
        <v>84.919976951104999</v>
      </c>
      <c r="K37">
        <v>96.8618487098542</v>
      </c>
      <c r="L37">
        <v>101.70494114534699</v>
      </c>
      <c r="M37">
        <v>100.562188997646</v>
      </c>
      <c r="N37">
        <v>96.092758375528703</v>
      </c>
      <c r="O37">
        <v>140.78706459670499</v>
      </c>
      <c r="P37">
        <v>164.06681543553</v>
      </c>
      <c r="Q37">
        <v>169.60961325429801</v>
      </c>
      <c r="R37">
        <v>198.24500250502399</v>
      </c>
      <c r="S37">
        <v>234.87723122877799</v>
      </c>
      <c r="T37">
        <v>265.18397074216898</v>
      </c>
      <c r="U37">
        <v>318.86493647945002</v>
      </c>
      <c r="V37">
        <v>302.921689655477</v>
      </c>
      <c r="W37">
        <v>284.05459479804301</v>
      </c>
      <c r="X37">
        <v>261.736019492482</v>
      </c>
      <c r="Y37">
        <v>240.431924882629</v>
      </c>
      <c r="Z37">
        <v>217</v>
      </c>
      <c r="AA37">
        <v>199</v>
      </c>
      <c r="AB37">
        <v>180.817258883249</v>
      </c>
      <c r="AC37">
        <v>167.461438624827</v>
      </c>
      <c r="AD37">
        <v>150.10263096249699</v>
      </c>
      <c r="AE37">
        <v>138.71553482051499</v>
      </c>
    </row>
    <row r="38" spans="1:31" x14ac:dyDescent="0.3">
      <c r="A38" t="s">
        <v>306</v>
      </c>
      <c r="B38" t="s">
        <v>194</v>
      </c>
      <c r="C38" t="s">
        <v>0</v>
      </c>
      <c r="D38" t="s">
        <v>195</v>
      </c>
      <c r="E38" t="s">
        <v>123</v>
      </c>
      <c r="F38">
        <v>89.710518275194204</v>
      </c>
      <c r="G38">
        <v>89.710518275194204</v>
      </c>
      <c r="H38">
        <v>85.438588833518295</v>
      </c>
      <c r="I38">
        <v>82.726252680073301</v>
      </c>
      <c r="J38">
        <v>85.438588833518295</v>
      </c>
      <c r="K38">
        <v>86.753028661726205</v>
      </c>
      <c r="L38">
        <v>89.162835013440898</v>
      </c>
      <c r="M38">
        <v>90.291478494623703</v>
      </c>
      <c r="N38">
        <v>86.988131720430104</v>
      </c>
      <c r="O38">
        <v>84.785900537634404</v>
      </c>
      <c r="P38">
        <v>82.611903087951504</v>
      </c>
      <c r="Q38">
        <v>84.785900537634404</v>
      </c>
      <c r="R38">
        <v>66.540833333333296</v>
      </c>
      <c r="S38">
        <v>66.540833333333296</v>
      </c>
      <c r="T38">
        <v>52.36</v>
      </c>
      <c r="U38">
        <v>54.5416666666667</v>
      </c>
      <c r="V38">
        <v>45.9861111111111</v>
      </c>
      <c r="W38">
        <v>50.1666666666667</v>
      </c>
      <c r="X38">
        <v>48.119047619047599</v>
      </c>
      <c r="Y38">
        <v>44.023809523809497</v>
      </c>
      <c r="Z38">
        <v>43</v>
      </c>
      <c r="AA38">
        <v>41</v>
      </c>
      <c r="AB38">
        <v>38</v>
      </c>
      <c r="AC38">
        <v>38</v>
      </c>
      <c r="AD38">
        <v>32</v>
      </c>
      <c r="AE38">
        <v>26.838709677419399</v>
      </c>
    </row>
    <row r="39" spans="1:31" x14ac:dyDescent="0.3">
      <c r="A39" t="s">
        <v>306</v>
      </c>
      <c r="B39" t="s">
        <v>196</v>
      </c>
      <c r="C39" t="s">
        <v>0</v>
      </c>
      <c r="D39" t="s">
        <v>197</v>
      </c>
      <c r="E39" t="s">
        <v>123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>
        <v>0</v>
      </c>
      <c r="AA39" t="e">
        <v>#NUM!</v>
      </c>
      <c r="AB39" t="e">
        <v>#NUM!</v>
      </c>
      <c r="AC39" t="e">
        <v>#NUM!</v>
      </c>
      <c r="AD39" t="e">
        <v>#NUM!</v>
      </c>
      <c r="AE39" t="e">
        <v>#NUM!</v>
      </c>
    </row>
    <row r="40" spans="1:31" x14ac:dyDescent="0.3">
      <c r="A40" t="s">
        <v>306</v>
      </c>
      <c r="B40" t="s">
        <v>198</v>
      </c>
      <c r="C40" t="s">
        <v>0</v>
      </c>
      <c r="D40" t="s">
        <v>199</v>
      </c>
      <c r="E40" t="s">
        <v>123</v>
      </c>
      <c r="F40">
        <v>84.641634735737597</v>
      </c>
      <c r="G40">
        <v>86.180573549114698</v>
      </c>
      <c r="H40">
        <v>80.132814001808399</v>
      </c>
      <c r="I40">
        <v>71.547155358757493</v>
      </c>
      <c r="J40">
        <v>68.685269144407201</v>
      </c>
      <c r="K40">
        <v>64.722657462999095</v>
      </c>
      <c r="L40">
        <v>58.729818809017701</v>
      </c>
      <c r="M40">
        <v>63.3360791077641</v>
      </c>
      <c r="N40">
        <v>68.796085927399005</v>
      </c>
      <c r="O40">
        <v>72.020902455245803</v>
      </c>
      <c r="P40">
        <v>87.070046251864298</v>
      </c>
      <c r="Q40">
        <v>100.87383407228199</v>
      </c>
      <c r="R40">
        <v>111.49213239568</v>
      </c>
      <c r="S40">
        <v>134.852388707156</v>
      </c>
      <c r="T40">
        <v>160.74404733892999</v>
      </c>
      <c r="U40">
        <v>173.60357112604399</v>
      </c>
      <c r="V40">
        <v>169.39499970480699</v>
      </c>
      <c r="W40">
        <v>178.80583302174</v>
      </c>
      <c r="X40">
        <v>188.90785748624501</v>
      </c>
      <c r="Y40">
        <v>194.96907216494799</v>
      </c>
      <c r="Z40">
        <v>197</v>
      </c>
      <c r="AA40">
        <v>202</v>
      </c>
      <c r="AB40">
        <v>193.92</v>
      </c>
      <c r="AC40">
        <v>187.73106382978699</v>
      </c>
      <c r="AD40">
        <v>174.394977328218</v>
      </c>
      <c r="AE40">
        <v>155.70980118590899</v>
      </c>
    </row>
    <row r="41" spans="1:31" x14ac:dyDescent="0.3">
      <c r="A41" t="s">
        <v>306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306</v>
      </c>
      <c r="B42" t="s">
        <v>202</v>
      </c>
      <c r="C42" t="s">
        <v>0</v>
      </c>
      <c r="D42" t="s">
        <v>203</v>
      </c>
      <c r="E42" t="s">
        <v>123</v>
      </c>
      <c r="F42">
        <v>162.72537326879399</v>
      </c>
      <c r="G42">
        <v>174.045399235318</v>
      </c>
      <c r="H42">
        <v>200.50029991908701</v>
      </c>
      <c r="I42">
        <v>215.10628203239801</v>
      </c>
      <c r="J42">
        <v>232.36789725721999</v>
      </c>
      <c r="K42">
        <v>240.11349383245999</v>
      </c>
      <c r="L42">
        <v>241.308088329139</v>
      </c>
      <c r="M42">
        <v>234.63597528778001</v>
      </c>
      <c r="N42">
        <v>236.80853061451899</v>
      </c>
      <c r="O42">
        <v>241.13380058008099</v>
      </c>
      <c r="P42">
        <v>240.05731039892001</v>
      </c>
      <c r="Q42">
        <v>238.980820217759</v>
      </c>
      <c r="R42">
        <v>249.649606834623</v>
      </c>
      <c r="S42">
        <v>261.28581732267799</v>
      </c>
      <c r="T42">
        <v>232.491053780995</v>
      </c>
      <c r="U42">
        <v>220.919100877868</v>
      </c>
      <c r="V42">
        <v>224.045314569536</v>
      </c>
      <c r="W42">
        <v>206.49337748344399</v>
      </c>
      <c r="X42">
        <v>187.35496688741699</v>
      </c>
      <c r="Y42">
        <v>171.238410596026</v>
      </c>
      <c r="Z42">
        <v>153</v>
      </c>
      <c r="AA42">
        <v>138</v>
      </c>
      <c r="AB42">
        <v>127</v>
      </c>
      <c r="AC42">
        <v>112.776</v>
      </c>
      <c r="AD42">
        <v>102.79582300884999</v>
      </c>
      <c r="AE42">
        <v>88.546897047226807</v>
      </c>
    </row>
    <row r="43" spans="1:31" x14ac:dyDescent="0.3">
      <c r="A43" t="s">
        <v>306</v>
      </c>
      <c r="B43" t="s">
        <v>204</v>
      </c>
      <c r="C43" t="s">
        <v>0</v>
      </c>
      <c r="D43" t="s">
        <v>205</v>
      </c>
      <c r="E43" t="s">
        <v>123</v>
      </c>
      <c r="F43">
        <v>640.60278926641399</v>
      </c>
      <c r="G43">
        <v>667.49832622034796</v>
      </c>
      <c r="H43">
        <v>749.13481216096602</v>
      </c>
      <c r="I43">
        <v>815.77563900964105</v>
      </c>
      <c r="J43">
        <v>866.18874029675305</v>
      </c>
      <c r="K43">
        <v>910.953016281082</v>
      </c>
      <c r="L43">
        <v>886.89010641705295</v>
      </c>
      <c r="M43">
        <v>857.11131452275799</v>
      </c>
      <c r="N43">
        <v>873.51012793837197</v>
      </c>
      <c r="O43">
        <v>894.10155775329599</v>
      </c>
      <c r="P43">
        <v>910.22117718394497</v>
      </c>
      <c r="Q43">
        <v>1058.14561523163</v>
      </c>
      <c r="R43">
        <v>1084.0329697327099</v>
      </c>
      <c r="S43">
        <v>1072.2383479057501</v>
      </c>
      <c r="T43">
        <v>984.86278836815802</v>
      </c>
      <c r="U43">
        <v>940.04779691478495</v>
      </c>
      <c r="V43">
        <v>932.65416255702905</v>
      </c>
      <c r="W43">
        <v>921.19137396694202</v>
      </c>
      <c r="X43">
        <v>888.97484504132206</v>
      </c>
      <c r="Y43">
        <v>885.95454545454504</v>
      </c>
      <c r="Z43">
        <v>890</v>
      </c>
      <c r="AA43">
        <v>885</v>
      </c>
      <c r="AB43">
        <v>997.01254275940698</v>
      </c>
      <c r="AC43">
        <v>977.74170012214495</v>
      </c>
      <c r="AD43">
        <v>963.62996424409403</v>
      </c>
      <c r="AE43">
        <v>905.75124141805202</v>
      </c>
    </row>
    <row r="44" spans="1:31" x14ac:dyDescent="0.3">
      <c r="A44" t="s">
        <v>306</v>
      </c>
      <c r="B44" t="s">
        <v>206</v>
      </c>
      <c r="C44" t="s">
        <v>0</v>
      </c>
      <c r="D44" t="s">
        <v>207</v>
      </c>
      <c r="E44" t="s">
        <v>123</v>
      </c>
      <c r="F44">
        <v>16936.731478888301</v>
      </c>
      <c r="G44">
        <v>16281.7982359011</v>
      </c>
      <c r="H44">
        <v>16147.3145706088</v>
      </c>
      <c r="I44">
        <v>16194.628375778701</v>
      </c>
      <c r="J44">
        <v>16258.2785453664</v>
      </c>
      <c r="K44">
        <v>15998.6961227468</v>
      </c>
      <c r="L44">
        <v>15924.032108012399</v>
      </c>
      <c r="M44">
        <v>15405.519032161401</v>
      </c>
      <c r="N44">
        <v>14882.4014457965</v>
      </c>
      <c r="O44">
        <v>15025.523836557401</v>
      </c>
      <c r="P44">
        <v>15057.7205662906</v>
      </c>
      <c r="Q44">
        <v>15309.823312135401</v>
      </c>
      <c r="R44">
        <v>15529.7694654139</v>
      </c>
      <c r="S44">
        <v>15519.7358742302</v>
      </c>
      <c r="T44">
        <v>15435.602864431299</v>
      </c>
      <c r="U44">
        <v>15190.4524344608</v>
      </c>
      <c r="V44">
        <v>14961.1418848904</v>
      </c>
      <c r="W44">
        <v>14845.3904617752</v>
      </c>
      <c r="X44">
        <v>14585.421249806601</v>
      </c>
      <c r="Y44">
        <v>14078.830371808301</v>
      </c>
      <c r="Z44">
        <v>13831</v>
      </c>
      <c r="AA44">
        <v>13823</v>
      </c>
      <c r="AB44">
        <v>13834.959336697901</v>
      </c>
      <c r="AC44">
        <v>13298.6973788657</v>
      </c>
      <c r="AD44">
        <v>13401.1021209428</v>
      </c>
      <c r="AE44">
        <v>12855.0470260318</v>
      </c>
    </row>
    <row r="45" spans="1:31" x14ac:dyDescent="0.3">
      <c r="A45" t="s">
        <v>306</v>
      </c>
      <c r="B45" t="s">
        <v>208</v>
      </c>
      <c r="C45" t="s">
        <v>0</v>
      </c>
      <c r="D45" t="s">
        <v>209</v>
      </c>
      <c r="E45" t="s">
        <v>123</v>
      </c>
      <c r="F45">
        <v>14335.621154091299</v>
      </c>
      <c r="G45">
        <v>13736.7772974155</v>
      </c>
      <c r="H45">
        <v>13612.8271300578</v>
      </c>
      <c r="I45">
        <v>13695.0709880019</v>
      </c>
      <c r="J45">
        <v>13759.6027361129</v>
      </c>
      <c r="K45">
        <v>13487.866607538601</v>
      </c>
      <c r="L45">
        <v>13399.088924179199</v>
      </c>
      <c r="M45">
        <v>12858.106183800201</v>
      </c>
      <c r="N45">
        <v>12329.5015498222</v>
      </c>
      <c r="O45">
        <v>12477.002773964599</v>
      </c>
      <c r="P45">
        <v>12545.059152731599</v>
      </c>
      <c r="Q45">
        <v>12862.6698944127</v>
      </c>
      <c r="R45">
        <v>13126.1153872173</v>
      </c>
      <c r="S45">
        <v>13104.857614258101</v>
      </c>
      <c r="T45">
        <v>13019.300602087</v>
      </c>
      <c r="U45">
        <v>12798.8986254101</v>
      </c>
      <c r="V45">
        <v>12576.500558972801</v>
      </c>
      <c r="W45">
        <v>12475.541167347101</v>
      </c>
      <c r="X45">
        <v>12209.791237622499</v>
      </c>
      <c r="Y45">
        <v>11696.9252437703</v>
      </c>
      <c r="Z45">
        <v>11461</v>
      </c>
      <c r="AA45">
        <v>11518</v>
      </c>
      <c r="AB45">
        <v>11584.733483223799</v>
      </c>
      <c r="AC45">
        <v>11102.2439379282</v>
      </c>
      <c r="AD45">
        <v>11240.3266068054</v>
      </c>
      <c r="AE45">
        <v>10724.5614887707</v>
      </c>
    </row>
    <row r="46" spans="1:31" x14ac:dyDescent="0.3">
      <c r="A46" t="s">
        <v>306</v>
      </c>
      <c r="B46" t="s">
        <v>210</v>
      </c>
      <c r="C46" t="s">
        <v>0</v>
      </c>
      <c r="D46" t="s">
        <v>211</v>
      </c>
      <c r="E46" t="s">
        <v>123</v>
      </c>
      <c r="F46">
        <v>490.24097324225602</v>
      </c>
      <c r="G46">
        <v>500.24589106352602</v>
      </c>
      <c r="H46">
        <v>549.28960587367601</v>
      </c>
      <c r="I46">
        <v>605.78796533496802</v>
      </c>
      <c r="J46">
        <v>633.891530737106</v>
      </c>
      <c r="K46">
        <v>676.76342170483304</v>
      </c>
      <c r="L46">
        <v>645.90794655111699</v>
      </c>
      <c r="M46">
        <v>622.44547840716598</v>
      </c>
      <c r="N46">
        <v>636.691589708739</v>
      </c>
      <c r="O46">
        <v>652.96139183076798</v>
      </c>
      <c r="P46">
        <v>670.14458635262997</v>
      </c>
      <c r="Q46">
        <v>819.30580073434498</v>
      </c>
      <c r="R46">
        <v>834.45808766998596</v>
      </c>
      <c r="S46">
        <v>810.77024518128997</v>
      </c>
      <c r="T46">
        <v>752.31684966755199</v>
      </c>
      <c r="U46">
        <v>719.09488052268898</v>
      </c>
      <c r="V46">
        <v>708.48876134093803</v>
      </c>
      <c r="W46">
        <v>714.75857338820299</v>
      </c>
      <c r="X46">
        <v>701.67144457968698</v>
      </c>
      <c r="Y46">
        <v>714.75857338820299</v>
      </c>
      <c r="Z46">
        <v>737</v>
      </c>
      <c r="AA46">
        <v>747</v>
      </c>
      <c r="AB46">
        <v>870.32070365358595</v>
      </c>
      <c r="AC46">
        <v>865.24890468124602</v>
      </c>
      <c r="AD46">
        <v>861.21040337584895</v>
      </c>
      <c r="AE46">
        <v>817.54053622353604</v>
      </c>
    </row>
    <row r="47" spans="1:31" x14ac:dyDescent="0.3">
      <c r="A47" t="s">
        <v>306</v>
      </c>
      <c r="B47" t="s">
        <v>212</v>
      </c>
      <c r="C47" t="s">
        <v>0</v>
      </c>
      <c r="D47" t="s">
        <v>213</v>
      </c>
      <c r="E47" t="s">
        <v>123</v>
      </c>
      <c r="F47">
        <v>201.998443633741</v>
      </c>
      <c r="G47">
        <v>228.53838513306499</v>
      </c>
      <c r="H47">
        <v>231.43127608411601</v>
      </c>
      <c r="I47">
        <v>238.319111681858</v>
      </c>
      <c r="J47">
        <v>261.73775271417901</v>
      </c>
      <c r="K47">
        <v>287.11028996708399</v>
      </c>
      <c r="L47">
        <v>284.66679813757702</v>
      </c>
      <c r="M47">
        <v>304.259249831256</v>
      </c>
      <c r="N47">
        <v>313.24107270450401</v>
      </c>
      <c r="O47">
        <v>322.19081763891802</v>
      </c>
      <c r="P47">
        <v>343.29987120836398</v>
      </c>
      <c r="Q47">
        <v>344.40019130839102</v>
      </c>
      <c r="R47">
        <v>330.23182900773003</v>
      </c>
      <c r="S47">
        <v>331.31811791893898</v>
      </c>
      <c r="T47">
        <v>329.13119964884697</v>
      </c>
      <c r="U47">
        <v>367.02459434526099</v>
      </c>
      <c r="V47">
        <v>392.70561552393798</v>
      </c>
      <c r="W47">
        <v>418.04146168677198</v>
      </c>
      <c r="X47">
        <v>440.988845025187</v>
      </c>
      <c r="Y47">
        <v>444.95278969957099</v>
      </c>
      <c r="Z47">
        <v>467</v>
      </c>
      <c r="AA47">
        <v>493</v>
      </c>
      <c r="AB47">
        <v>489.98163265306101</v>
      </c>
      <c r="AC47">
        <v>479.77368197278901</v>
      </c>
      <c r="AD47">
        <v>476.73071993067799</v>
      </c>
      <c r="AE47">
        <v>500.41280752982698</v>
      </c>
    </row>
    <row r="48" spans="1:31" x14ac:dyDescent="0.3">
      <c r="A48" t="s">
        <v>306</v>
      </c>
      <c r="B48" t="s">
        <v>214</v>
      </c>
      <c r="C48" t="s">
        <v>0</v>
      </c>
      <c r="D48" t="s">
        <v>215</v>
      </c>
      <c r="E48" t="s">
        <v>123</v>
      </c>
      <c r="F48">
        <v>347.20279458767197</v>
      </c>
      <c r="G48">
        <v>376.87824711653298</v>
      </c>
      <c r="H48">
        <v>375.42871539685399</v>
      </c>
      <c r="I48">
        <v>386.470736437938</v>
      </c>
      <c r="J48">
        <v>414.07578904064798</v>
      </c>
      <c r="K48">
        <v>442.21686208224497</v>
      </c>
      <c r="L48">
        <v>438.54192971037099</v>
      </c>
      <c r="M48">
        <v>462.90537024983598</v>
      </c>
      <c r="N48">
        <v>482.14593576144301</v>
      </c>
      <c r="O48">
        <v>506.92913806693701</v>
      </c>
      <c r="P48">
        <v>542.65982621262503</v>
      </c>
      <c r="Q48">
        <v>557.08636555979103</v>
      </c>
      <c r="R48">
        <v>568.05263259836897</v>
      </c>
      <c r="S48">
        <v>584.47033874283102</v>
      </c>
      <c r="T48">
        <v>589.97382592496695</v>
      </c>
      <c r="U48">
        <v>633.51432968326696</v>
      </c>
      <c r="V48">
        <v>665.67241748444803</v>
      </c>
      <c r="W48">
        <v>686.80487518236703</v>
      </c>
      <c r="X48">
        <v>702.87048629774404</v>
      </c>
      <c r="Y48">
        <v>696.88011283497895</v>
      </c>
      <c r="Z48">
        <v>714</v>
      </c>
      <c r="AA48">
        <v>729</v>
      </c>
      <c r="AB48">
        <v>705.90495867768595</v>
      </c>
      <c r="AC48">
        <v>677.46562221297302</v>
      </c>
      <c r="AD48">
        <v>660.30181360251095</v>
      </c>
      <c r="AE48">
        <v>664.39670857058798</v>
      </c>
    </row>
    <row r="49" spans="1:31" x14ac:dyDescent="0.3">
      <c r="A49" t="s">
        <v>306</v>
      </c>
      <c r="B49" t="s">
        <v>216</v>
      </c>
      <c r="C49" t="s">
        <v>0</v>
      </c>
      <c r="D49" t="s">
        <v>217</v>
      </c>
      <c r="E49" t="s">
        <v>123</v>
      </c>
      <c r="F49">
        <v>120.790528534597</v>
      </c>
      <c r="G49">
        <v>117.80804634855799</v>
      </c>
      <c r="H49">
        <v>113.444785372685</v>
      </c>
      <c r="I49">
        <v>110.677839387986</v>
      </c>
      <c r="J49">
        <v>110.677839387986</v>
      </c>
      <c r="K49">
        <v>112.02756913662</v>
      </c>
      <c r="L49">
        <v>107.10328038336201</v>
      </c>
      <c r="M49">
        <v>108.267446474485</v>
      </c>
      <c r="N49">
        <v>105.988131811865</v>
      </c>
      <c r="O49">
        <v>104.860598494717</v>
      </c>
      <c r="P49">
        <v>104.860598494717</v>
      </c>
      <c r="Q49">
        <v>104.860598494717</v>
      </c>
      <c r="R49">
        <v>108.17198581560299</v>
      </c>
      <c r="S49">
        <v>112.587168910117</v>
      </c>
      <c r="T49">
        <v>114.816617799426</v>
      </c>
      <c r="U49">
        <v>110.40059403791</v>
      </c>
      <c r="V49">
        <v>108.256893182805</v>
      </c>
      <c r="W49">
        <v>105.072866912723</v>
      </c>
      <c r="X49">
        <v>99.010970744680904</v>
      </c>
      <c r="Y49">
        <v>96.010638297872305</v>
      </c>
      <c r="Z49">
        <v>95</v>
      </c>
      <c r="AA49">
        <v>91</v>
      </c>
      <c r="AB49">
        <v>84.933333333333294</v>
      </c>
      <c r="AC49">
        <v>77.770281124497998</v>
      </c>
      <c r="AD49">
        <v>71.710259218692897</v>
      </c>
      <c r="AE49">
        <v>66.588097845929198</v>
      </c>
    </row>
    <row r="50" spans="1:31" x14ac:dyDescent="0.3">
      <c r="A50" t="s">
        <v>306</v>
      </c>
      <c r="B50" t="s">
        <v>218</v>
      </c>
      <c r="C50" t="s">
        <v>0</v>
      </c>
      <c r="D50" t="s">
        <v>219</v>
      </c>
      <c r="E50" t="s">
        <v>123</v>
      </c>
      <c r="F50">
        <v>24.077751264966999</v>
      </c>
      <c r="G50">
        <v>30.0971890812088</v>
      </c>
      <c r="H50">
        <v>30.0971890812088</v>
      </c>
      <c r="I50">
        <v>36.937459326938097</v>
      </c>
      <c r="J50">
        <v>41.041621474375603</v>
      </c>
      <c r="K50">
        <v>42.365544747742597</v>
      </c>
      <c r="L50">
        <v>45.996877154692001</v>
      </c>
      <c r="M50">
        <v>49.5350984742836</v>
      </c>
      <c r="N50">
        <v>62.206867851425997</v>
      </c>
      <c r="O50">
        <v>79.486553365710904</v>
      </c>
      <c r="P50">
        <v>94.248341847914404</v>
      </c>
      <c r="Q50">
        <v>107.874608139179</v>
      </c>
      <c r="R50">
        <v>130.11679538437099</v>
      </c>
      <c r="S50">
        <v>141.23788900696599</v>
      </c>
      <c r="T50">
        <v>146.79843581826401</v>
      </c>
      <c r="U50">
        <v>156.65803225381899</v>
      </c>
      <c r="V50">
        <v>165.30123403334099</v>
      </c>
      <c r="W50">
        <v>164.24161073825499</v>
      </c>
      <c r="X50">
        <v>163.22147651006699</v>
      </c>
      <c r="Y50">
        <v>156.080536912752</v>
      </c>
      <c r="Z50">
        <v>152</v>
      </c>
      <c r="AA50">
        <v>145</v>
      </c>
      <c r="AB50">
        <v>131.09589041095899</v>
      </c>
      <c r="AC50">
        <v>120.171232876712</v>
      </c>
      <c r="AD50">
        <v>112.22602739726</v>
      </c>
      <c r="AE50">
        <v>98.197773972602704</v>
      </c>
    </row>
    <row r="51" spans="1:31" x14ac:dyDescent="0.3">
      <c r="A51" t="s">
        <v>306</v>
      </c>
      <c r="B51" t="s">
        <v>220</v>
      </c>
      <c r="C51" t="s">
        <v>0</v>
      </c>
      <c r="D51" t="s">
        <v>221</v>
      </c>
      <c r="E51" t="s">
        <v>123</v>
      </c>
      <c r="F51">
        <v>23.268675419592601</v>
      </c>
      <c r="G51">
        <v>26.371165475538302</v>
      </c>
      <c r="H51">
        <v>26.371165475538302</v>
      </c>
      <c r="I51">
        <v>29.147077630858099</v>
      </c>
      <c r="J51">
        <v>31.922989786177901</v>
      </c>
      <c r="K51">
        <v>31.922989786177901</v>
      </c>
      <c r="L51">
        <v>31.922989786177901</v>
      </c>
      <c r="M51">
        <v>33.063096564255702</v>
      </c>
      <c r="N51">
        <v>41.0438440108002</v>
      </c>
      <c r="O51">
        <v>51.3048050135002</v>
      </c>
      <c r="P51">
        <v>60.227379798456802</v>
      </c>
      <c r="Q51">
        <v>66.919310887174206</v>
      </c>
      <c r="R51">
        <v>80.083765487929796</v>
      </c>
      <c r="S51">
        <v>86.665992788307605</v>
      </c>
      <c r="T51">
        <v>92.151182205289103</v>
      </c>
      <c r="U51">
        <v>99.7401030927835</v>
      </c>
      <c r="V51">
        <v>106.174948453608</v>
      </c>
      <c r="W51">
        <v>105.123711340206</v>
      </c>
      <c r="X51">
        <v>106.144329896907</v>
      </c>
      <c r="Y51">
        <v>101.041237113402</v>
      </c>
      <c r="Z51">
        <v>99</v>
      </c>
      <c r="AA51">
        <v>94</v>
      </c>
      <c r="AB51">
        <v>87.073684210526295</v>
      </c>
      <c r="AC51">
        <v>79.157894736842096</v>
      </c>
      <c r="AD51">
        <v>71.242105263157896</v>
      </c>
      <c r="AE51">
        <v>61.3473684210526</v>
      </c>
    </row>
    <row r="52" spans="1:31" x14ac:dyDescent="0.3">
      <c r="A52" t="s">
        <v>306</v>
      </c>
      <c r="B52" t="s">
        <v>222</v>
      </c>
      <c r="C52" t="s">
        <v>0</v>
      </c>
      <c r="D52" t="s">
        <v>223</v>
      </c>
      <c r="E52" t="s">
        <v>123</v>
      </c>
      <c r="F52">
        <v>1.2621585386291301</v>
      </c>
      <c r="G52">
        <v>3.78647561588738</v>
      </c>
      <c r="H52">
        <v>3.78647561588738</v>
      </c>
      <c r="I52">
        <v>7.57295123177476</v>
      </c>
      <c r="J52">
        <v>8.8351097704038892</v>
      </c>
      <c r="K52">
        <v>10.097268309033</v>
      </c>
      <c r="L52">
        <v>13.883743924920401</v>
      </c>
      <c r="M52">
        <v>16.408061002178599</v>
      </c>
      <c r="N52">
        <v>21.096078431372501</v>
      </c>
      <c r="O52">
        <v>28.128104575163398</v>
      </c>
      <c r="P52">
        <v>33.988126361655802</v>
      </c>
      <c r="Q52">
        <v>41.020152505446603</v>
      </c>
      <c r="R52">
        <v>50.135741951101402</v>
      </c>
      <c r="S52">
        <v>54.693536673928797</v>
      </c>
      <c r="T52">
        <v>54.693536673928797</v>
      </c>
      <c r="U52">
        <v>56.925925925925903</v>
      </c>
      <c r="V52">
        <v>59.115384615384599</v>
      </c>
      <c r="W52">
        <v>59.115384615384599</v>
      </c>
      <c r="X52">
        <v>57.076923076923102</v>
      </c>
      <c r="Y52">
        <v>55.038461538461497</v>
      </c>
      <c r="Z52">
        <v>53</v>
      </c>
      <c r="AA52">
        <v>51</v>
      </c>
      <c r="AB52">
        <v>44</v>
      </c>
      <c r="AC52">
        <v>41</v>
      </c>
      <c r="AD52">
        <v>41</v>
      </c>
      <c r="AE52">
        <v>36.9</v>
      </c>
    </row>
    <row r="53" spans="1:31" x14ac:dyDescent="0.3">
      <c r="A53" t="s">
        <v>306</v>
      </c>
      <c r="B53" t="s">
        <v>224</v>
      </c>
      <c r="C53" t="s">
        <v>0</v>
      </c>
      <c r="D53" t="s">
        <v>225</v>
      </c>
      <c r="E53" t="s">
        <v>123</v>
      </c>
      <c r="F53">
        <v>39.538394352391002</v>
      </c>
      <c r="G53">
        <v>43.931549280434503</v>
      </c>
      <c r="H53">
        <v>46.765842782398003</v>
      </c>
      <c r="I53">
        <v>50.892240674962501</v>
      </c>
      <c r="J53">
        <v>54.910049149301699</v>
      </c>
      <c r="K53">
        <v>58.927857623640797</v>
      </c>
      <c r="L53">
        <v>58.927857623640797</v>
      </c>
      <c r="M53">
        <v>58.927857623640797</v>
      </c>
      <c r="N53">
        <v>67.822628585699803</v>
      </c>
      <c r="O53">
        <v>77.829245918016099</v>
      </c>
      <c r="P53">
        <v>89.887298102497496</v>
      </c>
      <c r="Q53">
        <v>99.752977162527799</v>
      </c>
      <c r="R53">
        <v>117.10132101687999</v>
      </c>
      <c r="S53">
        <v>118.185592507777</v>
      </c>
      <c r="T53">
        <v>122.52267847136601</v>
      </c>
      <c r="U53">
        <v>114.99935610908901</v>
      </c>
      <c r="V53">
        <v>117.12897381481299</v>
      </c>
      <c r="W53">
        <v>116.07375783449901</v>
      </c>
      <c r="X53">
        <v>114.07248614769701</v>
      </c>
      <c r="Y53">
        <v>109.069306930693</v>
      </c>
      <c r="Z53">
        <v>102</v>
      </c>
      <c r="AA53">
        <v>100</v>
      </c>
      <c r="AB53">
        <v>94</v>
      </c>
      <c r="AC53">
        <v>85.913978494623606</v>
      </c>
      <c r="AD53">
        <v>75.806451612903203</v>
      </c>
      <c r="AE53">
        <v>67.611159546643407</v>
      </c>
    </row>
    <row r="54" spans="1:31" x14ac:dyDescent="0.3">
      <c r="A54" t="s">
        <v>306</v>
      </c>
      <c r="B54" t="s">
        <v>226</v>
      </c>
      <c r="C54" t="s">
        <v>0</v>
      </c>
      <c r="D54" t="s">
        <v>227</v>
      </c>
      <c r="E54" t="s">
        <v>123</v>
      </c>
      <c r="F54">
        <v>96.828759171731406</v>
      </c>
      <c r="G54">
        <v>102.697168818503</v>
      </c>
      <c r="H54">
        <v>105.54986795235</v>
      </c>
      <c r="I54">
        <v>112.493938212373</v>
      </c>
      <c r="J54">
        <v>120.72520198401</v>
      </c>
      <c r="K54">
        <v>124.840833869829</v>
      </c>
      <c r="L54">
        <v>124.840833869829</v>
      </c>
      <c r="M54">
        <v>127.15270116371499</v>
      </c>
      <c r="N54">
        <v>136.15466230804901</v>
      </c>
      <c r="O54">
        <v>149.54692417441399</v>
      </c>
      <c r="P54">
        <v>166.041070223063</v>
      </c>
      <c r="Q54">
        <v>176.964824843001</v>
      </c>
      <c r="R54">
        <v>195.42127896773101</v>
      </c>
      <c r="S54">
        <v>197.592626511817</v>
      </c>
      <c r="T54">
        <v>201.93532159998901</v>
      </c>
      <c r="U54">
        <v>194.456235614804</v>
      </c>
      <c r="V54">
        <v>191.30289125348301</v>
      </c>
      <c r="W54">
        <v>186.07603630120201</v>
      </c>
      <c r="X54">
        <v>176.071948328019</v>
      </c>
      <c r="Y54">
        <v>162.066225165563</v>
      </c>
      <c r="Z54">
        <v>152</v>
      </c>
      <c r="AA54">
        <v>145</v>
      </c>
      <c r="AB54">
        <v>133.923611111111</v>
      </c>
      <c r="AC54">
        <v>121.748737373737</v>
      </c>
      <c r="AD54">
        <v>101.45728114478101</v>
      </c>
      <c r="AE54">
        <v>89.033940596440601</v>
      </c>
    </row>
    <row r="55" spans="1:31" x14ac:dyDescent="0.3">
      <c r="A55" t="s">
        <v>306</v>
      </c>
      <c r="B55" t="s">
        <v>228</v>
      </c>
      <c r="C55" t="s">
        <v>0</v>
      </c>
      <c r="D55" t="s">
        <v>229</v>
      </c>
      <c r="E55" t="s">
        <v>123</v>
      </c>
      <c r="F55">
        <v>57.444446804581801</v>
      </c>
      <c r="G55">
        <v>58.917381338032598</v>
      </c>
      <c r="H55">
        <v>58.917381338032598</v>
      </c>
      <c r="I55">
        <v>61.722970925558002</v>
      </c>
      <c r="J55">
        <v>65.931355306846001</v>
      </c>
      <c r="K55">
        <v>65.931355306846001</v>
      </c>
      <c r="L55">
        <v>65.931355306846001</v>
      </c>
      <c r="M55">
        <v>68.244736194805498</v>
      </c>
      <c r="N55">
        <v>68.244736194805498</v>
      </c>
      <c r="O55">
        <v>71.601034696189402</v>
      </c>
      <c r="P55">
        <v>76.007252215954907</v>
      </c>
      <c r="Q55">
        <v>77.093070104754204</v>
      </c>
      <c r="R55">
        <v>78.178887993553602</v>
      </c>
      <c r="S55">
        <v>79.264705882352999</v>
      </c>
      <c r="T55">
        <v>79.264705882352999</v>
      </c>
      <c r="U55">
        <v>79.264705882352999</v>
      </c>
      <c r="V55">
        <v>74.117647058823493</v>
      </c>
      <c r="W55">
        <v>70</v>
      </c>
      <c r="X55">
        <v>62</v>
      </c>
      <c r="Y55">
        <v>53</v>
      </c>
      <c r="Z55">
        <v>50</v>
      </c>
      <c r="AA55">
        <v>45</v>
      </c>
      <c r="AB55">
        <v>39.886363636363598</v>
      </c>
      <c r="AC55">
        <v>35.795454545454497</v>
      </c>
      <c r="AD55">
        <v>25.568181818181799</v>
      </c>
      <c r="AE55">
        <v>21.306818181818201</v>
      </c>
    </row>
    <row r="56" spans="1:31" x14ac:dyDescent="0.3">
      <c r="A56" t="s">
        <v>306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306</v>
      </c>
      <c r="B57" t="s">
        <v>232</v>
      </c>
      <c r="C57" t="s">
        <v>0</v>
      </c>
      <c r="D57" t="s">
        <v>233</v>
      </c>
      <c r="E57" t="s">
        <v>123</v>
      </c>
      <c r="F57">
        <v>17343.562703182801</v>
      </c>
      <c r="G57">
        <v>16723.531516806401</v>
      </c>
      <c r="H57">
        <v>16581.728300258401</v>
      </c>
      <c r="I57">
        <v>16631.846422954499</v>
      </c>
      <c r="J57">
        <v>16721.319262713601</v>
      </c>
      <c r="K57">
        <v>16487.601459158799</v>
      </c>
      <c r="L57">
        <v>16402.871902489402</v>
      </c>
      <c r="M57">
        <v>15915.753389654499</v>
      </c>
      <c r="N57">
        <v>15419.7053728682</v>
      </c>
      <c r="O57">
        <v>15591.525610421601</v>
      </c>
      <c r="P57">
        <v>15676.4367743289</v>
      </c>
      <c r="Q57">
        <v>15957.6131510088</v>
      </c>
      <c r="R57">
        <v>16199.564887680001</v>
      </c>
      <c r="S57">
        <v>16230.7307401504</v>
      </c>
      <c r="T57">
        <v>16179.208166549801</v>
      </c>
      <c r="U57">
        <v>15992.0180398881</v>
      </c>
      <c r="V57">
        <v>15791.583870906599</v>
      </c>
      <c r="W57">
        <v>15707.3448104545</v>
      </c>
      <c r="X57">
        <v>15475.067761864901</v>
      </c>
      <c r="Y57">
        <v>14969.878715814501</v>
      </c>
      <c r="Z57">
        <v>14742</v>
      </c>
      <c r="AA57">
        <v>14754</v>
      </c>
      <c r="AB57">
        <v>14735.053933495499</v>
      </c>
      <c r="AC57">
        <v>14164.129335814499</v>
      </c>
      <c r="AD57">
        <v>14236.791418844299</v>
      </c>
      <c r="AE57">
        <v>13675.6476902185</v>
      </c>
    </row>
    <row r="58" spans="1:31" x14ac:dyDescent="0.3">
      <c r="A58" t="s">
        <v>306</v>
      </c>
      <c r="B58" t="s">
        <v>234</v>
      </c>
      <c r="C58" t="s">
        <v>0</v>
      </c>
      <c r="D58" t="s">
        <v>235</v>
      </c>
      <c r="E58" t="s">
        <v>123</v>
      </c>
      <c r="F58">
        <v>17343.562703182801</v>
      </c>
      <c r="G58">
        <v>16723.531516806401</v>
      </c>
      <c r="H58">
        <v>16581.728300258401</v>
      </c>
      <c r="I58">
        <v>16631.846422954499</v>
      </c>
      <c r="J58">
        <v>16721.319262713601</v>
      </c>
      <c r="K58">
        <v>16487.601459158799</v>
      </c>
      <c r="L58">
        <v>16402.871902489402</v>
      </c>
      <c r="M58">
        <v>15915.753389654499</v>
      </c>
      <c r="N58">
        <v>15419.7053728682</v>
      </c>
      <c r="O58">
        <v>15591.525610421601</v>
      </c>
      <c r="P58">
        <v>15676.4367743289</v>
      </c>
      <c r="Q58">
        <v>15957.6131510088</v>
      </c>
      <c r="R58">
        <v>16199.564887680001</v>
      </c>
      <c r="S58">
        <v>16230.7307401504</v>
      </c>
      <c r="T58">
        <v>16179.208166549801</v>
      </c>
      <c r="U58">
        <v>15992.0180398881</v>
      </c>
      <c r="V58">
        <v>15791.583870906599</v>
      </c>
      <c r="W58">
        <v>15707.3448104545</v>
      </c>
      <c r="X58">
        <v>15475.067761864901</v>
      </c>
      <c r="Y58">
        <v>14969.878715814501</v>
      </c>
      <c r="Z58">
        <v>14742</v>
      </c>
      <c r="AA58">
        <v>14754</v>
      </c>
      <c r="AB58">
        <v>14735.053933495499</v>
      </c>
      <c r="AC58">
        <v>14164.129335814499</v>
      </c>
      <c r="AD58">
        <v>14236.791418844299</v>
      </c>
      <c r="AE58">
        <v>13675.6476902185</v>
      </c>
    </row>
    <row r="59" spans="1:31" x14ac:dyDescent="0.3">
      <c r="A59" t="s">
        <v>306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307</v>
      </c>
      <c r="B2" t="s">
        <v>121</v>
      </c>
      <c r="C2" t="s">
        <v>0</v>
      </c>
      <c r="D2" t="s">
        <v>122</v>
      </c>
      <c r="E2" t="s">
        <v>123</v>
      </c>
      <c r="F2">
        <v>837.15955203157603</v>
      </c>
      <c r="G2">
        <v>806.88380708846603</v>
      </c>
      <c r="H2">
        <v>845.59041038053294</v>
      </c>
      <c r="I2">
        <v>901.804754141785</v>
      </c>
      <c r="J2">
        <v>988.35031595961505</v>
      </c>
      <c r="K2">
        <v>1059.6255791297799</v>
      </c>
      <c r="L2">
        <v>1139.1226548669599</v>
      </c>
      <c r="M2">
        <v>1244.4282158502201</v>
      </c>
      <c r="N2">
        <v>1357.2756996502801</v>
      </c>
      <c r="O2">
        <v>1460.6973358373</v>
      </c>
      <c r="P2">
        <v>1537.6339900951</v>
      </c>
      <c r="Q2">
        <v>1643.98331505845</v>
      </c>
      <c r="R2">
        <v>1792.71384977713</v>
      </c>
      <c r="S2">
        <v>1845.3397828273901</v>
      </c>
      <c r="T2">
        <v>1887.48095575253</v>
      </c>
      <c r="U2">
        <v>1896.2497406805301</v>
      </c>
      <c r="V2">
        <v>1941.03444077725</v>
      </c>
      <c r="W2">
        <v>1954.8837534721499</v>
      </c>
      <c r="X2">
        <v>1968.43761416289</v>
      </c>
      <c r="Y2">
        <v>1965.3731030873901</v>
      </c>
      <c r="Z2">
        <v>1934</v>
      </c>
      <c r="AA2">
        <v>1866</v>
      </c>
      <c r="AB2">
        <v>1832.05457463884</v>
      </c>
      <c r="AC2">
        <v>1880.34434018877</v>
      </c>
      <c r="AD2">
        <v>1896.8727030549501</v>
      </c>
      <c r="AE2">
        <v>1818.1131060796899</v>
      </c>
    </row>
    <row r="3" spans="1:31" x14ac:dyDescent="0.3">
      <c r="A3" t="s">
        <v>307</v>
      </c>
      <c r="B3" t="s">
        <v>124</v>
      </c>
      <c r="C3" t="s">
        <v>0</v>
      </c>
      <c r="D3" t="s">
        <v>125</v>
      </c>
      <c r="E3" t="s">
        <v>123</v>
      </c>
      <c r="F3">
        <v>467.67633842201002</v>
      </c>
      <c r="G3">
        <v>470.14428743743002</v>
      </c>
      <c r="H3">
        <v>450.85631667076598</v>
      </c>
      <c r="I3">
        <v>454.37863164475601</v>
      </c>
      <c r="J3">
        <v>462.576184277523</v>
      </c>
      <c r="K3">
        <v>454.35782567360701</v>
      </c>
      <c r="L3">
        <v>475.27455422124098</v>
      </c>
      <c r="M3">
        <v>490.381080394533</v>
      </c>
      <c r="N3">
        <v>540.46750903340399</v>
      </c>
      <c r="O3">
        <v>548.63872407278598</v>
      </c>
      <c r="P3">
        <v>560.28710462634797</v>
      </c>
      <c r="Q3">
        <v>589.04927632174599</v>
      </c>
      <c r="R3">
        <v>608.53145083044205</v>
      </c>
      <c r="S3">
        <v>935.33537812827205</v>
      </c>
      <c r="T3">
        <v>1004.25482704299</v>
      </c>
      <c r="U3">
        <v>1022.63193367348</v>
      </c>
      <c r="V3">
        <v>1113.05412570356</v>
      </c>
      <c r="W3">
        <v>1176.11668240064</v>
      </c>
      <c r="X3">
        <v>1222.50165234633</v>
      </c>
      <c r="Y3">
        <v>1242.8089887640399</v>
      </c>
      <c r="Z3">
        <v>1260</v>
      </c>
      <c r="AA3">
        <v>1247</v>
      </c>
      <c r="AB3">
        <v>1237.07165605096</v>
      </c>
      <c r="AC3">
        <v>1240.0358852587501</v>
      </c>
      <c r="AD3">
        <v>1216.2256724081501</v>
      </c>
      <c r="AE3">
        <v>1299.2130192745201</v>
      </c>
    </row>
    <row r="4" spans="1:31" x14ac:dyDescent="0.3">
      <c r="A4" t="s">
        <v>307</v>
      </c>
      <c r="B4" t="s">
        <v>126</v>
      </c>
      <c r="C4" t="s">
        <v>0</v>
      </c>
      <c r="D4" t="s">
        <v>127</v>
      </c>
      <c r="E4" t="s">
        <v>123</v>
      </c>
      <c r="F4">
        <v>28657.477801291399</v>
      </c>
      <c r="G4">
        <v>29031.609877754301</v>
      </c>
      <c r="H4">
        <v>29335.036536756201</v>
      </c>
      <c r="I4">
        <v>29742.877078222002</v>
      </c>
      <c r="J4">
        <v>29668.535119534299</v>
      </c>
      <c r="K4">
        <v>29624.713379727898</v>
      </c>
      <c r="L4">
        <v>30403.300849698</v>
      </c>
      <c r="M4">
        <v>30293.286939052101</v>
      </c>
      <c r="N4">
        <v>30051.5915459844</v>
      </c>
      <c r="O4">
        <v>29595.393586823498</v>
      </c>
      <c r="P4">
        <v>29167.0079779685</v>
      </c>
      <c r="Q4">
        <v>28445.624421303699</v>
      </c>
      <c r="R4">
        <v>28431.685612325899</v>
      </c>
      <c r="S4">
        <v>28014.522807599798</v>
      </c>
      <c r="T4">
        <v>27103.061292391802</v>
      </c>
      <c r="U4">
        <v>25898.9392279233</v>
      </c>
      <c r="V4">
        <v>24873.795412137501</v>
      </c>
      <c r="W4">
        <v>24194.287299580501</v>
      </c>
      <c r="X4">
        <v>23385.055050303701</v>
      </c>
      <c r="Y4">
        <v>22584.685839696402</v>
      </c>
      <c r="Z4">
        <v>22194</v>
      </c>
      <c r="AA4">
        <v>22066</v>
      </c>
      <c r="AB4">
        <v>22747.814606741598</v>
      </c>
      <c r="AC4">
        <v>22687.280789570599</v>
      </c>
      <c r="AD4">
        <v>22513.945929651101</v>
      </c>
      <c r="AE4">
        <v>22176.977490292898</v>
      </c>
    </row>
    <row r="5" spans="1:31" x14ac:dyDescent="0.3">
      <c r="A5" t="s">
        <v>307</v>
      </c>
      <c r="B5" t="s">
        <v>128</v>
      </c>
      <c r="C5" t="s">
        <v>0</v>
      </c>
      <c r="D5" t="s">
        <v>129</v>
      </c>
      <c r="E5" t="s">
        <v>123</v>
      </c>
      <c r="F5">
        <v>2594.2933358259602</v>
      </c>
      <c r="G5">
        <v>2575.3568881192</v>
      </c>
      <c r="H5">
        <v>2543.2729019711001</v>
      </c>
      <c r="I5">
        <v>2556.5253898544102</v>
      </c>
      <c r="J5">
        <v>2543.3412457904701</v>
      </c>
      <c r="K5">
        <v>2510.8730596739902</v>
      </c>
      <c r="L5">
        <v>2534.7293357754102</v>
      </c>
      <c r="M5">
        <v>2584.8747112358701</v>
      </c>
      <c r="N5">
        <v>2636.4522576781701</v>
      </c>
      <c r="O5">
        <v>2600.4351503328398</v>
      </c>
      <c r="P5">
        <v>2582.4846085680001</v>
      </c>
      <c r="Q5">
        <v>2538.7537479194798</v>
      </c>
      <c r="R5">
        <v>2543.4616825470498</v>
      </c>
      <c r="S5">
        <v>2552.7022336189798</v>
      </c>
      <c r="T5">
        <v>2531.4016879717401</v>
      </c>
      <c r="U5">
        <v>2453.9210941116498</v>
      </c>
      <c r="V5">
        <v>2378.9922057418298</v>
      </c>
      <c r="W5">
        <v>2308.073738904</v>
      </c>
      <c r="X5">
        <v>2279.6439985069101</v>
      </c>
      <c r="Y5">
        <v>2265.0709318497902</v>
      </c>
      <c r="Z5">
        <v>2234</v>
      </c>
      <c r="AA5">
        <v>2206</v>
      </c>
      <c r="AB5">
        <v>2300.1464510332398</v>
      </c>
      <c r="AC5">
        <v>2292.3394202278701</v>
      </c>
      <c r="AD5">
        <v>2246.2622459519298</v>
      </c>
      <c r="AE5">
        <v>2214.7458113786302</v>
      </c>
    </row>
    <row r="6" spans="1:31" x14ac:dyDescent="0.3">
      <c r="A6" t="s">
        <v>307</v>
      </c>
      <c r="B6" t="s">
        <v>130</v>
      </c>
      <c r="C6" t="s">
        <v>0</v>
      </c>
      <c r="D6" t="s">
        <v>131</v>
      </c>
      <c r="E6" t="s">
        <v>123</v>
      </c>
      <c r="F6">
        <v>492.11210327514402</v>
      </c>
      <c r="G6">
        <v>463.88622203991099</v>
      </c>
      <c r="H6">
        <v>451.80585167428899</v>
      </c>
      <c r="I6">
        <v>434.11110552516499</v>
      </c>
      <c r="J6">
        <v>409.40559545462702</v>
      </c>
      <c r="K6">
        <v>390.47354479776601</v>
      </c>
      <c r="L6">
        <v>383.43798543204002</v>
      </c>
      <c r="M6">
        <v>371.71205315583097</v>
      </c>
      <c r="N6">
        <v>355.24379763626899</v>
      </c>
      <c r="O6">
        <v>336.42293418534098</v>
      </c>
      <c r="P6">
        <v>324.70088072940598</v>
      </c>
      <c r="Q6">
        <v>308.465836692935</v>
      </c>
      <c r="R6">
        <v>300.40889319722402</v>
      </c>
      <c r="S6">
        <v>280.08047185305099</v>
      </c>
      <c r="T6">
        <v>256.92421236913799</v>
      </c>
      <c r="U6">
        <v>239.356744856718</v>
      </c>
      <c r="V6">
        <v>225.08317750287699</v>
      </c>
      <c r="W6">
        <v>206.77497646197301</v>
      </c>
      <c r="X6">
        <v>185.67548906789401</v>
      </c>
      <c r="Y6">
        <v>170.20253164556999</v>
      </c>
      <c r="Z6">
        <v>162</v>
      </c>
      <c r="AA6">
        <v>173</v>
      </c>
      <c r="AB6">
        <v>172.005747126437</v>
      </c>
      <c r="AC6">
        <v>170.02866957325901</v>
      </c>
      <c r="AD6">
        <v>175.891727144751</v>
      </c>
      <c r="AE6">
        <v>188.31886004084799</v>
      </c>
    </row>
    <row r="7" spans="1:31" x14ac:dyDescent="0.3">
      <c r="A7" t="s">
        <v>307</v>
      </c>
      <c r="B7" t="s">
        <v>132</v>
      </c>
      <c r="C7" t="s">
        <v>0</v>
      </c>
      <c r="D7" t="s">
        <v>133</v>
      </c>
      <c r="E7" t="s">
        <v>123</v>
      </c>
      <c r="F7">
        <v>13852.970080045499</v>
      </c>
      <c r="G7">
        <v>14130.267164862</v>
      </c>
      <c r="H7">
        <v>13909.5218467551</v>
      </c>
      <c r="I7">
        <v>13885.881009910299</v>
      </c>
      <c r="J7">
        <v>13569.1443968325</v>
      </c>
      <c r="K7">
        <v>13236.452988930499</v>
      </c>
      <c r="L7">
        <v>13643.839722700101</v>
      </c>
      <c r="M7">
        <v>13208.283147259101</v>
      </c>
      <c r="N7">
        <v>13038.2245556451</v>
      </c>
      <c r="O7">
        <v>12600.861081441401</v>
      </c>
      <c r="P7">
        <v>12218.2989863849</v>
      </c>
      <c r="Q7">
        <v>11808.1953881921</v>
      </c>
      <c r="R7">
        <v>11353.7671872952</v>
      </c>
      <c r="S7">
        <v>11132.115008532201</v>
      </c>
      <c r="T7">
        <v>10436.085081499299</v>
      </c>
      <c r="U7">
        <v>9840.1991702892992</v>
      </c>
      <c r="V7">
        <v>9345.5064966248101</v>
      </c>
      <c r="W7">
        <v>8901.6786791327704</v>
      </c>
      <c r="X7">
        <v>8566.4046722131206</v>
      </c>
      <c r="Y7">
        <v>8173.9421603677201</v>
      </c>
      <c r="Z7">
        <v>7885</v>
      </c>
      <c r="AA7">
        <v>7928</v>
      </c>
      <c r="AB7">
        <v>8199.4999363462794</v>
      </c>
      <c r="AC7">
        <v>7980.1655664843202</v>
      </c>
      <c r="AD7">
        <v>7810.3958104626399</v>
      </c>
      <c r="AE7">
        <v>7579.0128345776802</v>
      </c>
    </row>
    <row r="8" spans="1:31" x14ac:dyDescent="0.3">
      <c r="A8" t="s">
        <v>307</v>
      </c>
      <c r="B8" t="s">
        <v>134</v>
      </c>
      <c r="C8" t="s">
        <v>0</v>
      </c>
      <c r="D8" t="s">
        <v>135</v>
      </c>
      <c r="E8" t="s">
        <v>123</v>
      </c>
      <c r="F8">
        <v>869.55093314846602</v>
      </c>
      <c r="G8">
        <v>840.18283995843001</v>
      </c>
      <c r="H8">
        <v>905.10038479920001</v>
      </c>
      <c r="I8">
        <v>862.63588953382202</v>
      </c>
      <c r="J8">
        <v>852.97050141579598</v>
      </c>
      <c r="K8">
        <v>818.99728087576398</v>
      </c>
      <c r="L8">
        <v>858.74273715355901</v>
      </c>
      <c r="M8">
        <v>811.96764392871398</v>
      </c>
      <c r="N8">
        <v>811.96764392871398</v>
      </c>
      <c r="O8">
        <v>778.23605041238795</v>
      </c>
      <c r="P8">
        <v>872.96740323608401</v>
      </c>
      <c r="Q8">
        <v>994.639449965876</v>
      </c>
      <c r="R8">
        <v>1544.4929487146201</v>
      </c>
      <c r="S8">
        <v>1470.1835174293101</v>
      </c>
      <c r="T8">
        <v>1390.35454815713</v>
      </c>
      <c r="U8">
        <v>1371.7288371101099</v>
      </c>
      <c r="V8">
        <v>1298.61361667544</v>
      </c>
      <c r="W8">
        <v>1266.6804949539101</v>
      </c>
      <c r="X8">
        <v>1220.8089379350099</v>
      </c>
      <c r="Y8">
        <v>1186.86900958466</v>
      </c>
      <c r="Z8">
        <v>1281</v>
      </c>
      <c r="AA8">
        <v>1249</v>
      </c>
      <c r="AB8">
        <v>1588.4564348521201</v>
      </c>
      <c r="AC8">
        <v>1593.40489726599</v>
      </c>
      <c r="AD8">
        <v>1516.6961910600101</v>
      </c>
      <c r="AE8">
        <v>1457.44277968904</v>
      </c>
    </row>
    <row r="9" spans="1:31" x14ac:dyDescent="0.3">
      <c r="A9" t="s">
        <v>307</v>
      </c>
      <c r="B9" t="s">
        <v>136</v>
      </c>
      <c r="C9" t="s">
        <v>0</v>
      </c>
      <c r="D9" t="s">
        <v>137</v>
      </c>
      <c r="E9" t="s">
        <v>123</v>
      </c>
      <c r="F9">
        <v>2051.9628136404299</v>
      </c>
      <c r="G9">
        <v>2014.7751380534201</v>
      </c>
      <c r="H9">
        <v>2078.5742241222401</v>
      </c>
      <c r="I9">
        <v>2093.4123506477999</v>
      </c>
      <c r="J9">
        <v>2115.5388464268099</v>
      </c>
      <c r="K9">
        <v>2069.01658012807</v>
      </c>
      <c r="L9">
        <v>2055.7767998014801</v>
      </c>
      <c r="M9">
        <v>2137.0989768733298</v>
      </c>
      <c r="N9">
        <v>2111.9566359689402</v>
      </c>
      <c r="O9">
        <v>2089.1959008110198</v>
      </c>
      <c r="P9">
        <v>2041.8754953566399</v>
      </c>
      <c r="Q9">
        <v>1987.1927897829801</v>
      </c>
      <c r="R9">
        <v>2059.1588838055</v>
      </c>
      <c r="S9">
        <v>2054.6057408893998</v>
      </c>
      <c r="T9">
        <v>2054.6057408893998</v>
      </c>
      <c r="U9">
        <v>1928.30247329895</v>
      </c>
      <c r="V9">
        <v>1865.4348266146701</v>
      </c>
      <c r="W9">
        <v>1829.4797335846799</v>
      </c>
      <c r="X9">
        <v>1832.5875700516999</v>
      </c>
      <c r="Y9">
        <v>1775.3830528148601</v>
      </c>
      <c r="Z9">
        <v>1753</v>
      </c>
      <c r="AA9">
        <v>1756</v>
      </c>
      <c r="AB9">
        <v>1806.14277555682</v>
      </c>
      <c r="AC9">
        <v>1824.1044164187199</v>
      </c>
      <c r="AD9">
        <v>1810.2854435670599</v>
      </c>
      <c r="AE9">
        <v>1787.7913510754099</v>
      </c>
    </row>
    <row r="10" spans="1:31" x14ac:dyDescent="0.3">
      <c r="A10" t="s">
        <v>307</v>
      </c>
      <c r="B10" t="s">
        <v>138</v>
      </c>
      <c r="C10" t="s">
        <v>0</v>
      </c>
      <c r="D10" t="s">
        <v>139</v>
      </c>
      <c r="E10" t="s">
        <v>123</v>
      </c>
      <c r="F10">
        <v>2323.8281194268202</v>
      </c>
      <c r="G10">
        <v>2280.3797749842802</v>
      </c>
      <c r="H10">
        <v>2338.6885407704299</v>
      </c>
      <c r="I10">
        <v>2357.1324567071001</v>
      </c>
      <c r="J10">
        <v>2375.4806595356499</v>
      </c>
      <c r="K10">
        <v>2331.5806062793399</v>
      </c>
      <c r="L10">
        <v>2306.3678396820901</v>
      </c>
      <c r="M10">
        <v>2409.1386346109298</v>
      </c>
      <c r="N10">
        <v>2378.0220899015999</v>
      </c>
      <c r="O10">
        <v>2346.8898772442799</v>
      </c>
      <c r="P10">
        <v>2291.2651549898701</v>
      </c>
      <c r="Q10">
        <v>2227.2308137680998</v>
      </c>
      <c r="R10">
        <v>2295.7431276431398</v>
      </c>
      <c r="S10">
        <v>2283.21675145064</v>
      </c>
      <c r="T10">
        <v>2292.0493114175702</v>
      </c>
      <c r="U10">
        <v>2167.9193249559999</v>
      </c>
      <c r="V10">
        <v>2101.7977855448398</v>
      </c>
      <c r="W10">
        <v>2069.0067783219502</v>
      </c>
      <c r="X10">
        <v>2085.5836979279302</v>
      </c>
      <c r="Y10">
        <v>2031.4259634888399</v>
      </c>
      <c r="Z10">
        <v>2007</v>
      </c>
      <c r="AA10">
        <v>2006</v>
      </c>
      <c r="AB10">
        <v>2047.123</v>
      </c>
      <c r="AC10">
        <v>2067.08519405168</v>
      </c>
      <c r="AD10">
        <v>2055.2394336273201</v>
      </c>
      <c r="AE10">
        <v>2022.94281395603</v>
      </c>
    </row>
    <row r="11" spans="1:31" x14ac:dyDescent="0.3">
      <c r="A11" t="s">
        <v>307</v>
      </c>
      <c r="B11" t="s">
        <v>140</v>
      </c>
      <c r="C11" t="s">
        <v>0</v>
      </c>
      <c r="D11" t="s">
        <v>141</v>
      </c>
      <c r="E11" t="s">
        <v>123</v>
      </c>
      <c r="F11">
        <v>271.04349613554803</v>
      </c>
      <c r="G11">
        <v>264.88341667792201</v>
      </c>
      <c r="H11">
        <v>260.06735455650499</v>
      </c>
      <c r="I11">
        <v>263.59768063645799</v>
      </c>
      <c r="J11">
        <v>260.06735455650499</v>
      </c>
      <c r="K11">
        <v>262.43160323429203</v>
      </c>
      <c r="L11">
        <v>250.6633699054</v>
      </c>
      <c r="M11">
        <v>272.04697492102599</v>
      </c>
      <c r="N11">
        <v>266.08103248854798</v>
      </c>
      <c r="O11">
        <v>257.72871308307703</v>
      </c>
      <c r="P11">
        <v>249.41488362878499</v>
      </c>
      <c r="Q11">
        <v>240.04718846901801</v>
      </c>
      <c r="R11">
        <v>236.55135562723601</v>
      </c>
      <c r="S11">
        <v>228.55203442244999</v>
      </c>
      <c r="T11">
        <v>237.384963289019</v>
      </c>
      <c r="U11">
        <v>239.562806988918</v>
      </c>
      <c r="V11">
        <v>236.31082318363801</v>
      </c>
      <c r="W11">
        <v>239.48989255382199</v>
      </c>
      <c r="X11">
        <v>252.96767871485901</v>
      </c>
      <c r="Y11">
        <v>256.04016064257002</v>
      </c>
      <c r="Z11">
        <v>254</v>
      </c>
      <c r="AA11">
        <v>250</v>
      </c>
      <c r="AB11">
        <v>240.96385542168699</v>
      </c>
      <c r="AC11">
        <v>242.96355546667999</v>
      </c>
      <c r="AD11">
        <v>244.93886892575901</v>
      </c>
      <c r="AE11">
        <v>235.101966559262</v>
      </c>
    </row>
    <row r="12" spans="1:31" x14ac:dyDescent="0.3">
      <c r="A12" t="s">
        <v>307</v>
      </c>
      <c r="B12" t="s">
        <v>142</v>
      </c>
      <c r="C12" t="s">
        <v>0</v>
      </c>
      <c r="D12" t="s">
        <v>143</v>
      </c>
      <c r="E12" t="s">
        <v>123</v>
      </c>
      <c r="F12">
        <v>1738.21636118386</v>
      </c>
      <c r="G12">
        <v>1723.0022136023799</v>
      </c>
      <c r="H12">
        <v>1729.1645963405899</v>
      </c>
      <c r="I12">
        <v>1796.2700831008599</v>
      </c>
      <c r="J12">
        <v>1843.8849295713901</v>
      </c>
      <c r="K12">
        <v>1905.86425493514</v>
      </c>
      <c r="L12">
        <v>1936.4710928772699</v>
      </c>
      <c r="M12">
        <v>1951.7745118483399</v>
      </c>
      <c r="N12">
        <v>1970.64363099612</v>
      </c>
      <c r="O12">
        <v>1965.92352649074</v>
      </c>
      <c r="P12">
        <v>1988.27693582845</v>
      </c>
      <c r="Q12">
        <v>1975.49432548706</v>
      </c>
      <c r="R12">
        <v>1965.0909030590999</v>
      </c>
      <c r="S12">
        <v>1953.76473070718</v>
      </c>
      <c r="T12">
        <v>1927.3922034085399</v>
      </c>
      <c r="U12">
        <v>1842.6955319348201</v>
      </c>
      <c r="V12">
        <v>1794.00422310507</v>
      </c>
      <c r="W12">
        <v>1716.8768330657999</v>
      </c>
      <c r="X12">
        <v>1657.8882981141701</v>
      </c>
      <c r="Y12">
        <v>1609.9370673379501</v>
      </c>
      <c r="Z12">
        <v>1614</v>
      </c>
      <c r="AA12">
        <v>1637</v>
      </c>
      <c r="AB12">
        <v>1652.92218844985</v>
      </c>
      <c r="AC12">
        <v>1711.2141245637399</v>
      </c>
      <c r="AD12">
        <v>1753.1174317142199</v>
      </c>
      <c r="AE12">
        <v>1802.9055837891201</v>
      </c>
    </row>
    <row r="13" spans="1:31" x14ac:dyDescent="0.3">
      <c r="A13" t="s">
        <v>307</v>
      </c>
      <c r="B13" t="s">
        <v>144</v>
      </c>
      <c r="C13" t="s">
        <v>0</v>
      </c>
      <c r="D13" t="s">
        <v>145</v>
      </c>
      <c r="E13" t="s">
        <v>123</v>
      </c>
      <c r="F13">
        <v>3222.5629182452899</v>
      </c>
      <c r="G13">
        <v>3367.61745349477</v>
      </c>
      <c r="H13">
        <v>3642.8370410675602</v>
      </c>
      <c r="I13">
        <v>3825.1649419994401</v>
      </c>
      <c r="J13">
        <v>3815.3568267635401</v>
      </c>
      <c r="K13">
        <v>3945.2308870194602</v>
      </c>
      <c r="L13">
        <v>4022.6832725314998</v>
      </c>
      <c r="M13">
        <v>4285.16305505526</v>
      </c>
      <c r="N13">
        <v>4282.75362966585</v>
      </c>
      <c r="O13">
        <v>4558.9435990247603</v>
      </c>
      <c r="P13">
        <v>4494.3456052311803</v>
      </c>
      <c r="Q13">
        <v>4366.2714428860299</v>
      </c>
      <c r="R13">
        <v>4340.53933151622</v>
      </c>
      <c r="S13">
        <v>4380.2255584240202</v>
      </c>
      <c r="T13">
        <v>4429.7258472560397</v>
      </c>
      <c r="U13">
        <v>4356.9292733619604</v>
      </c>
      <c r="V13">
        <v>4223.8519700037496</v>
      </c>
      <c r="W13">
        <v>4364.1897946379004</v>
      </c>
      <c r="X13">
        <v>4177.13832581728</v>
      </c>
      <c r="Y13">
        <v>4058.8981975120601</v>
      </c>
      <c r="Z13">
        <v>3997</v>
      </c>
      <c r="AA13">
        <v>3883</v>
      </c>
      <c r="AB13">
        <v>3812.7955182072801</v>
      </c>
      <c r="AC13">
        <v>3814.7634126682901</v>
      </c>
      <c r="AD13">
        <v>3862.4357940048799</v>
      </c>
      <c r="AE13">
        <v>3807.7786837123599</v>
      </c>
    </row>
    <row r="14" spans="1:31" x14ac:dyDescent="0.3">
      <c r="A14" t="s">
        <v>307</v>
      </c>
      <c r="B14" t="s">
        <v>146</v>
      </c>
      <c r="C14" t="s">
        <v>0</v>
      </c>
      <c r="D14" t="s">
        <v>147</v>
      </c>
      <c r="E14" t="s">
        <v>123</v>
      </c>
      <c r="F14">
        <v>927.79435392771904</v>
      </c>
      <c r="G14">
        <v>965.42517387723501</v>
      </c>
      <c r="H14">
        <v>1066.6493074423399</v>
      </c>
      <c r="I14">
        <v>1215.17009708622</v>
      </c>
      <c r="J14">
        <v>1436.77426308791</v>
      </c>
      <c r="K14">
        <v>1660.62393659187</v>
      </c>
      <c r="L14">
        <v>1866.2591540820099</v>
      </c>
      <c r="M14">
        <v>1834.12331405636</v>
      </c>
      <c r="N14">
        <v>1751.94506167332</v>
      </c>
      <c r="O14">
        <v>1680.4370999723601</v>
      </c>
      <c r="P14">
        <v>1694.5386700420599</v>
      </c>
      <c r="Q14">
        <v>1557.6765461098501</v>
      </c>
      <c r="R14">
        <v>1432.0946352178601</v>
      </c>
      <c r="S14">
        <v>1243.3339374425</v>
      </c>
      <c r="T14">
        <v>1096.5438514360701</v>
      </c>
      <c r="U14">
        <v>997.05466570419696</v>
      </c>
      <c r="V14">
        <v>908.66711696069001</v>
      </c>
      <c r="W14">
        <v>827.77998631794605</v>
      </c>
      <c r="X14">
        <v>720.83698187438495</v>
      </c>
      <c r="Y14">
        <v>669.13137557959794</v>
      </c>
      <c r="Z14">
        <v>652</v>
      </c>
      <c r="AA14">
        <v>623</v>
      </c>
      <c r="AB14">
        <v>605.14331210191096</v>
      </c>
      <c r="AC14">
        <v>589.42530399536804</v>
      </c>
      <c r="AD14">
        <v>569.13361320208503</v>
      </c>
      <c r="AE14">
        <v>579.60262615396198</v>
      </c>
    </row>
    <row r="15" spans="1:31" x14ac:dyDescent="0.3">
      <c r="A15" t="s">
        <v>307</v>
      </c>
      <c r="B15" t="s">
        <v>148</v>
      </c>
      <c r="C15" t="s">
        <v>0</v>
      </c>
      <c r="D15" t="s">
        <v>149</v>
      </c>
      <c r="E15" t="s">
        <v>123</v>
      </c>
      <c r="F15">
        <v>1315.8111618841699</v>
      </c>
      <c r="G15">
        <v>1355.6452888552799</v>
      </c>
      <c r="H15">
        <v>1466.00309220335</v>
      </c>
      <c r="I15">
        <v>1634.1730229797899</v>
      </c>
      <c r="J15">
        <v>1847.37869536262</v>
      </c>
      <c r="K15">
        <v>2064.2185553428899</v>
      </c>
      <c r="L15">
        <v>2267.06084112803</v>
      </c>
      <c r="M15">
        <v>2215.9151873145502</v>
      </c>
      <c r="N15">
        <v>2126.5637684712201</v>
      </c>
      <c r="O15">
        <v>2032.39418455349</v>
      </c>
      <c r="P15">
        <v>2048.8794212764001</v>
      </c>
      <c r="Q15">
        <v>1891.8994429152699</v>
      </c>
      <c r="R15">
        <v>1761.3040629217301</v>
      </c>
      <c r="S15">
        <v>1579.8432451062299</v>
      </c>
      <c r="T15">
        <v>1425.9267146157099</v>
      </c>
      <c r="U15">
        <v>1319.5790601009901</v>
      </c>
      <c r="V15">
        <v>1221.0706971238101</v>
      </c>
      <c r="W15">
        <v>1128.19755853531</v>
      </c>
      <c r="X15">
        <v>1013.5181363765</v>
      </c>
      <c r="Y15">
        <v>940.10434782608695</v>
      </c>
      <c r="Z15">
        <v>932</v>
      </c>
      <c r="AA15">
        <v>938</v>
      </c>
      <c r="AB15">
        <v>921.0901378579</v>
      </c>
      <c r="AC15">
        <v>902.29237994243294</v>
      </c>
      <c r="AD15">
        <v>886.61737659924199</v>
      </c>
      <c r="AE15">
        <v>883.72308701295503</v>
      </c>
    </row>
    <row r="16" spans="1:31" x14ac:dyDescent="0.3">
      <c r="A16" t="s">
        <v>307</v>
      </c>
      <c r="B16" t="s">
        <v>150</v>
      </c>
      <c r="C16" t="s">
        <v>0</v>
      </c>
      <c r="D16" t="s">
        <v>151</v>
      </c>
      <c r="E16" t="s">
        <v>123</v>
      </c>
      <c r="F16">
        <v>380.25438634081598</v>
      </c>
      <c r="G16">
        <v>382.715579779915</v>
      </c>
      <c r="H16">
        <v>392.34364468003798</v>
      </c>
      <c r="I16">
        <v>412.31323138531002</v>
      </c>
      <c r="J16">
        <v>405.26514195992002</v>
      </c>
      <c r="K16">
        <v>399.374660245386</v>
      </c>
      <c r="L16">
        <v>397.03228687151301</v>
      </c>
      <c r="M16">
        <v>378.23785909061297</v>
      </c>
      <c r="N16">
        <v>371.14589923266402</v>
      </c>
      <c r="O16">
        <v>348.68802634915897</v>
      </c>
      <c r="P16">
        <v>351.04402652719398</v>
      </c>
      <c r="Q16">
        <v>331.21761971336502</v>
      </c>
      <c r="R16">
        <v>326.56895136651099</v>
      </c>
      <c r="S16">
        <v>334.56189772862899</v>
      </c>
      <c r="T16">
        <v>327.91497260819199</v>
      </c>
      <c r="U16">
        <v>321.35667315602802</v>
      </c>
      <c r="V16">
        <v>311.51922397778299</v>
      </c>
      <c r="W16">
        <v>299.78391074574301</v>
      </c>
      <c r="X16">
        <v>292.47210804462702</v>
      </c>
      <c r="Y16">
        <v>270.769230769231</v>
      </c>
      <c r="Z16">
        <v>280</v>
      </c>
      <c r="AA16">
        <v>315</v>
      </c>
      <c r="AB16">
        <v>316</v>
      </c>
      <c r="AC16">
        <v>312.99047619047599</v>
      </c>
      <c r="AD16">
        <v>318.02247741540401</v>
      </c>
      <c r="AE16">
        <v>304.15233821348602</v>
      </c>
    </row>
    <row r="17" spans="1:31" x14ac:dyDescent="0.3">
      <c r="A17" t="s">
        <v>307</v>
      </c>
      <c r="B17" t="s">
        <v>152</v>
      </c>
      <c r="C17" t="s">
        <v>0</v>
      </c>
      <c r="D17" t="s">
        <v>153</v>
      </c>
      <c r="E17" t="s">
        <v>123</v>
      </c>
      <c r="F17">
        <v>1001.87259452595</v>
      </c>
      <c r="G17">
        <v>1048.8740248864201</v>
      </c>
      <c r="H17">
        <v>1071.8862725455999</v>
      </c>
      <c r="I17">
        <v>1082.52240975939</v>
      </c>
      <c r="J17">
        <v>1073.0989284992399</v>
      </c>
      <c r="K17">
        <v>1077.8314485808301</v>
      </c>
      <c r="L17">
        <v>1073.1298937342401</v>
      </c>
      <c r="M17">
        <v>1044.8896333728101</v>
      </c>
      <c r="N17">
        <v>1064.9836647838199</v>
      </c>
      <c r="O17">
        <v>1021.15230149461</v>
      </c>
      <c r="P17">
        <v>1001.1065865692</v>
      </c>
      <c r="Q17">
        <v>1002.2720191496001</v>
      </c>
      <c r="R17">
        <v>1013.87238974161</v>
      </c>
      <c r="S17">
        <v>1079.8708169077299</v>
      </c>
      <c r="T17">
        <v>1163.70144212223</v>
      </c>
      <c r="U17">
        <v>1102.7404685405199</v>
      </c>
      <c r="V17">
        <v>1090.8248053244599</v>
      </c>
      <c r="W17">
        <v>1085.5398014227001</v>
      </c>
      <c r="X17">
        <v>1047.1778409139699</v>
      </c>
      <c r="Y17">
        <v>1054.3362831858401</v>
      </c>
      <c r="Z17">
        <v>1035</v>
      </c>
      <c r="AA17">
        <v>1007</v>
      </c>
      <c r="AB17">
        <v>961.13663366336596</v>
      </c>
      <c r="AC17">
        <v>964.12772277227702</v>
      </c>
      <c r="AD17">
        <v>1001.85877680456</v>
      </c>
      <c r="AE17">
        <v>997.87919874376701</v>
      </c>
    </row>
    <row r="18" spans="1:31" x14ac:dyDescent="0.3">
      <c r="A18" t="s">
        <v>307</v>
      </c>
      <c r="B18" t="s">
        <v>154</v>
      </c>
      <c r="C18" t="s">
        <v>0</v>
      </c>
      <c r="D18" t="s">
        <v>155</v>
      </c>
      <c r="E18" t="s">
        <v>123</v>
      </c>
      <c r="F18">
        <v>494.63575539692999</v>
      </c>
      <c r="G18">
        <v>488.55914906527198</v>
      </c>
      <c r="H18">
        <v>483.80431549772698</v>
      </c>
      <c r="I18">
        <v>477.97534784112798</v>
      </c>
      <c r="J18">
        <v>469.83464848616899</v>
      </c>
      <c r="K18">
        <v>451.13476197925701</v>
      </c>
      <c r="L18">
        <v>460.41259770119501</v>
      </c>
      <c r="M18">
        <v>454.59930732618</v>
      </c>
      <c r="N18">
        <v>448.75612856877399</v>
      </c>
      <c r="O18">
        <v>447.58444154901298</v>
      </c>
      <c r="P18">
        <v>448.75002603221299</v>
      </c>
      <c r="Q18">
        <v>445.29810275504201</v>
      </c>
      <c r="R18">
        <v>439.58915271972103</v>
      </c>
      <c r="S18">
        <v>441.83195451931198</v>
      </c>
      <c r="T18">
        <v>444.00846661053998</v>
      </c>
      <c r="U18">
        <v>441.86349817280802</v>
      </c>
      <c r="V18">
        <v>460.00765147942099</v>
      </c>
      <c r="W18">
        <v>456.86409121874101</v>
      </c>
      <c r="X18">
        <v>517.30126920507701</v>
      </c>
      <c r="Y18">
        <v>504.16666666666703</v>
      </c>
      <c r="Z18">
        <v>484</v>
      </c>
      <c r="AA18">
        <v>479</v>
      </c>
      <c r="AB18">
        <v>532.88750000000005</v>
      </c>
      <c r="AC18">
        <v>616.92356215213397</v>
      </c>
      <c r="AD18">
        <v>618.87585190578</v>
      </c>
      <c r="AE18">
        <v>623.68826132961897</v>
      </c>
    </row>
    <row r="19" spans="1:31" x14ac:dyDescent="0.3">
      <c r="A19" t="s">
        <v>307</v>
      </c>
      <c r="B19" t="s">
        <v>156</v>
      </c>
      <c r="C19" t="s">
        <v>0</v>
      </c>
      <c r="D19" t="s">
        <v>157</v>
      </c>
      <c r="E19" t="s">
        <v>123</v>
      </c>
      <c r="F19">
        <v>731.34576588562595</v>
      </c>
      <c r="G19">
        <v>742.52082852224805</v>
      </c>
      <c r="H19">
        <v>774.11745952319495</v>
      </c>
      <c r="I19">
        <v>809.62743473068099</v>
      </c>
      <c r="J19">
        <v>842.62535055667695</v>
      </c>
      <c r="K19">
        <v>862.71599706363804</v>
      </c>
      <c r="L19">
        <v>887.29813537888401</v>
      </c>
      <c r="M19">
        <v>925.92720987427106</v>
      </c>
      <c r="N19">
        <v>909.43486771366099</v>
      </c>
      <c r="O19">
        <v>881.16228115261401</v>
      </c>
      <c r="P19">
        <v>871.77573221889804</v>
      </c>
      <c r="Q19">
        <v>865.97163280332597</v>
      </c>
      <c r="R19">
        <v>857.87843997338803</v>
      </c>
      <c r="S19">
        <v>846.53084156104205</v>
      </c>
      <c r="T19">
        <v>795.89310591499805</v>
      </c>
      <c r="U19">
        <v>754.632617477385</v>
      </c>
      <c r="V19">
        <v>727.56545042296</v>
      </c>
      <c r="W19">
        <v>685.20356102424296</v>
      </c>
      <c r="X19">
        <v>629.22626556991804</v>
      </c>
      <c r="Y19">
        <v>587.34594594594603</v>
      </c>
      <c r="Z19">
        <v>563</v>
      </c>
      <c r="AA19">
        <v>560</v>
      </c>
      <c r="AB19">
        <v>561.99643493761096</v>
      </c>
      <c r="AC19">
        <v>574.88171475099603</v>
      </c>
      <c r="AD19">
        <v>586.69435272533099</v>
      </c>
      <c r="AE19">
        <v>597.45041585862896</v>
      </c>
    </row>
    <row r="20" spans="1:31" x14ac:dyDescent="0.3">
      <c r="A20" t="s">
        <v>307</v>
      </c>
      <c r="B20" t="s">
        <v>158</v>
      </c>
      <c r="C20" t="s">
        <v>0</v>
      </c>
      <c r="D20" t="s">
        <v>159</v>
      </c>
      <c r="E20" t="s">
        <v>123</v>
      </c>
      <c r="F20">
        <v>7558.1382786413496</v>
      </c>
      <c r="G20">
        <v>7397.1253077930996</v>
      </c>
      <c r="H20">
        <v>7361.66953230749</v>
      </c>
      <c r="I20">
        <v>7187.1197355047698</v>
      </c>
      <c r="J20">
        <v>7012.0084921681901</v>
      </c>
      <c r="K20">
        <v>6949.4124513525503</v>
      </c>
      <c r="L20">
        <v>6865.6845904928796</v>
      </c>
      <c r="M20">
        <v>6884.0649704424404</v>
      </c>
      <c r="N20">
        <v>6822.8188408121696</v>
      </c>
      <c r="O20">
        <v>6833.8510667495202</v>
      </c>
      <c r="P20">
        <v>6858.0416899946504</v>
      </c>
      <c r="Q20">
        <v>6831.8568727124803</v>
      </c>
      <c r="R20">
        <v>6848.4534363456496</v>
      </c>
      <c r="S20">
        <v>7038.5922243310197</v>
      </c>
      <c r="T20">
        <v>7513.4932713766902</v>
      </c>
      <c r="U20">
        <v>7767.3275035177903</v>
      </c>
      <c r="V20">
        <v>7913.5282617923303</v>
      </c>
      <c r="W20">
        <v>8135.4930788913798</v>
      </c>
      <c r="X20">
        <v>8428.5599051032204</v>
      </c>
      <c r="Y20">
        <v>8954.1139417392205</v>
      </c>
      <c r="Z20">
        <v>9599</v>
      </c>
      <c r="AA20">
        <v>10323</v>
      </c>
      <c r="AB20">
        <v>10988.4198606272</v>
      </c>
      <c r="AC20">
        <v>11348.1745851951</v>
      </c>
      <c r="AD20">
        <v>11478.047920139201</v>
      </c>
      <c r="AE20">
        <v>12018.0319635957</v>
      </c>
    </row>
    <row r="21" spans="1:31" x14ac:dyDescent="0.3">
      <c r="A21" t="s">
        <v>307</v>
      </c>
      <c r="B21" t="s">
        <v>160</v>
      </c>
      <c r="C21" t="s">
        <v>0</v>
      </c>
      <c r="D21" t="s">
        <v>161</v>
      </c>
      <c r="E21" t="s">
        <v>123</v>
      </c>
      <c r="F21">
        <v>7899.58183540357</v>
      </c>
      <c r="G21">
        <v>7742.0479893592201</v>
      </c>
      <c r="H21">
        <v>7713.28172424084</v>
      </c>
      <c r="I21">
        <v>7536.8838697378096</v>
      </c>
      <c r="J21">
        <v>7369.9275814841203</v>
      </c>
      <c r="K21">
        <v>7307.5234529364097</v>
      </c>
      <c r="L21">
        <v>7221.5670352409797</v>
      </c>
      <c r="M21">
        <v>7258.24956335768</v>
      </c>
      <c r="N21">
        <v>7208.1252190595997</v>
      </c>
      <c r="O21">
        <v>7211.7965901389198</v>
      </c>
      <c r="P21">
        <v>7242.0018028635704</v>
      </c>
      <c r="Q21">
        <v>7224.1672884910704</v>
      </c>
      <c r="R21">
        <v>7296.4089613759797</v>
      </c>
      <c r="S21">
        <v>7508.3330732770301</v>
      </c>
      <c r="T21">
        <v>8031.0015067581598</v>
      </c>
      <c r="U21">
        <v>8289.1408409039595</v>
      </c>
      <c r="V21">
        <v>8462.7239095405203</v>
      </c>
      <c r="W21">
        <v>8770.3229168908401</v>
      </c>
      <c r="X21">
        <v>9082.1239590642399</v>
      </c>
      <c r="Y21">
        <v>9603.2634013879106</v>
      </c>
      <c r="Z21">
        <v>10254</v>
      </c>
      <c r="AA21">
        <v>10997</v>
      </c>
      <c r="AB21">
        <v>11686.435762311499</v>
      </c>
      <c r="AC21">
        <v>12066.046175679099</v>
      </c>
      <c r="AD21">
        <v>12198.834651567</v>
      </c>
      <c r="AE21">
        <v>12778.5333390948</v>
      </c>
    </row>
    <row r="22" spans="1:31" x14ac:dyDescent="0.3">
      <c r="A22" t="s">
        <v>307</v>
      </c>
      <c r="B22" t="s">
        <v>162</v>
      </c>
      <c r="C22" t="s">
        <v>0</v>
      </c>
      <c r="D22" t="s">
        <v>163</v>
      </c>
      <c r="E22" t="s">
        <v>123</v>
      </c>
      <c r="F22">
        <v>346.99006959269701</v>
      </c>
      <c r="G22">
        <v>349.45974980332102</v>
      </c>
      <c r="H22">
        <v>355.52675934851698</v>
      </c>
      <c r="I22">
        <v>353.15658095286102</v>
      </c>
      <c r="J22">
        <v>360.24333508569401</v>
      </c>
      <c r="K22">
        <v>360.24333508569401</v>
      </c>
      <c r="L22">
        <v>357.896472967872</v>
      </c>
      <c r="M22">
        <v>375.614120144499</v>
      </c>
      <c r="N22">
        <v>386.27824342935901</v>
      </c>
      <c r="O22">
        <v>379.12494262511098</v>
      </c>
      <c r="P22">
        <v>385.06733984494099</v>
      </c>
      <c r="Q22">
        <v>393.26026196930098</v>
      </c>
      <c r="R22">
        <v>448.106648653447</v>
      </c>
      <c r="S22">
        <v>469.82610356267003</v>
      </c>
      <c r="T22">
        <v>517.47356217869606</v>
      </c>
      <c r="U22">
        <v>521.85893134970195</v>
      </c>
      <c r="V22">
        <v>549.09582755793201</v>
      </c>
      <c r="W22">
        <v>634.22696361342605</v>
      </c>
      <c r="X22">
        <v>652.97258815372402</v>
      </c>
      <c r="Y22">
        <v>648.859375</v>
      </c>
      <c r="Z22">
        <v>655</v>
      </c>
      <c r="AA22">
        <v>674</v>
      </c>
      <c r="AB22">
        <v>698</v>
      </c>
      <c r="AC22">
        <v>717.85775248933101</v>
      </c>
      <c r="AD22">
        <v>720.79577876145697</v>
      </c>
      <c r="AE22">
        <v>760.51705151578403</v>
      </c>
    </row>
    <row r="23" spans="1:31" x14ac:dyDescent="0.3">
      <c r="A23" t="s">
        <v>307</v>
      </c>
      <c r="B23" t="s">
        <v>164</v>
      </c>
      <c r="C23" t="s">
        <v>0</v>
      </c>
      <c r="D23" t="s">
        <v>165</v>
      </c>
      <c r="E23" t="s">
        <v>123</v>
      </c>
      <c r="F23">
        <v>1222.3243843406301</v>
      </c>
      <c r="G23">
        <v>1198.4093420383099</v>
      </c>
      <c r="H23">
        <v>1211.29546399572</v>
      </c>
      <c r="I23">
        <v>1185.0985487084799</v>
      </c>
      <c r="J23">
        <v>1255.3174855862101</v>
      </c>
      <c r="K23">
        <v>1361.1579794689701</v>
      </c>
      <c r="L23">
        <v>1432.6702864936101</v>
      </c>
      <c r="M23">
        <v>1487.07548724653</v>
      </c>
      <c r="N23">
        <v>1590.8810813238099</v>
      </c>
      <c r="O23">
        <v>1665.83140582386</v>
      </c>
      <c r="P23">
        <v>1795.7301724873801</v>
      </c>
      <c r="Q23">
        <v>1943.8927279731399</v>
      </c>
      <c r="R23">
        <v>2138.6339427248299</v>
      </c>
      <c r="S23">
        <v>2346.0791429569799</v>
      </c>
      <c r="T23">
        <v>2328.3058161163999</v>
      </c>
      <c r="U23">
        <v>2244.99543851524</v>
      </c>
      <c r="V23">
        <v>2314.8445916824699</v>
      </c>
      <c r="W23">
        <v>2380.8006416293001</v>
      </c>
      <c r="X23">
        <v>2416.2571557841002</v>
      </c>
      <c r="Y23">
        <v>2421.39812845598</v>
      </c>
      <c r="Z23">
        <v>2403</v>
      </c>
      <c r="AA23">
        <v>2498</v>
      </c>
      <c r="AB23">
        <v>2630.2587579617798</v>
      </c>
      <c r="AC23">
        <v>2857.7726783571202</v>
      </c>
      <c r="AD23">
        <v>3128.5400176041398</v>
      </c>
      <c r="AE23">
        <v>3338.97560039887</v>
      </c>
    </row>
    <row r="24" spans="1:31" x14ac:dyDescent="0.3">
      <c r="A24" t="s">
        <v>307</v>
      </c>
      <c r="B24" t="s">
        <v>166</v>
      </c>
      <c r="C24" t="s">
        <v>0</v>
      </c>
      <c r="D24" t="s">
        <v>167</v>
      </c>
      <c r="E24" t="s">
        <v>123</v>
      </c>
      <c r="F24">
        <v>4871.5045411339997</v>
      </c>
      <c r="G24">
        <v>4650.9782924761703</v>
      </c>
      <c r="H24">
        <v>4649.6816718203399</v>
      </c>
      <c r="I24">
        <v>4629.55862428203</v>
      </c>
      <c r="J24">
        <v>4609.6679320187404</v>
      </c>
      <c r="K24">
        <v>4578.7305633474698</v>
      </c>
      <c r="L24">
        <v>4551.9543612226298</v>
      </c>
      <c r="M24">
        <v>4516.8462025855397</v>
      </c>
      <c r="N24">
        <v>4486.6048648606802</v>
      </c>
      <c r="O24">
        <v>4346.2850578173102</v>
      </c>
      <c r="P24">
        <v>4235.5210064823596</v>
      </c>
      <c r="Q24">
        <v>4075.5335034395198</v>
      </c>
      <c r="R24">
        <v>4073.1871974502001</v>
      </c>
      <c r="S24">
        <v>4093.8457969300798</v>
      </c>
      <c r="T24">
        <v>4086.0564735871899</v>
      </c>
      <c r="U24">
        <v>3967.36521507524</v>
      </c>
      <c r="V24">
        <v>4034.1448172053701</v>
      </c>
      <c r="W24">
        <v>4193.3311460622599</v>
      </c>
      <c r="X24">
        <v>4187.0505702069504</v>
      </c>
      <c r="Y24">
        <v>4286.1767982562396</v>
      </c>
      <c r="Z24">
        <v>4242</v>
      </c>
      <c r="AA24">
        <v>4464</v>
      </c>
      <c r="AB24">
        <v>4686.7028953229401</v>
      </c>
      <c r="AC24">
        <v>4984.0674761602504</v>
      </c>
      <c r="AD24">
        <v>5194.2625541073803</v>
      </c>
      <c r="AE24">
        <v>5340.34816514672</v>
      </c>
    </row>
    <row r="25" spans="1:31" x14ac:dyDescent="0.3">
      <c r="A25" t="s">
        <v>307</v>
      </c>
      <c r="B25" t="s">
        <v>168</v>
      </c>
      <c r="C25" t="s">
        <v>0</v>
      </c>
      <c r="D25" t="s">
        <v>169</v>
      </c>
      <c r="E25" t="s">
        <v>123</v>
      </c>
      <c r="F25">
        <v>662.19628879450295</v>
      </c>
      <c r="G25">
        <v>628.82980912656296</v>
      </c>
      <c r="H25">
        <v>626.31951048733504</v>
      </c>
      <c r="I25">
        <v>632.484072598431</v>
      </c>
      <c r="J25">
        <v>633.69805354391804</v>
      </c>
      <c r="K25">
        <v>630.06307426928697</v>
      </c>
      <c r="L25">
        <v>625.29889223322505</v>
      </c>
      <c r="M25">
        <v>620.55279058439601</v>
      </c>
      <c r="N25">
        <v>612.26296322925998</v>
      </c>
      <c r="O25">
        <v>601.60461377265801</v>
      </c>
      <c r="P25">
        <v>576.83265908790202</v>
      </c>
      <c r="Q25">
        <v>571.00606657186199</v>
      </c>
      <c r="R25">
        <v>548.91010880227896</v>
      </c>
      <c r="S25">
        <v>523.75172881550805</v>
      </c>
      <c r="T25">
        <v>522.64208532225496</v>
      </c>
      <c r="U25">
        <v>527.03403561908101</v>
      </c>
      <c r="V25">
        <v>578.42532124998695</v>
      </c>
      <c r="W25">
        <v>590.164580537348</v>
      </c>
      <c r="X25">
        <v>580.747060635156</v>
      </c>
      <c r="Y25">
        <v>596.21989528795802</v>
      </c>
      <c r="Z25">
        <v>587</v>
      </c>
      <c r="AA25">
        <v>632</v>
      </c>
      <c r="AB25">
        <v>644.93858267716496</v>
      </c>
      <c r="AC25">
        <v>675.60284044249101</v>
      </c>
      <c r="AD25">
        <v>715.747357048494</v>
      </c>
      <c r="AE25">
        <v>752.45234971764705</v>
      </c>
    </row>
    <row r="26" spans="1:31" x14ac:dyDescent="0.3">
      <c r="A26" t="s">
        <v>307</v>
      </c>
      <c r="B26" t="s">
        <v>170</v>
      </c>
      <c r="C26" t="s">
        <v>0</v>
      </c>
      <c r="D26" t="s">
        <v>171</v>
      </c>
      <c r="E26" t="s">
        <v>123</v>
      </c>
      <c r="F26">
        <v>1923.19549064019</v>
      </c>
      <c r="G26">
        <v>1843.11795459687</v>
      </c>
      <c r="H26">
        <v>1889.94381653441</v>
      </c>
      <c r="I26">
        <v>1884.88372599483</v>
      </c>
      <c r="J26">
        <v>1857.3671752503799</v>
      </c>
      <c r="K26">
        <v>1847.4214340174401</v>
      </c>
      <c r="L26">
        <v>1838.8685570081</v>
      </c>
      <c r="M26">
        <v>1831.58109905431</v>
      </c>
      <c r="N26">
        <v>1800.0230416816</v>
      </c>
      <c r="O26">
        <v>1724.7692125620699</v>
      </c>
      <c r="P26">
        <v>1666.7937768457</v>
      </c>
      <c r="Q26">
        <v>1564.6239516078299</v>
      </c>
      <c r="R26">
        <v>1615.1715323134199</v>
      </c>
      <c r="S26">
        <v>1688.6928538412001</v>
      </c>
      <c r="T26">
        <v>1699.8246458902499</v>
      </c>
      <c r="U26">
        <v>1649.24771593491</v>
      </c>
      <c r="V26">
        <v>1687.57684611932</v>
      </c>
      <c r="W26">
        <v>1769.87160048993</v>
      </c>
      <c r="X26">
        <v>1784.53325871884</v>
      </c>
      <c r="Y26">
        <v>1852.73198198198</v>
      </c>
      <c r="Z26">
        <v>1826</v>
      </c>
      <c r="AA26">
        <v>1949</v>
      </c>
      <c r="AB26">
        <v>2126.9046404895498</v>
      </c>
      <c r="AC26">
        <v>2316.4894552407</v>
      </c>
      <c r="AD26">
        <v>2428.84554438144</v>
      </c>
      <c r="AE26">
        <v>2477.2289217595498</v>
      </c>
    </row>
    <row r="27" spans="1:31" x14ac:dyDescent="0.3">
      <c r="A27" t="s">
        <v>307</v>
      </c>
      <c r="B27" t="s">
        <v>172</v>
      </c>
      <c r="C27" t="s">
        <v>0</v>
      </c>
      <c r="D27" t="s">
        <v>173</v>
      </c>
      <c r="E27" t="s">
        <v>123</v>
      </c>
      <c r="F27">
        <v>2286.1448841658498</v>
      </c>
      <c r="G27">
        <v>2179.1907375382102</v>
      </c>
      <c r="H27">
        <v>2133.4917106875</v>
      </c>
      <c r="I27">
        <v>2112.0938587218998</v>
      </c>
      <c r="J27">
        <v>2118.32055052238</v>
      </c>
      <c r="K27">
        <v>2100.9572673213802</v>
      </c>
      <c r="L27">
        <v>2087.5287199997401</v>
      </c>
      <c r="M27">
        <v>2064.4553949968399</v>
      </c>
      <c r="N27">
        <v>2074.1647678128102</v>
      </c>
      <c r="O27">
        <v>2019.5495457229499</v>
      </c>
      <c r="P27">
        <v>1991.76866082365</v>
      </c>
      <c r="Q27">
        <v>1939.47879144642</v>
      </c>
      <c r="R27">
        <v>1908.95430683527</v>
      </c>
      <c r="S27">
        <v>1881.40475580458</v>
      </c>
      <c r="T27">
        <v>1863.5926397732901</v>
      </c>
      <c r="U27">
        <v>1791.07075638589</v>
      </c>
      <c r="V27">
        <v>1768.0802393418201</v>
      </c>
      <c r="W27">
        <v>1833.24815148674</v>
      </c>
      <c r="X27">
        <v>1821.73803181416</v>
      </c>
      <c r="Y27">
        <v>1837.2202247191001</v>
      </c>
      <c r="Z27">
        <v>1829</v>
      </c>
      <c r="AA27">
        <v>1883</v>
      </c>
      <c r="AB27">
        <v>1914.8141499471999</v>
      </c>
      <c r="AC27">
        <v>1991.8809733196899</v>
      </c>
      <c r="AD27">
        <v>2049.57413847721</v>
      </c>
      <c r="AE27">
        <v>2110.5388083185999</v>
      </c>
    </row>
    <row r="28" spans="1:31" x14ac:dyDescent="0.3">
      <c r="A28" t="s">
        <v>307</v>
      </c>
      <c r="B28" t="s">
        <v>174</v>
      </c>
      <c r="C28" t="s">
        <v>0</v>
      </c>
      <c r="D28" t="s">
        <v>175</v>
      </c>
      <c r="E28" t="s">
        <v>123</v>
      </c>
      <c r="F28">
        <v>960.47508507239104</v>
      </c>
      <c r="G28">
        <v>996.93290898220698</v>
      </c>
      <c r="H28">
        <v>1042.30377937869</v>
      </c>
      <c r="I28">
        <v>1131.0615235375201</v>
      </c>
      <c r="J28">
        <v>1152.5600530239799</v>
      </c>
      <c r="K28">
        <v>1181.1950853972501</v>
      </c>
      <c r="L28">
        <v>1213.05549229607</v>
      </c>
      <c r="M28">
        <v>1266.15617046078</v>
      </c>
      <c r="N28">
        <v>1343.21623701504</v>
      </c>
      <c r="O28">
        <v>1352.7005528986499</v>
      </c>
      <c r="P28">
        <v>1340.8968831525799</v>
      </c>
      <c r="Q28">
        <v>1290.88945385895</v>
      </c>
      <c r="R28">
        <v>1271.27808592722</v>
      </c>
      <c r="S28">
        <v>1253.08448183524</v>
      </c>
      <c r="T28">
        <v>1299.41330950873</v>
      </c>
      <c r="U28">
        <v>1310.3052903093001</v>
      </c>
      <c r="V28">
        <v>1378.7540741314299</v>
      </c>
      <c r="W28">
        <v>1360.73807162549</v>
      </c>
      <c r="X28">
        <v>1310.95497144407</v>
      </c>
      <c r="Y28">
        <v>1367.2850678733</v>
      </c>
      <c r="Z28">
        <v>1353</v>
      </c>
      <c r="AA28">
        <v>1418</v>
      </c>
      <c r="AB28">
        <v>1421.00211714891</v>
      </c>
      <c r="AC28">
        <v>1444.6362479954601</v>
      </c>
      <c r="AD28">
        <v>1553.20403643655</v>
      </c>
      <c r="AE28">
        <v>1585.27896334669</v>
      </c>
    </row>
    <row r="29" spans="1:31" x14ac:dyDescent="0.3">
      <c r="A29" t="s">
        <v>307</v>
      </c>
      <c r="B29" t="s">
        <v>176</v>
      </c>
      <c r="C29" t="s">
        <v>0</v>
      </c>
      <c r="D29" t="s">
        <v>177</v>
      </c>
      <c r="E29" t="s">
        <v>123</v>
      </c>
      <c r="F29">
        <v>370.38870200518102</v>
      </c>
      <c r="G29">
        <v>390.96585211657998</v>
      </c>
      <c r="H29">
        <v>416.02776571379599</v>
      </c>
      <c r="I29">
        <v>472.31387519272198</v>
      </c>
      <c r="J29">
        <v>457.706229568205</v>
      </c>
      <c r="K29">
        <v>455.27807980922199</v>
      </c>
      <c r="L29">
        <v>457.67428022927101</v>
      </c>
      <c r="M29">
        <v>480.37874843907798</v>
      </c>
      <c r="N29">
        <v>520.00999518530205</v>
      </c>
      <c r="O29">
        <v>530.818517025181</v>
      </c>
      <c r="P29">
        <v>516.43968586422795</v>
      </c>
      <c r="Q29">
        <v>466.80475038071</v>
      </c>
      <c r="R29">
        <v>423.73299037051902</v>
      </c>
      <c r="S29">
        <v>413.39803938587301</v>
      </c>
      <c r="T29">
        <v>393.39490844784598</v>
      </c>
      <c r="U29">
        <v>381.37450846749601</v>
      </c>
      <c r="V29">
        <v>398.80877171172398</v>
      </c>
      <c r="W29">
        <v>380.72944072745901</v>
      </c>
      <c r="X29">
        <v>356.80382013529697</v>
      </c>
      <c r="Y29">
        <v>369.142857142857</v>
      </c>
      <c r="Z29">
        <v>323</v>
      </c>
      <c r="AA29">
        <v>320</v>
      </c>
      <c r="AB29">
        <v>316.98113207547198</v>
      </c>
      <c r="AC29">
        <v>311.32075471698101</v>
      </c>
      <c r="AD29">
        <v>344.23986775352</v>
      </c>
      <c r="AE29">
        <v>338.62726121406001</v>
      </c>
    </row>
    <row r="30" spans="1:31" x14ac:dyDescent="0.3">
      <c r="A30" t="s">
        <v>307</v>
      </c>
      <c r="B30" t="s">
        <v>178</v>
      </c>
      <c r="C30" t="s">
        <v>0</v>
      </c>
      <c r="D30" t="s">
        <v>179</v>
      </c>
      <c r="E30" t="s">
        <v>123</v>
      </c>
      <c r="F30">
        <v>9.9245198845486406</v>
      </c>
      <c r="G30">
        <v>7.7190710213156102</v>
      </c>
      <c r="H30">
        <v>6.6163465896990896</v>
      </c>
      <c r="I30">
        <v>5.5136221580825797</v>
      </c>
      <c r="J30">
        <v>2.20544886323303</v>
      </c>
      <c r="K30">
        <v>1.1027244316165199</v>
      </c>
      <c r="L30">
        <v>8.8217954529321201</v>
      </c>
      <c r="M30">
        <v>14.3354176110147</v>
      </c>
      <c r="N30">
        <v>21.503126416522001</v>
      </c>
      <c r="O30">
        <v>27.476217087778199</v>
      </c>
      <c r="P30">
        <v>35.838544027536699</v>
      </c>
      <c r="Q30">
        <v>53.179775008602903</v>
      </c>
      <c r="R30">
        <v>68.208841858860296</v>
      </c>
      <c r="S30">
        <v>77.303354106708298</v>
      </c>
      <c r="T30">
        <v>76.199020476612503</v>
      </c>
      <c r="U30">
        <v>71.844790735091706</v>
      </c>
      <c r="V30">
        <v>91.438824571934902</v>
      </c>
      <c r="W30">
        <v>110.57718320327</v>
      </c>
      <c r="X30">
        <v>122.05217391304301</v>
      </c>
      <c r="Y30">
        <v>117.94957983193299</v>
      </c>
      <c r="Z30">
        <v>121</v>
      </c>
      <c r="AA30">
        <v>128</v>
      </c>
      <c r="AB30">
        <v>122.96062992125999</v>
      </c>
      <c r="AC30">
        <v>131.023622047244</v>
      </c>
      <c r="AD30">
        <v>139.025064615015</v>
      </c>
      <c r="AE30">
        <v>136.02452365210101</v>
      </c>
    </row>
    <row r="31" spans="1:31" x14ac:dyDescent="0.3">
      <c r="A31" t="s">
        <v>307</v>
      </c>
      <c r="B31" t="s">
        <v>180</v>
      </c>
      <c r="C31" t="s">
        <v>0</v>
      </c>
      <c r="D31" t="s">
        <v>181</v>
      </c>
      <c r="E31" t="s">
        <v>123</v>
      </c>
      <c r="F31">
        <v>110.639204076854</v>
      </c>
      <c r="G31">
        <v>109.436604032541</v>
      </c>
      <c r="H31">
        <v>108.259866354772</v>
      </c>
      <c r="I31">
        <v>114.018369884281</v>
      </c>
      <c r="J31">
        <v>117.473472001986</v>
      </c>
      <c r="K31">
        <v>112.821057269234</v>
      </c>
      <c r="L31">
        <v>115.14726463561</v>
      </c>
      <c r="M31">
        <v>108.168642536482</v>
      </c>
      <c r="N31">
        <v>101.11416584932</v>
      </c>
      <c r="O31">
        <v>95.235435276685493</v>
      </c>
      <c r="P31">
        <v>92.912619782132097</v>
      </c>
      <c r="Q31">
        <v>94.059689162158506</v>
      </c>
      <c r="R31">
        <v>96.353827922211096</v>
      </c>
      <c r="S31">
        <v>97.487402368354793</v>
      </c>
      <c r="T31">
        <v>99.678130511463905</v>
      </c>
      <c r="U31">
        <v>88.843551108043897</v>
      </c>
      <c r="V31">
        <v>78.008971704623903</v>
      </c>
      <c r="W31">
        <v>66.413043478260903</v>
      </c>
      <c r="X31">
        <v>58.239130434782602</v>
      </c>
      <c r="Y31">
        <v>52.1086956521739</v>
      </c>
      <c r="Z31">
        <v>47</v>
      </c>
      <c r="AA31">
        <v>43</v>
      </c>
      <c r="AB31">
        <v>41.976190476190503</v>
      </c>
      <c r="AC31">
        <v>39.977324263038497</v>
      </c>
      <c r="AD31">
        <v>39.977324263038497</v>
      </c>
      <c r="AE31">
        <v>37.978458049886598</v>
      </c>
    </row>
    <row r="32" spans="1:31" x14ac:dyDescent="0.3">
      <c r="A32" t="s">
        <v>307</v>
      </c>
      <c r="B32" t="s">
        <v>182</v>
      </c>
      <c r="C32" t="s">
        <v>0</v>
      </c>
      <c r="D32" t="s">
        <v>183</v>
      </c>
      <c r="E32" t="s">
        <v>123</v>
      </c>
      <c r="F32">
        <v>339.36032112264098</v>
      </c>
      <c r="G32">
        <v>364.59157176372901</v>
      </c>
      <c r="H32">
        <v>381.83576772552698</v>
      </c>
      <c r="I32">
        <v>403.51729396861703</v>
      </c>
      <c r="J32">
        <v>427.46490785399499</v>
      </c>
      <c r="K32">
        <v>452.53966501861498</v>
      </c>
      <c r="L32">
        <v>464.32455212847498</v>
      </c>
      <c r="M32">
        <v>485.59132550840502</v>
      </c>
      <c r="N32">
        <v>523.39892262828096</v>
      </c>
      <c r="O32">
        <v>537.57677154823398</v>
      </c>
      <c r="P32">
        <v>550.48800405266797</v>
      </c>
      <c r="Q32">
        <v>545.87175244635603</v>
      </c>
      <c r="R32">
        <v>564.22038278068703</v>
      </c>
      <c r="S32">
        <v>558.56687193118205</v>
      </c>
      <c r="T32">
        <v>632.23612472525497</v>
      </c>
      <c r="U32">
        <v>676.85175486937806</v>
      </c>
      <c r="V32">
        <v>728.91727447471396</v>
      </c>
      <c r="W32">
        <v>731.03314464735502</v>
      </c>
      <c r="X32">
        <v>707.21761727215801</v>
      </c>
      <c r="Y32">
        <v>763.42710997442498</v>
      </c>
      <c r="Z32">
        <v>796</v>
      </c>
      <c r="AA32">
        <v>859</v>
      </c>
      <c r="AB32">
        <v>868.95365005793701</v>
      </c>
      <c r="AC32">
        <v>889.832399086789</v>
      </c>
      <c r="AD32">
        <v>955.85540101238701</v>
      </c>
      <c r="AE32">
        <v>997.83883537758902</v>
      </c>
    </row>
    <row r="33" spans="1:31" x14ac:dyDescent="0.3">
      <c r="A33" t="s">
        <v>307</v>
      </c>
      <c r="B33" t="s">
        <v>184</v>
      </c>
      <c r="C33" t="s">
        <v>0</v>
      </c>
      <c r="D33" t="s">
        <v>185</v>
      </c>
      <c r="E33" t="s">
        <v>123</v>
      </c>
      <c r="F33">
        <v>130.06947030041999</v>
      </c>
      <c r="G33">
        <v>125.161188402291</v>
      </c>
      <c r="H33">
        <v>131.121244992876</v>
      </c>
      <c r="I33">
        <v>138.145597403208</v>
      </c>
      <c r="J33">
        <v>149.85285142043</v>
      </c>
      <c r="K33">
        <v>161.560105437651</v>
      </c>
      <c r="L33">
        <v>168.533922938556</v>
      </c>
      <c r="M33">
        <v>178.99464918991501</v>
      </c>
      <c r="N33">
        <v>178.99464918991501</v>
      </c>
      <c r="O33">
        <v>163.785953507112</v>
      </c>
      <c r="P33">
        <v>147.40735815640099</v>
      </c>
      <c r="Q33">
        <v>132.31841598291101</v>
      </c>
      <c r="R33">
        <v>119.55084952841899</v>
      </c>
      <c r="S33">
        <v>107.02647481591799</v>
      </c>
      <c r="T33">
        <v>98.199549057904406</v>
      </c>
      <c r="U33">
        <v>91.652912454044099</v>
      </c>
      <c r="V33">
        <v>81.832957548253702</v>
      </c>
      <c r="W33">
        <v>72.26806640625</v>
      </c>
      <c r="X33">
        <v>67.03125</v>
      </c>
      <c r="Y33">
        <v>64.96875</v>
      </c>
      <c r="Z33">
        <v>66</v>
      </c>
      <c r="AA33">
        <v>68</v>
      </c>
      <c r="AB33">
        <v>70.029850746268707</v>
      </c>
      <c r="AC33">
        <v>73.074626865671604</v>
      </c>
      <c r="AD33">
        <v>74.089552238805993</v>
      </c>
      <c r="AE33">
        <v>75.118573797678295</v>
      </c>
    </row>
    <row r="34" spans="1:31" x14ac:dyDescent="0.3">
      <c r="A34" t="s">
        <v>307</v>
      </c>
      <c r="B34" t="s">
        <v>186</v>
      </c>
      <c r="C34" t="s">
        <v>0</v>
      </c>
      <c r="D34" t="s">
        <v>187</v>
      </c>
      <c r="E34" t="s">
        <v>123</v>
      </c>
      <c r="F34">
        <v>564.60334324098801</v>
      </c>
      <c r="G34">
        <v>549.547254087895</v>
      </c>
      <c r="H34">
        <v>558.11480593336398</v>
      </c>
      <c r="I34">
        <v>586.67505186598805</v>
      </c>
      <c r="J34">
        <v>594.98826110295499</v>
      </c>
      <c r="K34">
        <v>604.54630545802297</v>
      </c>
      <c r="L34">
        <v>606.92173298438001</v>
      </c>
      <c r="M34">
        <v>609.29716051073797</v>
      </c>
      <c r="N34">
        <v>620.02842165476295</v>
      </c>
      <c r="O34">
        <v>618.83605930542706</v>
      </c>
      <c r="P34">
        <v>631.92682209842599</v>
      </c>
      <c r="Q34">
        <v>660.16936163355103</v>
      </c>
      <c r="R34">
        <v>679.96279928393994</v>
      </c>
      <c r="S34">
        <v>707.43604369945297</v>
      </c>
      <c r="T34">
        <v>708.54836452287998</v>
      </c>
      <c r="U34">
        <v>687.67639719584895</v>
      </c>
      <c r="V34">
        <v>693.14282324669</v>
      </c>
      <c r="W34">
        <v>705.91964948165196</v>
      </c>
      <c r="X34">
        <v>698.62062799513603</v>
      </c>
      <c r="Y34">
        <v>701.707317073171</v>
      </c>
      <c r="Z34">
        <v>714</v>
      </c>
      <c r="AA34">
        <v>756</v>
      </c>
      <c r="AB34">
        <v>776.94459102902397</v>
      </c>
      <c r="AC34">
        <v>838.38663776856401</v>
      </c>
      <c r="AD34">
        <v>892.25493809247803</v>
      </c>
      <c r="AE34">
        <v>923.63093591551103</v>
      </c>
    </row>
    <row r="35" spans="1:31" x14ac:dyDescent="0.3">
      <c r="A35" t="s">
        <v>307</v>
      </c>
      <c r="B35" t="s">
        <v>188</v>
      </c>
      <c r="C35" t="s">
        <v>0</v>
      </c>
      <c r="D35" t="s">
        <v>189</v>
      </c>
      <c r="E35" t="s">
        <v>123</v>
      </c>
      <c r="F35">
        <v>1951.0802415077601</v>
      </c>
      <c r="G35">
        <v>1938.07303989771</v>
      </c>
      <c r="H35">
        <v>2003.7704310806801</v>
      </c>
      <c r="I35">
        <v>2044.41236361028</v>
      </c>
      <c r="J35">
        <v>2061.5204168622499</v>
      </c>
      <c r="K35">
        <v>2196.6821216890098</v>
      </c>
      <c r="L35">
        <v>2376.2474177398899</v>
      </c>
      <c r="M35">
        <v>2487.2981764583901</v>
      </c>
      <c r="N35">
        <v>2395.3087626316301</v>
      </c>
      <c r="O35">
        <v>2315.2260844398602</v>
      </c>
      <c r="P35">
        <v>2228.4645319942201</v>
      </c>
      <c r="Q35">
        <v>2119.32961810508</v>
      </c>
      <c r="R35">
        <v>2018.40916010008</v>
      </c>
      <c r="S35">
        <v>1975.2710565658799</v>
      </c>
      <c r="T35">
        <v>1914.6799198614101</v>
      </c>
      <c r="U35">
        <v>1890.76001172004</v>
      </c>
      <c r="V35">
        <v>1904.8297771192099</v>
      </c>
      <c r="W35">
        <v>1963.95974802757</v>
      </c>
      <c r="X35">
        <v>1967.0623700623701</v>
      </c>
      <c r="Y35">
        <v>1964</v>
      </c>
      <c r="Z35">
        <v>1964</v>
      </c>
      <c r="AA35">
        <v>1985</v>
      </c>
      <c r="AB35">
        <v>1968.1190595297601</v>
      </c>
      <c r="AC35">
        <v>1999.6720705041901</v>
      </c>
      <c r="AD35">
        <v>2005.55345894685</v>
      </c>
      <c r="AE35">
        <v>2089.1591695944599</v>
      </c>
    </row>
    <row r="36" spans="1:31" x14ac:dyDescent="0.3">
      <c r="A36" t="s">
        <v>307</v>
      </c>
      <c r="B36" t="s">
        <v>190</v>
      </c>
      <c r="C36" t="s">
        <v>0</v>
      </c>
      <c r="D36" t="s">
        <v>191</v>
      </c>
      <c r="E36" t="s">
        <v>123</v>
      </c>
      <c r="F36">
        <v>488.49309022153199</v>
      </c>
      <c r="G36">
        <v>475.25805575740202</v>
      </c>
      <c r="H36">
        <v>497.60930095391302</v>
      </c>
      <c r="I36">
        <v>502.216794481264</v>
      </c>
      <c r="J36">
        <v>452.79958129431998</v>
      </c>
      <c r="K36">
        <v>457.40822843217597</v>
      </c>
      <c r="L36">
        <v>459.70100150702399</v>
      </c>
      <c r="M36">
        <v>449.33180598430903</v>
      </c>
      <c r="N36">
        <v>430.80265934578102</v>
      </c>
      <c r="O36">
        <v>404.16701105289701</v>
      </c>
      <c r="P36">
        <v>391.50080842730802</v>
      </c>
      <c r="Q36">
        <v>368.80510938804298</v>
      </c>
      <c r="R36">
        <v>343.91642102443302</v>
      </c>
      <c r="S36">
        <v>323.947080448821</v>
      </c>
      <c r="T36">
        <v>308.829550027876</v>
      </c>
      <c r="U36">
        <v>310.95208989061001</v>
      </c>
      <c r="V36">
        <v>306.73579036667002</v>
      </c>
      <c r="W36">
        <v>318.05825242718402</v>
      </c>
      <c r="X36">
        <v>310.990291262136</v>
      </c>
      <c r="Y36">
        <v>308</v>
      </c>
      <c r="Z36">
        <v>308</v>
      </c>
      <c r="AA36">
        <v>307</v>
      </c>
      <c r="AB36">
        <v>306.009677419355</v>
      </c>
      <c r="AC36">
        <v>293.17701352757501</v>
      </c>
      <c r="AD36">
        <v>270.77478325802701</v>
      </c>
      <c r="AE36">
        <v>246.42453296503899</v>
      </c>
    </row>
    <row r="37" spans="1:31" x14ac:dyDescent="0.3">
      <c r="A37" t="s">
        <v>307</v>
      </c>
      <c r="B37" t="s">
        <v>192</v>
      </c>
      <c r="C37" t="s">
        <v>0</v>
      </c>
      <c r="D37" t="s">
        <v>193</v>
      </c>
      <c r="E37" t="s">
        <v>123</v>
      </c>
      <c r="F37">
        <v>1198.2445039420099</v>
      </c>
      <c r="G37">
        <v>1210.22694898143</v>
      </c>
      <c r="H37">
        <v>1241.12636044479</v>
      </c>
      <c r="I37">
        <v>1253.63771488476</v>
      </c>
      <c r="J37">
        <v>1283.4271259315201</v>
      </c>
      <c r="K37">
        <v>1369.7286617770601</v>
      </c>
      <c r="L37">
        <v>1456.7723190126801</v>
      </c>
      <c r="M37">
        <v>1555.4142101431801</v>
      </c>
      <c r="N37">
        <v>1476.08087330435</v>
      </c>
      <c r="O37">
        <v>1439.9908764020399</v>
      </c>
      <c r="P37">
        <v>1368.2305337242001</v>
      </c>
      <c r="Q37">
        <v>1293.72878469686</v>
      </c>
      <c r="R37">
        <v>1228.3417703078501</v>
      </c>
      <c r="S37">
        <v>1230.62069752549</v>
      </c>
      <c r="T37">
        <v>1229.51601108247</v>
      </c>
      <c r="U37">
        <v>1220.7883020419599</v>
      </c>
      <c r="V37">
        <v>1246.8549561780801</v>
      </c>
      <c r="W37">
        <v>1257.4484562305699</v>
      </c>
      <c r="X37">
        <v>1252.26096259926</v>
      </c>
      <c r="Y37">
        <v>1251.23703703704</v>
      </c>
      <c r="Z37">
        <v>1239</v>
      </c>
      <c r="AA37">
        <v>1270</v>
      </c>
      <c r="AB37">
        <v>1284.9061032863899</v>
      </c>
      <c r="AC37">
        <v>1309.5400393156499</v>
      </c>
      <c r="AD37">
        <v>1335.0441898940801</v>
      </c>
      <c r="AE37">
        <v>1428.6450740564001</v>
      </c>
    </row>
    <row r="38" spans="1:31" x14ac:dyDescent="0.3">
      <c r="A38" t="s">
        <v>307</v>
      </c>
      <c r="B38" t="s">
        <v>194</v>
      </c>
      <c r="C38" t="s">
        <v>0</v>
      </c>
      <c r="D38" t="s">
        <v>195</v>
      </c>
      <c r="E38" t="s">
        <v>123</v>
      </c>
      <c r="F38">
        <v>253.890380395714</v>
      </c>
      <c r="G38">
        <v>243.420673987643</v>
      </c>
      <c r="H38">
        <v>254.95112696600501</v>
      </c>
      <c r="I38">
        <v>278.81354771651797</v>
      </c>
      <c r="J38">
        <v>319.52526043618599</v>
      </c>
      <c r="K38">
        <v>365.17172621278399</v>
      </c>
      <c r="L38">
        <v>456.765954569786</v>
      </c>
      <c r="M38">
        <v>480.80626796819598</v>
      </c>
      <c r="N38">
        <v>486.816346317799</v>
      </c>
      <c r="O38">
        <v>469.98812693891199</v>
      </c>
      <c r="P38">
        <v>467.59632985525297</v>
      </c>
      <c r="Q38">
        <v>455.81808477073798</v>
      </c>
      <c r="R38">
        <v>445.37950267675097</v>
      </c>
      <c r="S38">
        <v>420.25553073088298</v>
      </c>
      <c r="T38">
        <v>375.901385007307</v>
      </c>
      <c r="U38">
        <v>358.366626523001</v>
      </c>
      <c r="V38">
        <v>350.71855827403499</v>
      </c>
      <c r="W38">
        <v>388.02904319680499</v>
      </c>
      <c r="X38">
        <v>403.67537558377302</v>
      </c>
      <c r="Y38">
        <v>404.70515970515999</v>
      </c>
      <c r="Z38">
        <v>417</v>
      </c>
      <c r="AA38">
        <v>408</v>
      </c>
      <c r="AB38">
        <v>377.22627737226298</v>
      </c>
      <c r="AC38">
        <v>396.976344250392</v>
      </c>
      <c r="AD38">
        <v>399.92418839086503</v>
      </c>
      <c r="AE38">
        <v>414.69971259249797</v>
      </c>
    </row>
    <row r="39" spans="1:31" x14ac:dyDescent="0.3">
      <c r="A39" t="s">
        <v>307</v>
      </c>
      <c r="B39" t="s">
        <v>196</v>
      </c>
      <c r="C39" t="s">
        <v>0</v>
      </c>
      <c r="D39" t="s">
        <v>197</v>
      </c>
      <c r="E39" t="s">
        <v>123</v>
      </c>
      <c r="F39">
        <v>759.68443912642397</v>
      </c>
      <c r="G39">
        <v>668.284905044026</v>
      </c>
      <c r="H39">
        <v>555.74387068765304</v>
      </c>
      <c r="I39">
        <v>465.01017751415901</v>
      </c>
      <c r="J39">
        <v>392.59983357034798</v>
      </c>
      <c r="K39">
        <v>323.38425597557602</v>
      </c>
      <c r="L39">
        <v>257.135397980579</v>
      </c>
      <c r="M39">
        <v>312.15563597642398</v>
      </c>
      <c r="N39">
        <v>250.17527504247701</v>
      </c>
      <c r="O39">
        <v>192.702576721908</v>
      </c>
      <c r="P39">
        <v>156.85093454108801</v>
      </c>
      <c r="Q39">
        <v>178.942615462368</v>
      </c>
      <c r="R39">
        <v>175.628863324176</v>
      </c>
      <c r="S39">
        <v>182.09372945880801</v>
      </c>
      <c r="T39">
        <v>171.568080357143</v>
      </c>
      <c r="U39">
        <v>91.502976190476204</v>
      </c>
      <c r="V39">
        <v>43.671875</v>
      </c>
      <c r="W39">
        <v>57.890625</v>
      </c>
      <c r="X39">
        <v>65</v>
      </c>
      <c r="Y39">
        <v>63</v>
      </c>
      <c r="Z39">
        <v>55</v>
      </c>
      <c r="AA39">
        <v>58</v>
      </c>
      <c r="AB39">
        <v>90</v>
      </c>
      <c r="AC39">
        <v>103.846153846154</v>
      </c>
      <c r="AD39">
        <v>135.79881656804699</v>
      </c>
      <c r="AE39">
        <v>150.88757396449699</v>
      </c>
    </row>
    <row r="40" spans="1:31" x14ac:dyDescent="0.3">
      <c r="A40" t="s">
        <v>307</v>
      </c>
      <c r="B40" t="s">
        <v>198</v>
      </c>
      <c r="C40" t="s">
        <v>0</v>
      </c>
      <c r="D40" t="s">
        <v>199</v>
      </c>
      <c r="E40" t="s">
        <v>123</v>
      </c>
      <c r="F40">
        <v>344.564212761514</v>
      </c>
      <c r="G40">
        <v>319.32141329180598</v>
      </c>
      <c r="H40">
        <v>303.29369756673401</v>
      </c>
      <c r="I40">
        <v>274.40858351276</v>
      </c>
      <c r="J40">
        <v>251.54120155336301</v>
      </c>
      <c r="K40">
        <v>264.78021216143497</v>
      </c>
      <c r="L40">
        <v>261.23404860570099</v>
      </c>
      <c r="M40">
        <v>282.60774349162199</v>
      </c>
      <c r="N40">
        <v>340.79169068107399</v>
      </c>
      <c r="O40">
        <v>359.85696008980602</v>
      </c>
      <c r="P40">
        <v>410.75778010250798</v>
      </c>
      <c r="Q40">
        <v>459.908283704518</v>
      </c>
      <c r="R40">
        <v>471.49287523359902</v>
      </c>
      <c r="S40">
        <v>553.69018035906902</v>
      </c>
      <c r="T40">
        <v>614.596100198567</v>
      </c>
      <c r="U40">
        <v>590.53717812673699</v>
      </c>
      <c r="V40">
        <v>567.65658635429804</v>
      </c>
      <c r="W40">
        <v>551.711176625245</v>
      </c>
      <c r="X40">
        <v>548.58237978238003</v>
      </c>
      <c r="Y40">
        <v>553.71891891891903</v>
      </c>
      <c r="Z40">
        <v>567</v>
      </c>
      <c r="AA40">
        <v>592</v>
      </c>
      <c r="AB40">
        <v>636.77310924369704</v>
      </c>
      <c r="AC40">
        <v>791.26238613641397</v>
      </c>
      <c r="AD40">
        <v>891.40963049703805</v>
      </c>
      <c r="AE40">
        <v>951.16893533482801</v>
      </c>
    </row>
    <row r="41" spans="1:31" x14ac:dyDescent="0.3">
      <c r="A41" t="s">
        <v>307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307</v>
      </c>
      <c r="B42" t="s">
        <v>202</v>
      </c>
      <c r="C42" t="s">
        <v>0</v>
      </c>
      <c r="D42" t="s">
        <v>203</v>
      </c>
      <c r="E42" t="s">
        <v>123</v>
      </c>
      <c r="F42">
        <v>684.12147958097205</v>
      </c>
      <c r="G42">
        <v>709.86798687703003</v>
      </c>
      <c r="H42">
        <v>749.43833074010797</v>
      </c>
      <c r="I42">
        <v>795.10722901958297</v>
      </c>
      <c r="J42">
        <v>836.09213773193301</v>
      </c>
      <c r="K42">
        <v>878.42591685759999</v>
      </c>
      <c r="L42">
        <v>908.87801530866398</v>
      </c>
      <c r="M42">
        <v>960.54549938305797</v>
      </c>
      <c r="N42">
        <v>984.08828123068201</v>
      </c>
      <c r="O42">
        <v>1012.37345338582</v>
      </c>
      <c r="P42">
        <v>1017.07124203262</v>
      </c>
      <c r="Q42">
        <v>995.08676694886299</v>
      </c>
      <c r="R42">
        <v>1066.65913301711</v>
      </c>
      <c r="S42">
        <v>1066.65913301711</v>
      </c>
      <c r="T42">
        <v>1003.9791633449699</v>
      </c>
      <c r="U42">
        <v>1001.8060482728</v>
      </c>
      <c r="V42">
        <v>1028.8818874153001</v>
      </c>
      <c r="W42">
        <v>1064.79768225321</v>
      </c>
      <c r="X42">
        <v>1064.79768225321</v>
      </c>
      <c r="Y42">
        <v>1078.0566572237999</v>
      </c>
      <c r="Z42">
        <v>1074</v>
      </c>
      <c r="AA42">
        <v>1071</v>
      </c>
      <c r="AB42">
        <v>1078.00654205607</v>
      </c>
      <c r="AC42">
        <v>1116.7909102665801</v>
      </c>
      <c r="AD42">
        <v>1188.2655285236399</v>
      </c>
      <c r="AE42">
        <v>1237.6087580979299</v>
      </c>
    </row>
    <row r="43" spans="1:31" x14ac:dyDescent="0.3">
      <c r="A43" t="s">
        <v>307</v>
      </c>
      <c r="B43" t="s">
        <v>204</v>
      </c>
      <c r="C43" t="s">
        <v>0</v>
      </c>
      <c r="D43" t="s">
        <v>205</v>
      </c>
      <c r="E43" t="s">
        <v>123</v>
      </c>
      <c r="F43">
        <v>1159.25639872735</v>
      </c>
      <c r="G43">
        <v>1227.0796803810599</v>
      </c>
      <c r="H43">
        <v>1264.8202856795599</v>
      </c>
      <c r="I43">
        <v>1326.5188362005199</v>
      </c>
      <c r="J43">
        <v>1386.99540496601</v>
      </c>
      <c r="K43">
        <v>1492.3871705046499</v>
      </c>
      <c r="L43">
        <v>1547.03796829778</v>
      </c>
      <c r="M43">
        <v>1705.8248565394799</v>
      </c>
      <c r="N43">
        <v>1816.8688568959301</v>
      </c>
      <c r="O43">
        <v>1894.88664775809</v>
      </c>
      <c r="P43">
        <v>1959.6188003212501</v>
      </c>
      <c r="Q43">
        <v>1984.0123953459999</v>
      </c>
      <c r="R43">
        <v>2114.5851388952701</v>
      </c>
      <c r="S43">
        <v>2248.3765846806</v>
      </c>
      <c r="T43">
        <v>2175.7773407525601</v>
      </c>
      <c r="U43">
        <v>2138.8260772232902</v>
      </c>
      <c r="V43">
        <v>2190.8076730241601</v>
      </c>
      <c r="W43">
        <v>2258.4121528088999</v>
      </c>
      <c r="X43">
        <v>2268.7813546124298</v>
      </c>
      <c r="Y43">
        <v>2340.1908396946601</v>
      </c>
      <c r="Z43">
        <v>2261</v>
      </c>
      <c r="AA43">
        <v>2292</v>
      </c>
      <c r="AB43">
        <v>2318.0113487560002</v>
      </c>
      <c r="AC43">
        <v>2442.31483163653</v>
      </c>
      <c r="AD43">
        <v>2621.4311138594599</v>
      </c>
      <c r="AE43">
        <v>2722.21700746426</v>
      </c>
    </row>
    <row r="44" spans="1:31" x14ac:dyDescent="0.3">
      <c r="A44" t="s">
        <v>307</v>
      </c>
      <c r="B44" t="s">
        <v>206</v>
      </c>
      <c r="C44" t="s">
        <v>0</v>
      </c>
      <c r="D44" t="s">
        <v>207</v>
      </c>
      <c r="E44" t="s">
        <v>123</v>
      </c>
      <c r="F44">
        <v>49816.8840266728</v>
      </c>
      <c r="G44">
        <v>49751.855588347797</v>
      </c>
      <c r="H44">
        <v>50171.0883374107</v>
      </c>
      <c r="I44">
        <v>50608.559965869099</v>
      </c>
      <c r="J44">
        <v>50538.6819370632</v>
      </c>
      <c r="K44">
        <v>50846.109510869202</v>
      </c>
      <c r="L44">
        <v>51934.135129684699</v>
      </c>
      <c r="M44">
        <v>52424.259803353998</v>
      </c>
      <c r="N44">
        <v>52457.732525277097</v>
      </c>
      <c r="O44">
        <v>52030.283184650703</v>
      </c>
      <c r="P44">
        <v>51697.395896201298</v>
      </c>
      <c r="Q44">
        <v>51022.745933896404</v>
      </c>
      <c r="R44">
        <v>51505.335246834897</v>
      </c>
      <c r="S44">
        <v>52040.899573516603</v>
      </c>
      <c r="T44">
        <v>51656.320077400902</v>
      </c>
      <c r="U44">
        <v>50372.851897750697</v>
      </c>
      <c r="V44">
        <v>49903.256040611603</v>
      </c>
      <c r="W44">
        <v>49976.432635379497</v>
      </c>
      <c r="X44">
        <v>49527.514520508601</v>
      </c>
      <c r="Y44">
        <v>49498.823708331598</v>
      </c>
      <c r="Z44">
        <v>49612</v>
      </c>
      <c r="AA44">
        <v>50683</v>
      </c>
      <c r="AB44">
        <v>52468.322878701299</v>
      </c>
      <c r="AC44">
        <v>53666.035118869702</v>
      </c>
      <c r="AD44">
        <v>54528.722784956801</v>
      </c>
      <c r="AE44">
        <v>55430.088068012701</v>
      </c>
    </row>
    <row r="45" spans="1:31" x14ac:dyDescent="0.3">
      <c r="A45" t="s">
        <v>307</v>
      </c>
      <c r="B45" t="s">
        <v>208</v>
      </c>
      <c r="C45" t="s">
        <v>0</v>
      </c>
      <c r="D45" t="s">
        <v>209</v>
      </c>
      <c r="E45" t="s">
        <v>123</v>
      </c>
      <c r="F45">
        <v>49131.062388549297</v>
      </c>
      <c r="G45">
        <v>49120.686514123903</v>
      </c>
      <c r="H45">
        <v>49480.484906694401</v>
      </c>
      <c r="I45">
        <v>49836.256622731897</v>
      </c>
      <c r="J45">
        <v>49644.035927819503</v>
      </c>
      <c r="K45">
        <v>49862.625127110303</v>
      </c>
      <c r="L45">
        <v>50861.868919803601</v>
      </c>
      <c r="M45">
        <v>51229.920628899199</v>
      </c>
      <c r="N45">
        <v>51132.628101855502</v>
      </c>
      <c r="O45">
        <v>50586.912096348999</v>
      </c>
      <c r="P45">
        <v>50169.675870739899</v>
      </c>
      <c r="Q45">
        <v>49381.043772841898</v>
      </c>
      <c r="R45">
        <v>49711.238593334703</v>
      </c>
      <c r="S45">
        <v>50194.303364576001</v>
      </c>
      <c r="T45">
        <v>49767.794876260101</v>
      </c>
      <c r="U45">
        <v>48475.833440282797</v>
      </c>
      <c r="V45">
        <v>47961.774853222101</v>
      </c>
      <c r="W45">
        <v>48021.153169755999</v>
      </c>
      <c r="X45">
        <v>47558.7919001091</v>
      </c>
      <c r="Y45">
        <v>47533.171968254603</v>
      </c>
      <c r="Z45">
        <v>47678</v>
      </c>
      <c r="AA45">
        <v>48817</v>
      </c>
      <c r="AB45">
        <v>50636.279484557199</v>
      </c>
      <c r="AC45">
        <v>51785.661543362497</v>
      </c>
      <c r="AD45">
        <v>52631.938236954898</v>
      </c>
      <c r="AE45">
        <v>53614.507132941697</v>
      </c>
    </row>
    <row r="46" spans="1:31" x14ac:dyDescent="0.3">
      <c r="A46" t="s">
        <v>307</v>
      </c>
      <c r="B46" t="s">
        <v>210</v>
      </c>
      <c r="C46" t="s">
        <v>0</v>
      </c>
      <c r="D46" t="s">
        <v>211</v>
      </c>
      <c r="E46" t="s">
        <v>123</v>
      </c>
      <c r="F46">
        <v>477.72114827259401</v>
      </c>
      <c r="G46">
        <v>515.73151088379495</v>
      </c>
      <c r="H46">
        <v>519.107821920677</v>
      </c>
      <c r="I46">
        <v>538.02934316342805</v>
      </c>
      <c r="J46">
        <v>559.25660101206097</v>
      </c>
      <c r="K46">
        <v>616.49046368873405</v>
      </c>
      <c r="L46">
        <v>640.41397421993804</v>
      </c>
      <c r="M46">
        <v>744.61692595741999</v>
      </c>
      <c r="N46">
        <v>832.35841086323103</v>
      </c>
      <c r="O46">
        <v>882.15763202598805</v>
      </c>
      <c r="P46">
        <v>942.30474330048696</v>
      </c>
      <c r="Q46">
        <v>988.95349296882796</v>
      </c>
      <c r="R46">
        <v>1047.9437013213501</v>
      </c>
      <c r="S46">
        <v>1181.7720094987601</v>
      </c>
      <c r="T46">
        <v>1171.8688921007199</v>
      </c>
      <c r="U46">
        <v>1137.0824314817801</v>
      </c>
      <c r="V46">
        <v>1161.98995140947</v>
      </c>
      <c r="W46">
        <v>1193.6805864479099</v>
      </c>
      <c r="X46">
        <v>1204.0423970941599</v>
      </c>
      <c r="Y46">
        <v>1262.2037671232899</v>
      </c>
      <c r="Z46">
        <v>1187</v>
      </c>
      <c r="AA46">
        <v>1221</v>
      </c>
      <c r="AB46">
        <v>1240</v>
      </c>
      <c r="AC46">
        <v>1325.51724137931</v>
      </c>
      <c r="AD46">
        <v>1433.09831309215</v>
      </c>
      <c r="AE46">
        <v>1484.5987362302201</v>
      </c>
    </row>
    <row r="47" spans="1:31" x14ac:dyDescent="0.3">
      <c r="A47" t="s">
        <v>307</v>
      </c>
      <c r="B47" t="s">
        <v>212</v>
      </c>
      <c r="C47" t="s">
        <v>0</v>
      </c>
      <c r="D47" t="s">
        <v>213</v>
      </c>
      <c r="E47" t="s">
        <v>123</v>
      </c>
      <c r="F47">
        <v>6561.2148998332996</v>
      </c>
      <c r="G47">
        <v>6782.5707658311403</v>
      </c>
      <c r="H47">
        <v>7030.9404325263604</v>
      </c>
      <c r="I47">
        <v>7407.2383148642002</v>
      </c>
      <c r="J47">
        <v>7629.64341227977</v>
      </c>
      <c r="K47">
        <v>7778.8177030290299</v>
      </c>
      <c r="L47">
        <v>7734.1176927203896</v>
      </c>
      <c r="M47">
        <v>7793.4697888693499</v>
      </c>
      <c r="N47">
        <v>7945.5318297305203</v>
      </c>
      <c r="O47">
        <v>8133.0873021061298</v>
      </c>
      <c r="P47">
        <v>8402.0781359990997</v>
      </c>
      <c r="Q47">
        <v>8382.9471768165204</v>
      </c>
      <c r="R47">
        <v>8400.9492108397499</v>
      </c>
      <c r="S47">
        <v>8580.69151475115</v>
      </c>
      <c r="T47">
        <v>8612.4928863478399</v>
      </c>
      <c r="U47">
        <v>8527.4899956416793</v>
      </c>
      <c r="V47">
        <v>8508.2864812787393</v>
      </c>
      <c r="W47">
        <v>8700.3595120093596</v>
      </c>
      <c r="X47">
        <v>8844.5940999852592</v>
      </c>
      <c r="Y47">
        <v>8893.5769230769201</v>
      </c>
      <c r="Z47">
        <v>8781</v>
      </c>
      <c r="AA47">
        <v>8735</v>
      </c>
      <c r="AB47">
        <v>8902.31045490822</v>
      </c>
      <c r="AC47">
        <v>9018.3240796825903</v>
      </c>
      <c r="AD47">
        <v>9227.2427842312209</v>
      </c>
      <c r="AE47">
        <v>9628.2151657409504</v>
      </c>
    </row>
    <row r="48" spans="1:31" x14ac:dyDescent="0.3">
      <c r="A48" t="s">
        <v>307</v>
      </c>
      <c r="B48" t="s">
        <v>214</v>
      </c>
      <c r="C48" t="s">
        <v>0</v>
      </c>
      <c r="D48" t="s">
        <v>215</v>
      </c>
      <c r="E48" t="s">
        <v>123</v>
      </c>
      <c r="F48">
        <v>8223.7132566032797</v>
      </c>
      <c r="G48">
        <v>8478.8642645647196</v>
      </c>
      <c r="H48">
        <v>8788.9713906729903</v>
      </c>
      <c r="I48">
        <v>9214.1918457431002</v>
      </c>
      <c r="J48">
        <v>9485.5116612797101</v>
      </c>
      <c r="K48">
        <v>9722.3308619587697</v>
      </c>
      <c r="L48">
        <v>9776.5930928079506</v>
      </c>
      <c r="M48">
        <v>9980.4319354558902</v>
      </c>
      <c r="N48">
        <v>10231.4242859109</v>
      </c>
      <c r="O48">
        <v>10463.0245526988</v>
      </c>
      <c r="P48">
        <v>10777.8538369574</v>
      </c>
      <c r="Q48">
        <v>10828.7933527839</v>
      </c>
      <c r="R48">
        <v>10926.104153324</v>
      </c>
      <c r="S48">
        <v>11131.246402995201</v>
      </c>
      <c r="T48">
        <v>11195.3353974367</v>
      </c>
      <c r="U48">
        <v>11124.8259372709</v>
      </c>
      <c r="V48">
        <v>11167.2147255609</v>
      </c>
      <c r="W48">
        <v>11436.225823369499</v>
      </c>
      <c r="X48">
        <v>11620.749892334499</v>
      </c>
      <c r="Y48">
        <v>11688.140975436099</v>
      </c>
      <c r="Z48">
        <v>11624</v>
      </c>
      <c r="AA48">
        <v>11645</v>
      </c>
      <c r="AB48">
        <v>11859.7418303457</v>
      </c>
      <c r="AC48">
        <v>12011.904555716101</v>
      </c>
      <c r="AD48">
        <v>12316.9877889539</v>
      </c>
      <c r="AE48">
        <v>12818.2776917842</v>
      </c>
    </row>
    <row r="49" spans="1:31" x14ac:dyDescent="0.3">
      <c r="A49" t="s">
        <v>307</v>
      </c>
      <c r="B49" t="s">
        <v>216</v>
      </c>
      <c r="C49" t="s">
        <v>0</v>
      </c>
      <c r="D49" t="s">
        <v>217</v>
      </c>
      <c r="E49" t="s">
        <v>123</v>
      </c>
      <c r="F49">
        <v>1041.3333563966</v>
      </c>
      <c r="G49">
        <v>1067.2126469105999</v>
      </c>
      <c r="H49">
        <v>1108.12045975723</v>
      </c>
      <c r="I49">
        <v>1141.02329419329</v>
      </c>
      <c r="J49">
        <v>1173.8247851967899</v>
      </c>
      <c r="K49">
        <v>1223.1747761660199</v>
      </c>
      <c r="L49">
        <v>1286.14087522509</v>
      </c>
      <c r="M49">
        <v>1370.2481804169299</v>
      </c>
      <c r="N49">
        <v>1425.4338397824799</v>
      </c>
      <c r="O49">
        <v>1453.6602524514401</v>
      </c>
      <c r="P49">
        <v>1450.1433324858299</v>
      </c>
      <c r="Q49">
        <v>1433.9406136871</v>
      </c>
      <c r="R49">
        <v>1415.5272510715399</v>
      </c>
      <c r="S49">
        <v>1381.6629627683899</v>
      </c>
      <c r="T49">
        <v>1377.2871497430001</v>
      </c>
      <c r="U49">
        <v>1344.8803932784599</v>
      </c>
      <c r="V49">
        <v>1352.41172348081</v>
      </c>
      <c r="W49">
        <v>1349.2641399506001</v>
      </c>
      <c r="X49">
        <v>1330.52436022907</v>
      </c>
      <c r="Y49">
        <v>1314.19890795632</v>
      </c>
      <c r="Z49">
        <v>1299</v>
      </c>
      <c r="AA49">
        <v>1309</v>
      </c>
      <c r="AB49">
        <v>1324.08064516129</v>
      </c>
      <c r="AC49">
        <v>1306.0795487769201</v>
      </c>
      <c r="AD49">
        <v>1342.3036348755099</v>
      </c>
      <c r="AE49">
        <v>1376.7216767954001</v>
      </c>
    </row>
    <row r="50" spans="1:31" x14ac:dyDescent="0.3">
      <c r="A50" t="s">
        <v>307</v>
      </c>
      <c r="B50" t="s">
        <v>218</v>
      </c>
      <c r="C50" t="s">
        <v>0</v>
      </c>
      <c r="D50" t="s">
        <v>219</v>
      </c>
      <c r="E50" t="s">
        <v>123</v>
      </c>
      <c r="F50">
        <v>613.60053627169896</v>
      </c>
      <c r="G50">
        <v>619.76118422623404</v>
      </c>
      <c r="H50">
        <v>640.21932040457602</v>
      </c>
      <c r="I50">
        <v>651.92351273372697</v>
      </c>
      <c r="J50">
        <v>667.11169493003297</v>
      </c>
      <c r="K50">
        <v>710.56791449413697</v>
      </c>
      <c r="L50">
        <v>759.412190122212</v>
      </c>
      <c r="M50">
        <v>828.02676779022204</v>
      </c>
      <c r="N50">
        <v>872.46888244562899</v>
      </c>
      <c r="O50">
        <v>888.84229310814806</v>
      </c>
      <c r="P50">
        <v>938.86875724905099</v>
      </c>
      <c r="Q50">
        <v>1022.65533338497</v>
      </c>
      <c r="R50">
        <v>1117.59984420259</v>
      </c>
      <c r="S50">
        <v>1177.13028816514</v>
      </c>
      <c r="T50">
        <v>1213.0316740333899</v>
      </c>
      <c r="U50">
        <v>1258.1577416236501</v>
      </c>
      <c r="V50">
        <v>1309.5986032914</v>
      </c>
      <c r="W50">
        <v>1388.96821561209</v>
      </c>
      <c r="X50">
        <v>1447.91921210493</v>
      </c>
      <c r="Y50">
        <v>1482.4418300653599</v>
      </c>
      <c r="Z50">
        <v>1544</v>
      </c>
      <c r="AA50">
        <v>1601</v>
      </c>
      <c r="AB50">
        <v>1633.3026481715001</v>
      </c>
      <c r="AC50">
        <v>1687.64543498682</v>
      </c>
      <c r="AD50">
        <v>1747.7396344522199</v>
      </c>
      <c r="AE50">
        <v>1812.7671537649901</v>
      </c>
    </row>
    <row r="51" spans="1:31" x14ac:dyDescent="0.3">
      <c r="A51" t="s">
        <v>307</v>
      </c>
      <c r="B51" t="s">
        <v>220</v>
      </c>
      <c r="C51" t="s">
        <v>0</v>
      </c>
      <c r="D51" t="s">
        <v>221</v>
      </c>
      <c r="E51" t="s">
        <v>123</v>
      </c>
      <c r="F51">
        <v>459.619370473831</v>
      </c>
      <c r="G51">
        <v>464.521977092219</v>
      </c>
      <c r="H51">
        <v>487.32796563162998</v>
      </c>
      <c r="I51">
        <v>503.728426013464</v>
      </c>
      <c r="J51">
        <v>521.25957773086998</v>
      </c>
      <c r="K51">
        <v>561.26595615716701</v>
      </c>
      <c r="L51">
        <v>600.85733065787997</v>
      </c>
      <c r="M51">
        <v>660.24439240894901</v>
      </c>
      <c r="N51">
        <v>698.87571324138798</v>
      </c>
      <c r="O51">
        <v>711.75282018553401</v>
      </c>
      <c r="P51">
        <v>756.01895302849698</v>
      </c>
      <c r="Q51">
        <v>826.10581645515094</v>
      </c>
      <c r="R51">
        <v>903.91079639829502</v>
      </c>
      <c r="S51">
        <v>949.94848913410897</v>
      </c>
      <c r="T51">
        <v>974.97576891656502</v>
      </c>
      <c r="U51">
        <v>1008.29908626653</v>
      </c>
      <c r="V51">
        <v>1049.01679644519</v>
      </c>
      <c r="W51">
        <v>1113.7322605044999</v>
      </c>
      <c r="X51">
        <v>1160.31028255162</v>
      </c>
      <c r="Y51">
        <v>1177.58285243199</v>
      </c>
      <c r="Z51">
        <v>1224</v>
      </c>
      <c r="AA51">
        <v>1254</v>
      </c>
      <c r="AB51">
        <v>1287.2652733119</v>
      </c>
      <c r="AC51">
        <v>1328.4979890976699</v>
      </c>
      <c r="AD51">
        <v>1359.4629798210001</v>
      </c>
      <c r="AE51">
        <v>1408.3358235563101</v>
      </c>
    </row>
    <row r="52" spans="1:31" x14ac:dyDescent="0.3">
      <c r="A52" t="s">
        <v>307</v>
      </c>
      <c r="B52" t="s">
        <v>222</v>
      </c>
      <c r="C52" t="s">
        <v>0</v>
      </c>
      <c r="D52" t="s">
        <v>223</v>
      </c>
      <c r="E52" t="s">
        <v>123</v>
      </c>
      <c r="F52">
        <v>153.91777364396</v>
      </c>
      <c r="G52">
        <v>155.16913765732599</v>
      </c>
      <c r="H52">
        <v>152.74461988143</v>
      </c>
      <c r="I52">
        <v>148.08066202245499</v>
      </c>
      <c r="J52">
        <v>145.74868309296801</v>
      </c>
      <c r="K52">
        <v>149.24665148719899</v>
      </c>
      <c r="L52">
        <v>158.50225778097899</v>
      </c>
      <c r="M52">
        <v>167.757864074758</v>
      </c>
      <c r="N52">
        <v>173.58278991068801</v>
      </c>
      <c r="O52">
        <v>177.07774541224501</v>
      </c>
      <c r="P52">
        <v>182.86459983748199</v>
      </c>
      <c r="Q52">
        <v>196.579444825293</v>
      </c>
      <c r="R52">
        <v>213.72300106005699</v>
      </c>
      <c r="S52">
        <v>227.22129586385</v>
      </c>
      <c r="T52">
        <v>238.093128201833</v>
      </c>
      <c r="U52">
        <v>249.89053545507701</v>
      </c>
      <c r="V52">
        <v>260.61545113984403</v>
      </c>
      <c r="W52">
        <v>275.26852871397199</v>
      </c>
      <c r="X52">
        <v>287.640147982016</v>
      </c>
      <c r="Y52">
        <v>304.85804416403801</v>
      </c>
      <c r="Z52">
        <v>320</v>
      </c>
      <c r="AA52">
        <v>347</v>
      </c>
      <c r="AB52">
        <v>345.98538011695899</v>
      </c>
      <c r="AC52">
        <v>359.09852863451101</v>
      </c>
      <c r="AD52">
        <v>388.433338015922</v>
      </c>
      <c r="AE52">
        <v>404.61806043325203</v>
      </c>
    </row>
    <row r="53" spans="1:31" x14ac:dyDescent="0.3">
      <c r="A53" t="s">
        <v>307</v>
      </c>
      <c r="B53" t="s">
        <v>224</v>
      </c>
      <c r="C53" t="s">
        <v>0</v>
      </c>
      <c r="D53" t="s">
        <v>225</v>
      </c>
      <c r="E53" t="s">
        <v>123</v>
      </c>
      <c r="F53">
        <v>301.87290507944698</v>
      </c>
      <c r="G53">
        <v>308.00853323146799</v>
      </c>
      <c r="H53">
        <v>339.048152859445</v>
      </c>
      <c r="I53">
        <v>348.36906427826102</v>
      </c>
      <c r="J53">
        <v>283.77082719355099</v>
      </c>
      <c r="K53">
        <v>302.37875028820997</v>
      </c>
      <c r="L53">
        <v>320.84462816840602</v>
      </c>
      <c r="M53">
        <v>326.615215005967</v>
      </c>
      <c r="N53">
        <v>332.40626491742</v>
      </c>
      <c r="O53">
        <v>344.02886159285498</v>
      </c>
      <c r="P53">
        <v>348.66224693417303</v>
      </c>
      <c r="Q53">
        <v>359.01855129855397</v>
      </c>
      <c r="R53">
        <v>369.34176842854401</v>
      </c>
      <c r="S53">
        <v>371.580203388717</v>
      </c>
      <c r="T53">
        <v>374.83967885703902</v>
      </c>
      <c r="U53">
        <v>370.55579681295899</v>
      </c>
      <c r="V53">
        <v>379.09886993832998</v>
      </c>
      <c r="W53">
        <v>398.99632443785498</v>
      </c>
      <c r="X53">
        <v>413.50528169014098</v>
      </c>
      <c r="Y53">
        <v>433.875</v>
      </c>
      <c r="Z53">
        <v>445</v>
      </c>
      <c r="AA53">
        <v>489</v>
      </c>
      <c r="AB53">
        <v>518.87780040733196</v>
      </c>
      <c r="AC53">
        <v>565.50735417242697</v>
      </c>
      <c r="AD53">
        <v>603.34059265579299</v>
      </c>
      <c r="AE53">
        <v>626.23965805362104</v>
      </c>
    </row>
    <row r="54" spans="1:31" x14ac:dyDescent="0.3">
      <c r="A54" t="s">
        <v>307</v>
      </c>
      <c r="B54" t="s">
        <v>226</v>
      </c>
      <c r="C54" t="s">
        <v>0</v>
      </c>
      <c r="D54" t="s">
        <v>227</v>
      </c>
      <c r="E54" t="s">
        <v>123</v>
      </c>
      <c r="F54">
        <v>638.02653967079402</v>
      </c>
      <c r="G54">
        <v>647.78602784931502</v>
      </c>
      <c r="H54">
        <v>693.11912003766497</v>
      </c>
      <c r="I54">
        <v>714.01718395839805</v>
      </c>
      <c r="J54">
        <v>658.55953860240595</v>
      </c>
      <c r="K54">
        <v>686.53374909171202</v>
      </c>
      <c r="L54">
        <v>717.79245267598901</v>
      </c>
      <c r="M54">
        <v>730.56869374303801</v>
      </c>
      <c r="N54">
        <v>756.20268299717895</v>
      </c>
      <c r="O54">
        <v>774.90321302492998</v>
      </c>
      <c r="P54">
        <v>785.40641922556904</v>
      </c>
      <c r="Q54">
        <v>805.099500533585</v>
      </c>
      <c r="R54">
        <v>839.75227674019595</v>
      </c>
      <c r="S54">
        <v>867.96975915754103</v>
      </c>
      <c r="T54">
        <v>893.049287374404</v>
      </c>
      <c r="U54">
        <v>893.049287374404</v>
      </c>
      <c r="V54">
        <v>919.85148687543699</v>
      </c>
      <c r="W54">
        <v>933.45566131159205</v>
      </c>
      <c r="X54">
        <v>936.56372677655895</v>
      </c>
      <c r="Y54">
        <v>949.76907216494897</v>
      </c>
      <c r="Z54">
        <v>978</v>
      </c>
      <c r="AA54">
        <v>1036</v>
      </c>
      <c r="AB54">
        <v>1074.1842870999001</v>
      </c>
      <c r="AC54">
        <v>1121.0614101209801</v>
      </c>
      <c r="AD54">
        <v>1175.2577540301399</v>
      </c>
      <c r="AE54">
        <v>1212.48766575883</v>
      </c>
    </row>
    <row r="55" spans="1:31" x14ac:dyDescent="0.3">
      <c r="A55" t="s">
        <v>307</v>
      </c>
      <c r="B55" t="s">
        <v>228</v>
      </c>
      <c r="C55" t="s">
        <v>0</v>
      </c>
      <c r="D55" t="s">
        <v>229</v>
      </c>
      <c r="E55" t="s">
        <v>123</v>
      </c>
      <c r="F55">
        <v>335.79409301530302</v>
      </c>
      <c r="G55">
        <v>339.43085214543299</v>
      </c>
      <c r="H55">
        <v>353.72267749892501</v>
      </c>
      <c r="I55">
        <v>365.28224212307299</v>
      </c>
      <c r="J55">
        <v>374.52989382239099</v>
      </c>
      <c r="K55">
        <v>383.86397217310503</v>
      </c>
      <c r="L55">
        <v>396.62078091601802</v>
      </c>
      <c r="M55">
        <v>403.61997116747699</v>
      </c>
      <c r="N55">
        <v>423.50849148587503</v>
      </c>
      <c r="O55">
        <v>430.54741378203897</v>
      </c>
      <c r="P55">
        <v>436.41318236217597</v>
      </c>
      <c r="Q55">
        <v>445.72333025256899</v>
      </c>
      <c r="R55">
        <v>470.09882487575601</v>
      </c>
      <c r="S55">
        <v>496.21542625774202</v>
      </c>
      <c r="T55">
        <v>518.07513666557202</v>
      </c>
      <c r="U55">
        <v>522.39242947111904</v>
      </c>
      <c r="V55">
        <v>540.66541568718696</v>
      </c>
      <c r="W55">
        <v>534.39076869661994</v>
      </c>
      <c r="X55">
        <v>522.99871742595496</v>
      </c>
      <c r="Y55">
        <v>515.90377358490605</v>
      </c>
      <c r="Z55">
        <v>533</v>
      </c>
      <c r="AA55">
        <v>547</v>
      </c>
      <c r="AB55">
        <v>555.10370370370401</v>
      </c>
      <c r="AC55">
        <v>555.10370370370401</v>
      </c>
      <c r="AD55">
        <v>571.28158942184405</v>
      </c>
      <c r="AE55">
        <v>585.51280339320704</v>
      </c>
    </row>
    <row r="56" spans="1:31" x14ac:dyDescent="0.3">
      <c r="A56" t="s">
        <v>307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307</v>
      </c>
      <c r="B57" t="s">
        <v>232</v>
      </c>
      <c r="C57" t="s">
        <v>0</v>
      </c>
      <c r="D57" t="s">
        <v>233</v>
      </c>
      <c r="E57" t="s">
        <v>123</v>
      </c>
      <c r="F57">
        <v>58282.134951977197</v>
      </c>
      <c r="G57">
        <v>58470.279406907597</v>
      </c>
      <c r="H57">
        <v>59205.846836388599</v>
      </c>
      <c r="I57">
        <v>60074.142163264303</v>
      </c>
      <c r="J57">
        <v>60283.208682393299</v>
      </c>
      <c r="K57">
        <v>60860.527752636503</v>
      </c>
      <c r="L57">
        <v>61981.805472969398</v>
      </c>
      <c r="M57">
        <v>62705.246105446997</v>
      </c>
      <c r="N57">
        <v>63054.005352009197</v>
      </c>
      <c r="O57">
        <v>62875.324355481003</v>
      </c>
      <c r="P57">
        <v>62908.620035517997</v>
      </c>
      <c r="Q57">
        <v>62332.209106795701</v>
      </c>
      <c r="R57">
        <v>62924.033507899803</v>
      </c>
      <c r="S57">
        <v>63747.061627332798</v>
      </c>
      <c r="T57">
        <v>63485.380554746698</v>
      </c>
      <c r="U57">
        <v>62102.641421135799</v>
      </c>
      <c r="V57">
        <v>61649.337469156701</v>
      </c>
      <c r="W57">
        <v>61970.982481866398</v>
      </c>
      <c r="X57">
        <v>61697.384520653002</v>
      </c>
      <c r="Y57">
        <v>61739.611259077901</v>
      </c>
      <c r="Z57">
        <v>61803</v>
      </c>
      <c r="AA57">
        <v>62920</v>
      </c>
      <c r="AB57">
        <v>64964.977385618797</v>
      </c>
      <c r="AC57">
        <v>66469.884782414898</v>
      </c>
      <c r="AD57">
        <v>67735.575082833093</v>
      </c>
      <c r="AE57">
        <v>69193.5710164255</v>
      </c>
    </row>
    <row r="58" spans="1:31" x14ac:dyDescent="0.3">
      <c r="A58" t="s">
        <v>307</v>
      </c>
      <c r="B58" t="s">
        <v>234</v>
      </c>
      <c r="C58" t="s">
        <v>0</v>
      </c>
      <c r="D58" t="s">
        <v>235</v>
      </c>
      <c r="E58" t="s">
        <v>123</v>
      </c>
      <c r="F58">
        <v>58282.134951977197</v>
      </c>
      <c r="G58">
        <v>58470.279406907597</v>
      </c>
      <c r="H58">
        <v>59205.846836388599</v>
      </c>
      <c r="I58">
        <v>60074.142163264303</v>
      </c>
      <c r="J58">
        <v>60283.208682393299</v>
      </c>
      <c r="K58">
        <v>60860.527752636503</v>
      </c>
      <c r="L58">
        <v>61981.805472969398</v>
      </c>
      <c r="M58">
        <v>62705.246105446997</v>
      </c>
      <c r="N58">
        <v>63054.005352009197</v>
      </c>
      <c r="O58">
        <v>62875.324355481003</v>
      </c>
      <c r="P58">
        <v>62908.620035517997</v>
      </c>
      <c r="Q58">
        <v>62332.209106795701</v>
      </c>
      <c r="R58">
        <v>62924.033507899803</v>
      </c>
      <c r="S58">
        <v>63747.061627332798</v>
      </c>
      <c r="T58">
        <v>63485.380554746698</v>
      </c>
      <c r="U58">
        <v>62102.641421135799</v>
      </c>
      <c r="V58">
        <v>61649.337469156701</v>
      </c>
      <c r="W58">
        <v>61970.982481866398</v>
      </c>
      <c r="X58">
        <v>61697.384520653002</v>
      </c>
      <c r="Y58">
        <v>61739.611259077901</v>
      </c>
      <c r="Z58">
        <v>61803</v>
      </c>
      <c r="AA58">
        <v>62920</v>
      </c>
      <c r="AB58">
        <v>64964.977385618797</v>
      </c>
      <c r="AC58">
        <v>66469.884782414898</v>
      </c>
      <c r="AD58">
        <v>67735.575082833093</v>
      </c>
      <c r="AE58">
        <v>69193.5710164255</v>
      </c>
    </row>
    <row r="59" spans="1:31" x14ac:dyDescent="0.3">
      <c r="A59" t="s">
        <v>307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308</v>
      </c>
      <c r="B2" t="s">
        <v>121</v>
      </c>
      <c r="C2" t="s">
        <v>0</v>
      </c>
      <c r="D2" t="s">
        <v>122</v>
      </c>
      <c r="E2" t="s">
        <v>123</v>
      </c>
      <c r="F2">
        <v>14979.664961595699</v>
      </c>
      <c r="G2">
        <v>14793.389335130199</v>
      </c>
      <c r="H2">
        <v>14793.389335130199</v>
      </c>
      <c r="I2">
        <v>14888.055005837499</v>
      </c>
      <c r="J2">
        <v>14990.598007974</v>
      </c>
      <c r="K2">
        <v>15046.276116106401</v>
      </c>
      <c r="L2">
        <v>15159.912327332901</v>
      </c>
      <c r="M2">
        <v>15253.1619011239</v>
      </c>
      <c r="N2">
        <v>15284.158784294499</v>
      </c>
      <c r="O2">
        <v>15216.6293640399</v>
      </c>
      <c r="P2">
        <v>15256.625591807</v>
      </c>
      <c r="Q2">
        <v>15309.0710227168</v>
      </c>
      <c r="R2">
        <v>15442.5561106533</v>
      </c>
      <c r="S2">
        <v>15526.774314529001</v>
      </c>
      <c r="T2">
        <v>15565.3208889254</v>
      </c>
      <c r="U2">
        <v>15559.0508704405</v>
      </c>
      <c r="V2">
        <v>15552.6250509731</v>
      </c>
      <c r="W2">
        <v>15531.643432017299</v>
      </c>
      <c r="X2">
        <v>15567.850073444</v>
      </c>
      <c r="Y2">
        <v>15596.5165063686</v>
      </c>
      <c r="Z2">
        <v>15357</v>
      </c>
      <c r="AA2">
        <v>15243</v>
      </c>
      <c r="AB2">
        <v>15169.982004142899</v>
      </c>
      <c r="AC2">
        <v>15063.2126637849</v>
      </c>
      <c r="AD2">
        <v>15006.529052158599</v>
      </c>
      <c r="AE2">
        <v>14982.634714456901</v>
      </c>
    </row>
    <row r="3" spans="1:31" x14ac:dyDescent="0.3">
      <c r="A3" t="s">
        <v>308</v>
      </c>
      <c r="B3" t="s">
        <v>124</v>
      </c>
      <c r="C3" t="s">
        <v>0</v>
      </c>
      <c r="D3" t="s">
        <v>125</v>
      </c>
      <c r="E3" t="s">
        <v>123</v>
      </c>
      <c r="F3">
        <v>442.97759451723999</v>
      </c>
      <c r="G3">
        <v>427.04314867129602</v>
      </c>
      <c r="H3">
        <v>410.92831287237902</v>
      </c>
      <c r="I3">
        <v>395.18393306884002</v>
      </c>
      <c r="J3">
        <v>399.83315581082599</v>
      </c>
      <c r="K3">
        <v>432.90206343427798</v>
      </c>
      <c r="L3">
        <v>444.40776611691598</v>
      </c>
      <c r="M3">
        <v>438.86997463882398</v>
      </c>
      <c r="N3">
        <v>453.95613001703299</v>
      </c>
      <c r="O3">
        <v>447.16037956767701</v>
      </c>
      <c r="P3">
        <v>452.46792116491901</v>
      </c>
      <c r="Q3">
        <v>462.66438136018502</v>
      </c>
      <c r="R3">
        <v>694.60694721357595</v>
      </c>
      <c r="S3">
        <v>943.66009605002205</v>
      </c>
      <c r="T3">
        <v>1041.0562068808699</v>
      </c>
      <c r="U3">
        <v>1125.73022579298</v>
      </c>
      <c r="V3">
        <v>1273.0425795588501</v>
      </c>
      <c r="W3">
        <v>1359.60103024196</v>
      </c>
      <c r="X3">
        <v>1376.65875534463</v>
      </c>
      <c r="Y3">
        <v>1403.39960886571</v>
      </c>
      <c r="Z3">
        <v>1515</v>
      </c>
      <c r="AA3">
        <v>1540</v>
      </c>
      <c r="AB3">
        <v>1589.06371911573</v>
      </c>
      <c r="AC3">
        <v>1655.1532193603</v>
      </c>
      <c r="AD3">
        <v>1732.22452202217</v>
      </c>
      <c r="AE3">
        <v>1791.5472796256699</v>
      </c>
    </row>
    <row r="4" spans="1:31" x14ac:dyDescent="0.3">
      <c r="A4" t="s">
        <v>308</v>
      </c>
      <c r="B4" t="s">
        <v>126</v>
      </c>
      <c r="C4" t="s">
        <v>0</v>
      </c>
      <c r="D4" t="s">
        <v>127</v>
      </c>
      <c r="E4" t="s">
        <v>123</v>
      </c>
      <c r="F4">
        <v>19669.540741880599</v>
      </c>
      <c r="G4">
        <v>19671.088427830899</v>
      </c>
      <c r="H4">
        <v>19686.6694879717</v>
      </c>
      <c r="I4">
        <v>19658.4133639957</v>
      </c>
      <c r="J4">
        <v>19523.48633466</v>
      </c>
      <c r="K4">
        <v>19351.106203679301</v>
      </c>
      <c r="L4">
        <v>19176.0836366228</v>
      </c>
      <c r="M4">
        <v>19143.477903716899</v>
      </c>
      <c r="N4">
        <v>18858.2839791593</v>
      </c>
      <c r="O4">
        <v>18468.4486514247</v>
      </c>
      <c r="P4">
        <v>18124.371888228201</v>
      </c>
      <c r="Q4">
        <v>17909.173247445098</v>
      </c>
      <c r="R4">
        <v>17750.726534789901</v>
      </c>
      <c r="S4">
        <v>17485.757498253301</v>
      </c>
      <c r="T4">
        <v>17108.4792070107</v>
      </c>
      <c r="U4">
        <v>16593.684666807101</v>
      </c>
      <c r="V4">
        <v>16150.0511853019</v>
      </c>
      <c r="W4">
        <v>15626.01145371</v>
      </c>
      <c r="X4">
        <v>15112.789593945499</v>
      </c>
      <c r="Y4">
        <v>14751.350708607</v>
      </c>
      <c r="Z4">
        <v>14484</v>
      </c>
      <c r="AA4">
        <v>14405</v>
      </c>
      <c r="AB4">
        <v>14318.8187504249</v>
      </c>
      <c r="AC4">
        <v>14252.8378172221</v>
      </c>
      <c r="AD4">
        <v>14064.0158091743</v>
      </c>
      <c r="AE4">
        <v>13920.6221407628</v>
      </c>
    </row>
    <row r="5" spans="1:31" x14ac:dyDescent="0.3">
      <c r="A5" t="s">
        <v>308</v>
      </c>
      <c r="B5" t="s">
        <v>128</v>
      </c>
      <c r="C5" t="s">
        <v>0</v>
      </c>
      <c r="D5" t="s">
        <v>129</v>
      </c>
      <c r="E5" t="s">
        <v>123</v>
      </c>
      <c r="F5">
        <v>2944.2921037394099</v>
      </c>
      <c r="G5">
        <v>2951.96752632476</v>
      </c>
      <c r="H5">
        <v>2945.7821569663001</v>
      </c>
      <c r="I5">
        <v>2895.9064802346002</v>
      </c>
      <c r="J5">
        <v>2840.2738012269701</v>
      </c>
      <c r="K5">
        <v>2821.7378778253901</v>
      </c>
      <c r="L5">
        <v>2827.2571695179599</v>
      </c>
      <c r="M5">
        <v>2859.6352864386899</v>
      </c>
      <c r="N5">
        <v>2821.68131696193</v>
      </c>
      <c r="O5">
        <v>2746.8042987743902</v>
      </c>
      <c r="P5">
        <v>2741.6820529957899</v>
      </c>
      <c r="Q5">
        <v>2716.0702544580199</v>
      </c>
      <c r="R5">
        <v>2712.5520287398099</v>
      </c>
      <c r="S5">
        <v>2678.6724506209798</v>
      </c>
      <c r="T5">
        <v>2593.7995213509198</v>
      </c>
      <c r="U5">
        <v>2510.8063410403802</v>
      </c>
      <c r="V5">
        <v>2467.0327839100401</v>
      </c>
      <c r="W5">
        <v>2472.52484264537</v>
      </c>
      <c r="X5">
        <v>2446.7371409072998</v>
      </c>
      <c r="Y5">
        <v>2472.03425774878</v>
      </c>
      <c r="Z5">
        <v>2458</v>
      </c>
      <c r="AA5">
        <v>2543</v>
      </c>
      <c r="AB5">
        <v>2496.1244239631301</v>
      </c>
      <c r="AC5">
        <v>2452.2155430827102</v>
      </c>
      <c r="AD5">
        <v>2415.4369072659501</v>
      </c>
      <c r="AE5">
        <v>2416.31333575189</v>
      </c>
    </row>
    <row r="6" spans="1:31" x14ac:dyDescent="0.3">
      <c r="A6" t="s">
        <v>308</v>
      </c>
      <c r="B6" t="s">
        <v>130</v>
      </c>
      <c r="C6" t="s">
        <v>0</v>
      </c>
      <c r="D6" t="s">
        <v>131</v>
      </c>
      <c r="E6" t="s">
        <v>123</v>
      </c>
      <c r="F6">
        <v>428.17639525883101</v>
      </c>
      <c r="G6">
        <v>399.34296796867397</v>
      </c>
      <c r="H6">
        <v>381.91709300276801</v>
      </c>
      <c r="I6">
        <v>367.17125929609801</v>
      </c>
      <c r="J6">
        <v>344.400948642076</v>
      </c>
      <c r="K6">
        <v>321.440885399271</v>
      </c>
      <c r="L6">
        <v>301.76083119115202</v>
      </c>
      <c r="M6">
        <v>279.49978626721497</v>
      </c>
      <c r="N6">
        <v>256.93926540259702</v>
      </c>
      <c r="O6">
        <v>230.61865772720901</v>
      </c>
      <c r="P6">
        <v>209.76484293272699</v>
      </c>
      <c r="Q6">
        <v>197.98030119493299</v>
      </c>
      <c r="R6">
        <v>178.63739820462399</v>
      </c>
      <c r="S6">
        <v>164.64772244161099</v>
      </c>
      <c r="T6">
        <v>137.89246754484901</v>
      </c>
      <c r="U6">
        <v>121.303900020657</v>
      </c>
      <c r="V6">
        <v>112.31842594505299</v>
      </c>
      <c r="W6">
        <v>115.687978723404</v>
      </c>
      <c r="X6">
        <v>104.223404255319</v>
      </c>
      <c r="Y6">
        <v>99.063829787233999</v>
      </c>
      <c r="Z6">
        <v>96</v>
      </c>
      <c r="AA6">
        <v>87</v>
      </c>
      <c r="AB6">
        <v>85.044943820224702</v>
      </c>
      <c r="AC6">
        <v>85.989887640449396</v>
      </c>
      <c r="AD6">
        <v>83.245529524264896</v>
      </c>
      <c r="AE6">
        <v>76.308402063909497</v>
      </c>
    </row>
    <row r="7" spans="1:31" x14ac:dyDescent="0.3">
      <c r="A7" t="s">
        <v>308</v>
      </c>
      <c r="B7" t="s">
        <v>132</v>
      </c>
      <c r="C7" t="s">
        <v>0</v>
      </c>
      <c r="D7" t="s">
        <v>133</v>
      </c>
      <c r="E7" t="s">
        <v>123</v>
      </c>
      <c r="F7">
        <v>6061.6969795231598</v>
      </c>
      <c r="G7">
        <v>6056.9955599423602</v>
      </c>
      <c r="H7">
        <v>6052.2622995412503</v>
      </c>
      <c r="I7">
        <v>5985.2277487552001</v>
      </c>
      <c r="J7">
        <v>5905.38376647319</v>
      </c>
      <c r="K7">
        <v>5882.2367453405204</v>
      </c>
      <c r="L7">
        <v>5817.8429113839102</v>
      </c>
      <c r="M7">
        <v>5718.2582129007596</v>
      </c>
      <c r="N7">
        <v>5554.8794068178804</v>
      </c>
      <c r="O7">
        <v>5432.1123476843104</v>
      </c>
      <c r="P7">
        <v>5329.1095062965996</v>
      </c>
      <c r="Q7">
        <v>5180.9426289386302</v>
      </c>
      <c r="R7">
        <v>5118.6490809954003</v>
      </c>
      <c r="S7">
        <v>4972.4647718323404</v>
      </c>
      <c r="T7">
        <v>4736.6700145300701</v>
      </c>
      <c r="U7">
        <v>4495.3580160145302</v>
      </c>
      <c r="V7">
        <v>4297.2802542932004</v>
      </c>
      <c r="W7">
        <v>4112.4862688032399</v>
      </c>
      <c r="X7">
        <v>3941.86074502885</v>
      </c>
      <c r="Y7">
        <v>3746.1798380340701</v>
      </c>
      <c r="Z7">
        <v>3585</v>
      </c>
      <c r="AA7">
        <v>3586</v>
      </c>
      <c r="AB7">
        <v>3513.5159792406398</v>
      </c>
      <c r="AC7">
        <v>3474.3175696763301</v>
      </c>
      <c r="AD7">
        <v>3388.74777783843</v>
      </c>
      <c r="AE7">
        <v>3290.34493855456</v>
      </c>
    </row>
    <row r="8" spans="1:31" x14ac:dyDescent="0.3">
      <c r="A8" t="s">
        <v>308</v>
      </c>
      <c r="B8" t="s">
        <v>134</v>
      </c>
      <c r="C8" t="s">
        <v>0</v>
      </c>
      <c r="D8" t="s">
        <v>135</v>
      </c>
      <c r="E8" t="s">
        <v>123</v>
      </c>
      <c r="F8">
        <v>783.83427319675002</v>
      </c>
      <c r="G8">
        <v>755.66263969919305</v>
      </c>
      <c r="H8">
        <v>742.37626361656896</v>
      </c>
      <c r="I8">
        <v>719.633883549541</v>
      </c>
      <c r="J8">
        <v>732.51323717011496</v>
      </c>
      <c r="K8">
        <v>721.55684259705697</v>
      </c>
      <c r="L8">
        <v>693.23126406535505</v>
      </c>
      <c r="M8">
        <v>681.82004984205696</v>
      </c>
      <c r="N8">
        <v>687.50188359074002</v>
      </c>
      <c r="O8">
        <v>693.11414386495005</v>
      </c>
      <c r="P8">
        <v>733.96566511435799</v>
      </c>
      <c r="Q8">
        <v>763.84391342874801</v>
      </c>
      <c r="R8">
        <v>918.09349206944796</v>
      </c>
      <c r="S8">
        <v>929.656382397779</v>
      </c>
      <c r="T8">
        <v>1028.8772491966099</v>
      </c>
      <c r="U8">
        <v>1038.7386924796499</v>
      </c>
      <c r="V8">
        <v>1024.26537736471</v>
      </c>
      <c r="W8">
        <v>1022.12926604591</v>
      </c>
      <c r="X8">
        <v>1036.2973944861501</v>
      </c>
      <c r="Y8">
        <v>1046.2809917355401</v>
      </c>
      <c r="Z8">
        <v>1080</v>
      </c>
      <c r="AA8">
        <v>1029</v>
      </c>
      <c r="AB8">
        <v>1033.9614271938301</v>
      </c>
      <c r="AC8">
        <v>1035.8940653755001</v>
      </c>
      <c r="AD8">
        <v>1031.2278758918301</v>
      </c>
      <c r="AE8">
        <v>998.77664902809704</v>
      </c>
    </row>
    <row r="9" spans="1:31" x14ac:dyDescent="0.3">
      <c r="A9" t="s">
        <v>308</v>
      </c>
      <c r="B9" t="s">
        <v>136</v>
      </c>
      <c r="C9" t="s">
        <v>0</v>
      </c>
      <c r="D9" t="s">
        <v>137</v>
      </c>
      <c r="E9" t="s">
        <v>123</v>
      </c>
      <c r="F9">
        <v>1430.3346936407399</v>
      </c>
      <c r="G9">
        <v>1413.3985454921401</v>
      </c>
      <c r="H9">
        <v>1418.04788281284</v>
      </c>
      <c r="I9">
        <v>1433.5966534577201</v>
      </c>
      <c r="J9">
        <v>1420.0152114775899</v>
      </c>
      <c r="K9">
        <v>1389.86322013176</v>
      </c>
      <c r="L9">
        <v>1371.83106258514</v>
      </c>
      <c r="M9">
        <v>1390.12214341961</v>
      </c>
      <c r="N9">
        <v>1365.11047606641</v>
      </c>
      <c r="O9">
        <v>1363.7915287465401</v>
      </c>
      <c r="P9">
        <v>1300.86706084769</v>
      </c>
      <c r="Q9">
        <v>1294.74821296035</v>
      </c>
      <c r="R9">
        <v>1246.57699995548</v>
      </c>
      <c r="S9">
        <v>1237.7672685070299</v>
      </c>
      <c r="T9">
        <v>1312.7834665983601</v>
      </c>
      <c r="U9">
        <v>1291.6436362183599</v>
      </c>
      <c r="V9">
        <v>1254.5790797007901</v>
      </c>
      <c r="W9">
        <v>1228.2362118855499</v>
      </c>
      <c r="X9">
        <v>1198.2792311078499</v>
      </c>
      <c r="Y9">
        <v>1173.98978723404</v>
      </c>
      <c r="Z9">
        <v>1178</v>
      </c>
      <c r="AA9">
        <v>1186</v>
      </c>
      <c r="AB9">
        <v>1289.72607260726</v>
      </c>
      <c r="AC9">
        <v>1307.8643371369001</v>
      </c>
      <c r="AD9">
        <v>1309.7038087784399</v>
      </c>
      <c r="AE9">
        <v>1284.26415006807</v>
      </c>
    </row>
    <row r="10" spans="1:31" x14ac:dyDescent="0.3">
      <c r="A10" t="s">
        <v>308</v>
      </c>
      <c r="B10" t="s">
        <v>138</v>
      </c>
      <c r="C10" t="s">
        <v>0</v>
      </c>
      <c r="D10" t="s">
        <v>139</v>
      </c>
      <c r="E10" t="s">
        <v>123</v>
      </c>
      <c r="F10">
        <v>1814.75692880522</v>
      </c>
      <c r="G10">
        <v>1784.10225095378</v>
      </c>
      <c r="H10">
        <v>1776.3922152971099</v>
      </c>
      <c r="I10">
        <v>1782.5871314794899</v>
      </c>
      <c r="J10">
        <v>1763.08070664007</v>
      </c>
      <c r="K10">
        <v>1728.8184095069801</v>
      </c>
      <c r="L10">
        <v>1697.0589658818501</v>
      </c>
      <c r="M10">
        <v>1719.1493199553499</v>
      </c>
      <c r="N10">
        <v>1689.0347469477599</v>
      </c>
      <c r="O10">
        <v>1683.78522170472</v>
      </c>
      <c r="P10">
        <v>1604.51818772925</v>
      </c>
      <c r="Q10">
        <v>1592.33505798187</v>
      </c>
      <c r="R10">
        <v>1532.6663673447899</v>
      </c>
      <c r="S10">
        <v>1514.01545235204</v>
      </c>
      <c r="T10">
        <v>1582.5981701662099</v>
      </c>
      <c r="U10">
        <v>1552.02165655207</v>
      </c>
      <c r="V10">
        <v>1504.92273344861</v>
      </c>
      <c r="W10">
        <v>1488.46949656688</v>
      </c>
      <c r="X10">
        <v>1512.2106882597</v>
      </c>
      <c r="Y10">
        <v>1492.99195710456</v>
      </c>
      <c r="Z10">
        <v>1496</v>
      </c>
      <c r="AA10">
        <v>1498</v>
      </c>
      <c r="AB10">
        <v>1602.6936642717201</v>
      </c>
      <c r="AC10">
        <v>1624.6614558558899</v>
      </c>
      <c r="AD10">
        <v>1629.26389624076</v>
      </c>
      <c r="AE10">
        <v>1612.5760180582399</v>
      </c>
    </row>
    <row r="11" spans="1:31" x14ac:dyDescent="0.3">
      <c r="A11" t="s">
        <v>308</v>
      </c>
      <c r="B11" t="s">
        <v>140</v>
      </c>
      <c r="C11" t="s">
        <v>0</v>
      </c>
      <c r="D11" t="s">
        <v>141</v>
      </c>
      <c r="E11" t="s">
        <v>123</v>
      </c>
      <c r="F11">
        <v>383.02799390134101</v>
      </c>
      <c r="G11">
        <v>369.50935882247001</v>
      </c>
      <c r="H11">
        <v>357.44374710581798</v>
      </c>
      <c r="I11">
        <v>348.31752377545598</v>
      </c>
      <c r="J11">
        <v>342.46344774561697</v>
      </c>
      <c r="K11">
        <v>338.28706423652397</v>
      </c>
      <c r="L11">
        <v>324.75558166706298</v>
      </c>
      <c r="M11">
        <v>328.56131113972401</v>
      </c>
      <c r="N11">
        <v>323.44751641381401</v>
      </c>
      <c r="O11">
        <v>319.596950742221</v>
      </c>
      <c r="P11">
        <v>303.30377286124502</v>
      </c>
      <c r="Q11">
        <v>297.33322615137803</v>
      </c>
      <c r="R11">
        <v>285.853178809626</v>
      </c>
      <c r="S11">
        <v>276.14495764250597</v>
      </c>
      <c r="T11">
        <v>269.98559055754299</v>
      </c>
      <c r="U11">
        <v>260.60385188952102</v>
      </c>
      <c r="V11">
        <v>250.580626816847</v>
      </c>
      <c r="W11">
        <v>260.42877372231197</v>
      </c>
      <c r="X11">
        <v>313.95563630555398</v>
      </c>
      <c r="Y11">
        <v>319.00315457413302</v>
      </c>
      <c r="Z11">
        <v>318</v>
      </c>
      <c r="AA11">
        <v>312</v>
      </c>
      <c r="AB11">
        <v>312.97805642633199</v>
      </c>
      <c r="AC11">
        <v>316.80653418078299</v>
      </c>
      <c r="AD11">
        <v>319.57743681210201</v>
      </c>
      <c r="AE11">
        <v>328.40554280138599</v>
      </c>
    </row>
    <row r="12" spans="1:31" x14ac:dyDescent="0.3">
      <c r="A12" t="s">
        <v>308</v>
      </c>
      <c r="B12" t="s">
        <v>142</v>
      </c>
      <c r="C12" t="s">
        <v>0</v>
      </c>
      <c r="D12" t="s">
        <v>143</v>
      </c>
      <c r="E12" t="s">
        <v>123</v>
      </c>
      <c r="F12">
        <v>1271.30985281533</v>
      </c>
      <c r="G12">
        <v>1238.98841587934</v>
      </c>
      <c r="H12">
        <v>1235.8948118446899</v>
      </c>
      <c r="I12">
        <v>1268.58220611262</v>
      </c>
      <c r="J12">
        <v>1295.57331688097</v>
      </c>
      <c r="K12">
        <v>1255.79694311708</v>
      </c>
      <c r="L12">
        <v>1239.3094558989201</v>
      </c>
      <c r="M12">
        <v>1223.8180877001801</v>
      </c>
      <c r="N12">
        <v>1212.1131325574599</v>
      </c>
      <c r="O12">
        <v>1202.99949998184</v>
      </c>
      <c r="P12">
        <v>1202.99949998184</v>
      </c>
      <c r="Q12">
        <v>1219.9261261122399</v>
      </c>
      <c r="R12">
        <v>1176.8562151712499</v>
      </c>
      <c r="S12">
        <v>1158.28002607384</v>
      </c>
      <c r="T12">
        <v>1131.3432812814301</v>
      </c>
      <c r="U12">
        <v>1109.24262183314</v>
      </c>
      <c r="V12">
        <v>1090.1564633603</v>
      </c>
      <c r="W12">
        <v>1066.10085433931</v>
      </c>
      <c r="X12">
        <v>1035.2886909191</v>
      </c>
      <c r="Y12">
        <v>1003.03042596349</v>
      </c>
      <c r="Z12">
        <v>988</v>
      </c>
      <c r="AA12">
        <v>982</v>
      </c>
      <c r="AB12">
        <v>965.35593220339001</v>
      </c>
      <c r="AC12">
        <v>964.39918697821304</v>
      </c>
      <c r="AD12">
        <v>957.95758935526703</v>
      </c>
      <c r="AE12">
        <v>972.01935213479396</v>
      </c>
    </row>
    <row r="13" spans="1:31" x14ac:dyDescent="0.3">
      <c r="A13" t="s">
        <v>308</v>
      </c>
      <c r="B13" t="s">
        <v>144</v>
      </c>
      <c r="C13" t="s">
        <v>0</v>
      </c>
      <c r="D13" t="s">
        <v>145</v>
      </c>
      <c r="E13" t="s">
        <v>123</v>
      </c>
      <c r="F13">
        <v>1925.98743721286</v>
      </c>
      <c r="G13">
        <v>2024.56159738517</v>
      </c>
      <c r="H13">
        <v>2101.0178510628598</v>
      </c>
      <c r="I13">
        <v>2127.22276923459</v>
      </c>
      <c r="J13">
        <v>2131.6948563458</v>
      </c>
      <c r="K13">
        <v>2113.2693024013201</v>
      </c>
      <c r="L13">
        <v>2117.3780567157801</v>
      </c>
      <c r="M13">
        <v>2288.9876128054798</v>
      </c>
      <c r="N13">
        <v>2365.8517386765802</v>
      </c>
      <c r="O13">
        <v>2368.46883130786</v>
      </c>
      <c r="P13">
        <v>2322.6274990890001</v>
      </c>
      <c r="Q13">
        <v>2293.51885158083</v>
      </c>
      <c r="R13">
        <v>2274.8818268854102</v>
      </c>
      <c r="S13">
        <v>2333.96966654477</v>
      </c>
      <c r="T13">
        <v>2333.96966654477</v>
      </c>
      <c r="U13">
        <v>2298.27242468128</v>
      </c>
      <c r="V13">
        <v>2344.1707049598699</v>
      </c>
      <c r="W13">
        <v>2358.41765174083</v>
      </c>
      <c r="X13">
        <v>2290.4754583689901</v>
      </c>
      <c r="Y13">
        <v>2255.0974173085601</v>
      </c>
      <c r="Z13">
        <v>2212</v>
      </c>
      <c r="AA13">
        <v>2160</v>
      </c>
      <c r="AB13">
        <v>2132.6086956521699</v>
      </c>
      <c r="AC13">
        <v>2122.1032340972401</v>
      </c>
      <c r="AD13">
        <v>2101.8400955772099</v>
      </c>
      <c r="AE13">
        <v>2066.6628554838699</v>
      </c>
    </row>
    <row r="14" spans="1:31" x14ac:dyDescent="0.3">
      <c r="A14" t="s">
        <v>308</v>
      </c>
      <c r="B14" t="s">
        <v>146</v>
      </c>
      <c r="C14" t="s">
        <v>0</v>
      </c>
      <c r="D14" t="s">
        <v>147</v>
      </c>
      <c r="E14" t="s">
        <v>123</v>
      </c>
      <c r="F14">
        <v>614.85316955890096</v>
      </c>
      <c r="G14">
        <v>729.46056136585003</v>
      </c>
      <c r="H14">
        <v>737.28739142342397</v>
      </c>
      <c r="I14">
        <v>809.91098886555994</v>
      </c>
      <c r="J14">
        <v>887.69904994304295</v>
      </c>
      <c r="K14">
        <v>944.78580556638997</v>
      </c>
      <c r="L14">
        <v>1002.96909564526</v>
      </c>
      <c r="M14">
        <v>975.93141784224099</v>
      </c>
      <c r="N14">
        <v>956.438779669626</v>
      </c>
      <c r="O14">
        <v>928.99996222008804</v>
      </c>
      <c r="P14">
        <v>911.15908503067601</v>
      </c>
      <c r="Q14">
        <v>954.89472111214798</v>
      </c>
      <c r="R14">
        <v>917.58503725917103</v>
      </c>
      <c r="S14">
        <v>897.87557345169398</v>
      </c>
      <c r="T14">
        <v>829.52518377717104</v>
      </c>
      <c r="U14">
        <v>835.82537504636502</v>
      </c>
      <c r="V14">
        <v>799.97227584866596</v>
      </c>
      <c r="W14">
        <v>558.88474066139599</v>
      </c>
      <c r="X14">
        <v>467.28116438356199</v>
      </c>
      <c r="Y14">
        <v>442.05</v>
      </c>
      <c r="Z14">
        <v>421</v>
      </c>
      <c r="AA14">
        <v>396</v>
      </c>
      <c r="AB14">
        <v>379.29528535980103</v>
      </c>
      <c r="AC14">
        <v>362.971184470899</v>
      </c>
      <c r="AD14">
        <v>353.75871785996202</v>
      </c>
      <c r="AE14">
        <v>374.87864131428802</v>
      </c>
    </row>
    <row r="15" spans="1:31" x14ac:dyDescent="0.3">
      <c r="A15" t="s">
        <v>308</v>
      </c>
      <c r="B15" t="s">
        <v>148</v>
      </c>
      <c r="C15" t="s">
        <v>0</v>
      </c>
      <c r="D15" t="s">
        <v>149</v>
      </c>
      <c r="E15" t="s">
        <v>123</v>
      </c>
      <c r="F15">
        <v>913.31070370081795</v>
      </c>
      <c r="G15">
        <v>1031.3055429373301</v>
      </c>
      <c r="H15">
        <v>1048.3135803770799</v>
      </c>
      <c r="I15">
        <v>1120.1800851421201</v>
      </c>
      <c r="J15">
        <v>1200.1929483665599</v>
      </c>
      <c r="K15">
        <v>1248.3707054438501</v>
      </c>
      <c r="L15">
        <v>1310.1712354163201</v>
      </c>
      <c r="M15">
        <v>1287.1183691040101</v>
      </c>
      <c r="N15">
        <v>1262.5402293924701</v>
      </c>
      <c r="O15">
        <v>1231.33429169379</v>
      </c>
      <c r="P15">
        <v>1193.29100770737</v>
      </c>
      <c r="Q15">
        <v>1242.81016895839</v>
      </c>
      <c r="R15">
        <v>1233.51813031197</v>
      </c>
      <c r="S15">
        <v>1224.77752354271</v>
      </c>
      <c r="T15">
        <v>1153.4613639440199</v>
      </c>
      <c r="U15">
        <v>1163.9378522632201</v>
      </c>
      <c r="V15">
        <v>1119.1279253233499</v>
      </c>
      <c r="W15">
        <v>870.31104084891001</v>
      </c>
      <c r="X15">
        <v>765.25574361034296</v>
      </c>
      <c r="Y15">
        <v>737.99729364005395</v>
      </c>
      <c r="Z15">
        <v>740</v>
      </c>
      <c r="AA15">
        <v>707</v>
      </c>
      <c r="AB15">
        <v>677.623268698061</v>
      </c>
      <c r="AC15">
        <v>677.623268698061</v>
      </c>
      <c r="AD15">
        <v>697.85082895770404</v>
      </c>
      <c r="AE15">
        <v>732.04201278854703</v>
      </c>
    </row>
    <row r="16" spans="1:31" x14ac:dyDescent="0.3">
      <c r="A16" t="s">
        <v>308</v>
      </c>
      <c r="B16" t="s">
        <v>150</v>
      </c>
      <c r="C16" t="s">
        <v>0</v>
      </c>
      <c r="D16" t="s">
        <v>151</v>
      </c>
      <c r="E16" t="s">
        <v>123</v>
      </c>
      <c r="F16">
        <v>295.72510853096202</v>
      </c>
      <c r="G16">
        <v>300.18327599625297</v>
      </c>
      <c r="H16">
        <v>309.14397080211103</v>
      </c>
      <c r="I16">
        <v>309.14397080211103</v>
      </c>
      <c r="J16">
        <v>312.074245406871</v>
      </c>
      <c r="K16">
        <v>303.75226552935402</v>
      </c>
      <c r="L16">
        <v>307.76661265088802</v>
      </c>
      <c r="M16">
        <v>311.550628380202</v>
      </c>
      <c r="N16">
        <v>306.443241029707</v>
      </c>
      <c r="O16">
        <v>302.59667315067298</v>
      </c>
      <c r="P16">
        <v>282.59028153740502</v>
      </c>
      <c r="Q16">
        <v>288.52705215793901</v>
      </c>
      <c r="R16">
        <v>316.11529618897703</v>
      </c>
      <c r="S16">
        <v>326.97836478653602</v>
      </c>
      <c r="T16">
        <v>323.89366323194599</v>
      </c>
      <c r="U16">
        <v>328.05949812882</v>
      </c>
      <c r="V16">
        <v>319.10224220721398</v>
      </c>
      <c r="W16">
        <v>311.42624325377602</v>
      </c>
      <c r="X16">
        <v>298.02047781570002</v>
      </c>
      <c r="Y16">
        <v>296</v>
      </c>
      <c r="Z16">
        <v>319</v>
      </c>
      <c r="AA16">
        <v>311</v>
      </c>
      <c r="AB16">
        <v>298.32601880877701</v>
      </c>
      <c r="AC16">
        <v>314.52902941500503</v>
      </c>
      <c r="AD16">
        <v>343.87284557034098</v>
      </c>
      <c r="AE16">
        <v>356.96445136616597</v>
      </c>
    </row>
    <row r="17" spans="1:31" x14ac:dyDescent="0.3">
      <c r="A17" t="s">
        <v>308</v>
      </c>
      <c r="B17" t="s">
        <v>152</v>
      </c>
      <c r="C17" t="s">
        <v>0</v>
      </c>
      <c r="D17" t="s">
        <v>153</v>
      </c>
      <c r="E17" t="s">
        <v>123</v>
      </c>
      <c r="F17">
        <v>1232.12704282307</v>
      </c>
      <c r="G17">
        <v>1206.26758636876</v>
      </c>
      <c r="H17">
        <v>1224.6604847632</v>
      </c>
      <c r="I17">
        <v>1226.20482333163</v>
      </c>
      <c r="J17">
        <v>1196.4064072117801</v>
      </c>
      <c r="K17">
        <v>1170.98100540563</v>
      </c>
      <c r="L17">
        <v>1158.65488955925</v>
      </c>
      <c r="M17">
        <v>1157.3689240880401</v>
      </c>
      <c r="N17">
        <v>1162.5589192633299</v>
      </c>
      <c r="O17">
        <v>1113.14366318726</v>
      </c>
      <c r="P17">
        <v>1082.64657652459</v>
      </c>
      <c r="Q17">
        <v>1060.82391316799</v>
      </c>
      <c r="R17">
        <v>1038.69915537415</v>
      </c>
      <c r="S17">
        <v>1002.58000666251</v>
      </c>
      <c r="T17">
        <v>977.722651125423</v>
      </c>
      <c r="U17">
        <v>953.51638527409398</v>
      </c>
      <c r="V17">
        <v>935.54670074596004</v>
      </c>
      <c r="W17">
        <v>921.25515302598603</v>
      </c>
      <c r="X17">
        <v>886.14004629629596</v>
      </c>
      <c r="Y17">
        <v>879.05092592592598</v>
      </c>
      <c r="Z17">
        <v>868</v>
      </c>
      <c r="AA17">
        <v>863</v>
      </c>
      <c r="AB17">
        <v>894.34619750283798</v>
      </c>
      <c r="AC17">
        <v>918.28480021972302</v>
      </c>
      <c r="AD17">
        <v>921.97269098365803</v>
      </c>
      <c r="AE17">
        <v>920.21655252464097</v>
      </c>
    </row>
    <row r="18" spans="1:31" x14ac:dyDescent="0.3">
      <c r="A18" t="s">
        <v>308</v>
      </c>
      <c r="B18" t="s">
        <v>154</v>
      </c>
      <c r="C18" t="s">
        <v>0</v>
      </c>
      <c r="D18" t="s">
        <v>155</v>
      </c>
      <c r="E18" t="s">
        <v>123</v>
      </c>
      <c r="F18">
        <v>1553.92868672589</v>
      </c>
      <c r="G18">
        <v>1502.28755212171</v>
      </c>
      <c r="H18">
        <v>1444.0227309178299</v>
      </c>
      <c r="I18">
        <v>1410.8812256180699</v>
      </c>
      <c r="J18">
        <v>1361.91354750551</v>
      </c>
      <c r="K18">
        <v>1307.9041142175099</v>
      </c>
      <c r="L18">
        <v>1258.68191637062</v>
      </c>
      <c r="M18">
        <v>1213.68172167388</v>
      </c>
      <c r="N18">
        <v>1156.3948786091401</v>
      </c>
      <c r="O18">
        <v>1107.1582727304999</v>
      </c>
      <c r="P18">
        <v>1065.7207701253801</v>
      </c>
      <c r="Q18">
        <v>1044.72742934655</v>
      </c>
      <c r="R18">
        <v>1003.45715843557</v>
      </c>
      <c r="S18">
        <v>964.73499686418495</v>
      </c>
      <c r="T18">
        <v>917.649232375152</v>
      </c>
      <c r="U18">
        <v>858.10304811905905</v>
      </c>
      <c r="V18">
        <v>790.88871014628603</v>
      </c>
      <c r="W18">
        <v>752.60225806451604</v>
      </c>
      <c r="X18">
        <v>678.57580645161295</v>
      </c>
      <c r="Y18">
        <v>627</v>
      </c>
      <c r="Z18">
        <v>586</v>
      </c>
      <c r="AA18">
        <v>553</v>
      </c>
      <c r="AB18">
        <v>539.34567901234595</v>
      </c>
      <c r="AC18">
        <v>529.833409541229</v>
      </c>
      <c r="AD18">
        <v>491.26667955729198</v>
      </c>
      <c r="AE18">
        <v>482.47836686395902</v>
      </c>
    </row>
    <row r="19" spans="1:31" x14ac:dyDescent="0.3">
      <c r="A19" t="s">
        <v>308</v>
      </c>
      <c r="B19" t="s">
        <v>156</v>
      </c>
      <c r="C19" t="s">
        <v>0</v>
      </c>
      <c r="D19" t="s">
        <v>157</v>
      </c>
      <c r="E19" t="s">
        <v>123</v>
      </c>
      <c r="F19">
        <v>726.85784773008595</v>
      </c>
      <c r="G19">
        <v>703.85601710571598</v>
      </c>
      <c r="H19">
        <v>716.17734782091497</v>
      </c>
      <c r="I19">
        <v>734.86023515537295</v>
      </c>
      <c r="J19">
        <v>733.36052038975004</v>
      </c>
      <c r="K19">
        <v>760.36410544286105</v>
      </c>
      <c r="L19">
        <v>734.19215253812501</v>
      </c>
      <c r="M19">
        <v>691.53662254911399</v>
      </c>
      <c r="N19">
        <v>666.698823251509</v>
      </c>
      <c r="O19">
        <v>639.13843882575702</v>
      </c>
      <c r="P19">
        <v>622.45410206926204</v>
      </c>
      <c r="Q19">
        <v>582.09853160111697</v>
      </c>
      <c r="R19">
        <v>557.50281899825302</v>
      </c>
      <c r="S19">
        <v>537.74878210461395</v>
      </c>
      <c r="T19">
        <v>515.04153986603103</v>
      </c>
      <c r="U19">
        <v>494.01943619803001</v>
      </c>
      <c r="V19">
        <v>465.82197979403298</v>
      </c>
      <c r="W19">
        <v>447.14515513248</v>
      </c>
      <c r="X19">
        <v>416.236503856041</v>
      </c>
      <c r="Y19">
        <v>393</v>
      </c>
      <c r="Z19">
        <v>375</v>
      </c>
      <c r="AA19">
        <v>397</v>
      </c>
      <c r="AB19">
        <v>378.42118226601002</v>
      </c>
      <c r="AC19">
        <v>367.88287086113399</v>
      </c>
      <c r="AD19">
        <v>345.80989860946602</v>
      </c>
      <c r="AE19">
        <v>352.83141939341402</v>
      </c>
    </row>
    <row r="20" spans="1:31" x14ac:dyDescent="0.3">
      <c r="A20" t="s">
        <v>308</v>
      </c>
      <c r="B20" t="s">
        <v>158</v>
      </c>
      <c r="C20" t="s">
        <v>0</v>
      </c>
      <c r="D20" t="s">
        <v>159</v>
      </c>
      <c r="E20" t="s">
        <v>123</v>
      </c>
      <c r="F20">
        <v>12955.7789532673</v>
      </c>
      <c r="G20">
        <v>13020.0368381562</v>
      </c>
      <c r="H20">
        <v>13124.671476555501</v>
      </c>
      <c r="I20">
        <v>13169.0288739805</v>
      </c>
      <c r="J20">
        <v>13089.819204531101</v>
      </c>
      <c r="K20">
        <v>13079.9920129361</v>
      </c>
      <c r="L20">
        <v>13241.915494586599</v>
      </c>
      <c r="M20">
        <v>13261.3515227485</v>
      </c>
      <c r="N20">
        <v>13250.957450342299</v>
      </c>
      <c r="O20">
        <v>13578.771131082</v>
      </c>
      <c r="P20">
        <v>13715.0646740988</v>
      </c>
      <c r="Q20">
        <v>13831.4527570725</v>
      </c>
      <c r="R20">
        <v>13980.544875948401</v>
      </c>
      <c r="S20">
        <v>14300.9274185139</v>
      </c>
      <c r="T20">
        <v>14502.441988282701</v>
      </c>
      <c r="U20">
        <v>14622.139712190999</v>
      </c>
      <c r="V20">
        <v>14931.8555472731</v>
      </c>
      <c r="W20">
        <v>15155.711948943501</v>
      </c>
      <c r="X20">
        <v>15490.9220536351</v>
      </c>
      <c r="Y20">
        <v>15962.030551865701</v>
      </c>
      <c r="Z20">
        <v>16350</v>
      </c>
      <c r="AA20">
        <v>17098</v>
      </c>
      <c r="AB20">
        <v>17731.446348381</v>
      </c>
      <c r="AC20">
        <v>18097.347388021401</v>
      </c>
      <c r="AD20">
        <v>18450.736586542</v>
      </c>
      <c r="AE20">
        <v>18614.1496591998</v>
      </c>
    </row>
    <row r="21" spans="1:31" x14ac:dyDescent="0.3">
      <c r="A21" t="s">
        <v>308</v>
      </c>
      <c r="B21" t="s">
        <v>160</v>
      </c>
      <c r="C21" t="s">
        <v>0</v>
      </c>
      <c r="D21" t="s">
        <v>161</v>
      </c>
      <c r="E21" t="s">
        <v>123</v>
      </c>
      <c r="F21">
        <v>20122.006194772301</v>
      </c>
      <c r="G21">
        <v>20262.670948528801</v>
      </c>
      <c r="H21">
        <v>20473.558888041302</v>
      </c>
      <c r="I21">
        <v>20597.950881285298</v>
      </c>
      <c r="J21">
        <v>20597.950881285298</v>
      </c>
      <c r="K21">
        <v>20686.122847007799</v>
      </c>
      <c r="L21">
        <v>20852.307631498399</v>
      </c>
      <c r="M21">
        <v>20983.482345314402</v>
      </c>
      <c r="N21">
        <v>21106.261974123801</v>
      </c>
      <c r="O21">
        <v>21521.305354528002</v>
      </c>
      <c r="P21">
        <v>21749.629539166599</v>
      </c>
      <c r="Q21">
        <v>22039.037781133698</v>
      </c>
      <c r="R21">
        <v>22303.763396533701</v>
      </c>
      <c r="S21">
        <v>22779.217468301998</v>
      </c>
      <c r="T21">
        <v>23097.623650680602</v>
      </c>
      <c r="U21">
        <v>23428.880313206599</v>
      </c>
      <c r="V21">
        <v>23813.596453121601</v>
      </c>
      <c r="W21">
        <v>23982.434820317001</v>
      </c>
      <c r="X21">
        <v>24311.332199631499</v>
      </c>
      <c r="Y21">
        <v>24795.8313262464</v>
      </c>
      <c r="Z21">
        <v>25136</v>
      </c>
      <c r="AA21">
        <v>25942</v>
      </c>
      <c r="AB21">
        <v>26580.398255587599</v>
      </c>
      <c r="AC21">
        <v>27086.6073045347</v>
      </c>
      <c r="AD21">
        <v>27471.950967857199</v>
      </c>
      <c r="AE21">
        <v>27946.553793185201</v>
      </c>
    </row>
    <row r="22" spans="1:31" x14ac:dyDescent="0.3">
      <c r="A22" t="s">
        <v>308</v>
      </c>
      <c r="B22" t="s">
        <v>162</v>
      </c>
      <c r="C22" t="s">
        <v>0</v>
      </c>
      <c r="D22" t="s">
        <v>163</v>
      </c>
      <c r="E22" t="s">
        <v>123</v>
      </c>
      <c r="F22">
        <v>7167.5072695282997</v>
      </c>
      <c r="G22">
        <v>7243.92363004666</v>
      </c>
      <c r="H22">
        <v>7350.1446255833998</v>
      </c>
      <c r="I22">
        <v>7430.0744722752997</v>
      </c>
      <c r="J22">
        <v>7508.5317852829303</v>
      </c>
      <c r="K22">
        <v>7605.9819057927698</v>
      </c>
      <c r="L22">
        <v>7610.6215856865001</v>
      </c>
      <c r="M22">
        <v>7721.8446213307898</v>
      </c>
      <c r="N22">
        <v>7854.1183205922598</v>
      </c>
      <c r="O22">
        <v>7942.0429338343502</v>
      </c>
      <c r="P22">
        <v>8034.00343096295</v>
      </c>
      <c r="Q22">
        <v>8206.4638744941894</v>
      </c>
      <c r="R22">
        <v>8321.9771358854796</v>
      </c>
      <c r="S22">
        <v>8477.22034983925</v>
      </c>
      <c r="T22">
        <v>8594.1098572403898</v>
      </c>
      <c r="U22">
        <v>8804.9401829828894</v>
      </c>
      <c r="V22">
        <v>8880.1582649480697</v>
      </c>
      <c r="W22">
        <v>8825.3554842956491</v>
      </c>
      <c r="X22">
        <v>8819.3491171330206</v>
      </c>
      <c r="Y22">
        <v>8833.2206919717792</v>
      </c>
      <c r="Z22">
        <v>8786</v>
      </c>
      <c r="AA22">
        <v>8844</v>
      </c>
      <c r="AB22">
        <v>8849.0490979675706</v>
      </c>
      <c r="AC22">
        <v>8989.4167098377202</v>
      </c>
      <c r="AD22">
        <v>9021.7595847725806</v>
      </c>
      <c r="AE22">
        <v>9332.2776908436899</v>
      </c>
    </row>
    <row r="23" spans="1:31" x14ac:dyDescent="0.3">
      <c r="A23" t="s">
        <v>308</v>
      </c>
      <c r="B23" t="s">
        <v>164</v>
      </c>
      <c r="C23" t="s">
        <v>0</v>
      </c>
      <c r="D23" t="s">
        <v>165</v>
      </c>
      <c r="E23" t="s">
        <v>123</v>
      </c>
      <c r="F23">
        <v>1313.7380535556999</v>
      </c>
      <c r="G23">
        <v>1275.8563334416301</v>
      </c>
      <c r="H23">
        <v>1272.8040455625901</v>
      </c>
      <c r="I23">
        <v>1265.0994205894499</v>
      </c>
      <c r="J23">
        <v>1269.5644773680001</v>
      </c>
      <c r="K23">
        <v>1278.0282405504499</v>
      </c>
      <c r="L23">
        <v>1271.1865476138901</v>
      </c>
      <c r="M23">
        <v>1273.75719786184</v>
      </c>
      <c r="N23">
        <v>1276.3514080407899</v>
      </c>
      <c r="O23">
        <v>1290.69243509742</v>
      </c>
      <c r="P23">
        <v>1298.3372076646399</v>
      </c>
      <c r="Q23">
        <v>1317.76975707776</v>
      </c>
      <c r="R23">
        <v>1360.87981986457</v>
      </c>
      <c r="S23">
        <v>1411.2017424640601</v>
      </c>
      <c r="T23">
        <v>1452.5859577855899</v>
      </c>
      <c r="U23">
        <v>1528.2086540694399</v>
      </c>
      <c r="V23">
        <v>1560.6523224208399</v>
      </c>
      <c r="W23">
        <v>1622.94726806369</v>
      </c>
      <c r="X23">
        <v>1637.3460397702099</v>
      </c>
      <c r="Y23">
        <v>1693.8758660508099</v>
      </c>
      <c r="Z23">
        <v>1737</v>
      </c>
      <c r="AA23">
        <v>1766</v>
      </c>
      <c r="AB23">
        <v>1813.9944536882999</v>
      </c>
      <c r="AC23">
        <v>1865.6861162208399</v>
      </c>
      <c r="AD23">
        <v>1924.70930526589</v>
      </c>
      <c r="AE23">
        <v>2046.3255525766499</v>
      </c>
    </row>
    <row r="24" spans="1:31" x14ac:dyDescent="0.3">
      <c r="A24" t="s">
        <v>308</v>
      </c>
      <c r="B24" t="s">
        <v>166</v>
      </c>
      <c r="C24" t="s">
        <v>0</v>
      </c>
      <c r="D24" t="s">
        <v>167</v>
      </c>
      <c r="E24" t="s">
        <v>123</v>
      </c>
      <c r="F24">
        <v>11316.5349424816</v>
      </c>
      <c r="G24">
        <v>11193.247877203699</v>
      </c>
      <c r="H24">
        <v>11055.173273455301</v>
      </c>
      <c r="I24">
        <v>10864.7552105778</v>
      </c>
      <c r="J24">
        <v>10708.7300045712</v>
      </c>
      <c r="K24">
        <v>10553.1415353461</v>
      </c>
      <c r="L24">
        <v>10260.7956080239</v>
      </c>
      <c r="M24">
        <v>10024.1064325271</v>
      </c>
      <c r="N24">
        <v>9878.9985198421891</v>
      </c>
      <c r="O24">
        <v>9803.1470617867399</v>
      </c>
      <c r="P24">
        <v>9585.4408088561504</v>
      </c>
      <c r="Q24">
        <v>9183.7790205764304</v>
      </c>
      <c r="R24">
        <v>9071.9947190707499</v>
      </c>
      <c r="S24">
        <v>8910.1900410251401</v>
      </c>
      <c r="T24">
        <v>8723.9359233402593</v>
      </c>
      <c r="U24">
        <v>8517.1478861728792</v>
      </c>
      <c r="V24">
        <v>8297.3505213684202</v>
      </c>
      <c r="W24">
        <v>8208.4268124201808</v>
      </c>
      <c r="X24">
        <v>8079.4932422326301</v>
      </c>
      <c r="Y24">
        <v>7869.1108443377398</v>
      </c>
      <c r="Z24">
        <v>7521</v>
      </c>
      <c r="AA24">
        <v>7456</v>
      </c>
      <c r="AB24">
        <v>7476.5103484411802</v>
      </c>
      <c r="AC24">
        <v>7499.4093081607598</v>
      </c>
      <c r="AD24">
        <v>7410.3274194892401</v>
      </c>
      <c r="AE24">
        <v>7293.8706610357303</v>
      </c>
    </row>
    <row r="25" spans="1:31" x14ac:dyDescent="0.3">
      <c r="A25" t="s">
        <v>308</v>
      </c>
      <c r="B25" t="s">
        <v>168</v>
      </c>
      <c r="C25" t="s">
        <v>0</v>
      </c>
      <c r="D25" t="s">
        <v>169</v>
      </c>
      <c r="E25" t="s">
        <v>123</v>
      </c>
      <c r="F25">
        <v>1665.67971507077</v>
      </c>
      <c r="G25">
        <v>1609.79484112618</v>
      </c>
      <c r="H25">
        <v>1573.84796603307</v>
      </c>
      <c r="I25">
        <v>1534.42291678374</v>
      </c>
      <c r="J25">
        <v>1516.15597729822</v>
      </c>
      <c r="K25">
        <v>1464.2229466771601</v>
      </c>
      <c r="L25">
        <v>1415.3223711679</v>
      </c>
      <c r="M25">
        <v>1368.0574311288999</v>
      </c>
      <c r="N25">
        <v>1334.9165049872099</v>
      </c>
      <c r="O25">
        <v>1326.9229929813</v>
      </c>
      <c r="P25">
        <v>1317.78080700604</v>
      </c>
      <c r="Q25">
        <v>1310.4051681608501</v>
      </c>
      <c r="R25">
        <v>1285.9442716885201</v>
      </c>
      <c r="S25">
        <v>1276.1028614459999</v>
      </c>
      <c r="T25">
        <v>1249.19396088023</v>
      </c>
      <c r="U25">
        <v>1232.39807569193</v>
      </c>
      <c r="V25">
        <v>1163.93151593126</v>
      </c>
      <c r="W25">
        <v>1138.6763981327599</v>
      </c>
      <c r="X25">
        <v>1108.7383967312601</v>
      </c>
      <c r="Y25">
        <v>1062.16125860374</v>
      </c>
      <c r="Z25">
        <v>1021</v>
      </c>
      <c r="AA25">
        <v>996</v>
      </c>
      <c r="AB25">
        <v>959.90597453477005</v>
      </c>
      <c r="AC25">
        <v>953.23996082272299</v>
      </c>
      <c r="AD25">
        <v>955.07311459353605</v>
      </c>
      <c r="AE25">
        <v>928.85884795327399</v>
      </c>
    </row>
    <row r="26" spans="1:31" x14ac:dyDescent="0.3">
      <c r="A26" t="s">
        <v>308</v>
      </c>
      <c r="B26" t="s">
        <v>170</v>
      </c>
      <c r="C26" t="s">
        <v>0</v>
      </c>
      <c r="D26" t="s">
        <v>171</v>
      </c>
      <c r="E26" t="s">
        <v>123</v>
      </c>
      <c r="F26">
        <v>6186.2813649569498</v>
      </c>
      <c r="G26">
        <v>6160.06830832577</v>
      </c>
      <c r="H26">
        <v>6045.3036923096397</v>
      </c>
      <c r="I26">
        <v>5905.1911848576701</v>
      </c>
      <c r="J26">
        <v>5767.0491802761599</v>
      </c>
      <c r="K26">
        <v>5622.8015410468697</v>
      </c>
      <c r="L26">
        <v>5416.3339202006</v>
      </c>
      <c r="M26">
        <v>5228.0176746307097</v>
      </c>
      <c r="N26">
        <v>5030.9297067378802</v>
      </c>
      <c r="O26">
        <v>4835.0560390336896</v>
      </c>
      <c r="P26">
        <v>4678.1399723315399</v>
      </c>
      <c r="Q26">
        <v>4383.5589893627503</v>
      </c>
      <c r="R26">
        <v>4296.2370971443697</v>
      </c>
      <c r="S26">
        <v>4166.1143650089198</v>
      </c>
      <c r="T26">
        <v>3957.08428509541</v>
      </c>
      <c r="U26">
        <v>3742.9040796935901</v>
      </c>
      <c r="V26">
        <v>3642.01717727597</v>
      </c>
      <c r="W26">
        <v>3568.4964930706401</v>
      </c>
      <c r="X26">
        <v>3446.8314869503502</v>
      </c>
      <c r="Y26">
        <v>3360.8881967213101</v>
      </c>
      <c r="Z26">
        <v>3059</v>
      </c>
      <c r="AA26">
        <v>3022</v>
      </c>
      <c r="AB26">
        <v>3022.9770449401899</v>
      </c>
      <c r="AC26">
        <v>3043.0283772029002</v>
      </c>
      <c r="AD26">
        <v>2950.2026852374802</v>
      </c>
      <c r="AE26">
        <v>2826.6569238420302</v>
      </c>
    </row>
    <row r="27" spans="1:31" x14ac:dyDescent="0.3">
      <c r="A27" t="s">
        <v>308</v>
      </c>
      <c r="B27" t="s">
        <v>172</v>
      </c>
      <c r="C27" t="s">
        <v>0</v>
      </c>
      <c r="D27" t="s">
        <v>173</v>
      </c>
      <c r="E27" t="s">
        <v>123</v>
      </c>
      <c r="F27">
        <v>3481.1448692906201</v>
      </c>
      <c r="G27">
        <v>3439.6673985075799</v>
      </c>
      <c r="H27">
        <v>3450.1633321560298</v>
      </c>
      <c r="I27">
        <v>3437.8687634891098</v>
      </c>
      <c r="J27">
        <v>3436.4020959278901</v>
      </c>
      <c r="K27">
        <v>3473.7843910890701</v>
      </c>
      <c r="L27">
        <v>3434.9187478245699</v>
      </c>
      <c r="M27">
        <v>3432.38748861468</v>
      </c>
      <c r="N27">
        <v>3515.8537013943101</v>
      </c>
      <c r="O27">
        <v>3641.0051909485301</v>
      </c>
      <c r="P27">
        <v>3589.4221872066901</v>
      </c>
      <c r="Q27">
        <v>3489.8493123610501</v>
      </c>
      <c r="R27">
        <v>3489.8493123610501</v>
      </c>
      <c r="S27">
        <v>3467.9899367746998</v>
      </c>
      <c r="T27">
        <v>3517.6508905232599</v>
      </c>
      <c r="U27">
        <v>3541.7875165620599</v>
      </c>
      <c r="V27">
        <v>3491.3187267440399</v>
      </c>
      <c r="W27">
        <v>3501.2029257187801</v>
      </c>
      <c r="X27">
        <v>3523.8978179892001</v>
      </c>
      <c r="Y27">
        <v>3446.01603498542</v>
      </c>
      <c r="Z27">
        <v>3441</v>
      </c>
      <c r="AA27">
        <v>3438</v>
      </c>
      <c r="AB27">
        <v>3493.6721590909101</v>
      </c>
      <c r="AC27">
        <v>3503.2124981381298</v>
      </c>
      <c r="AD27">
        <v>3505.0490446640201</v>
      </c>
      <c r="AE27">
        <v>3538.3220558299499</v>
      </c>
    </row>
    <row r="28" spans="1:31" x14ac:dyDescent="0.3">
      <c r="A28" t="s">
        <v>308</v>
      </c>
      <c r="B28" t="s">
        <v>174</v>
      </c>
      <c r="C28" t="s">
        <v>0</v>
      </c>
      <c r="D28" t="s">
        <v>175</v>
      </c>
      <c r="E28" t="s">
        <v>123</v>
      </c>
      <c r="F28">
        <v>6932.8806691269701</v>
      </c>
      <c r="G28">
        <v>7042.8458334737898</v>
      </c>
      <c r="H28">
        <v>7117.4989813111397</v>
      </c>
      <c r="I28">
        <v>7372.8277841577101</v>
      </c>
      <c r="J28">
        <v>7461.2231439144798</v>
      </c>
      <c r="K28">
        <v>7487.9715187450502</v>
      </c>
      <c r="L28">
        <v>7468.4715929149797</v>
      </c>
      <c r="M28">
        <v>7449.8362511284404</v>
      </c>
      <c r="N28">
        <v>7494.0531616750604</v>
      </c>
      <c r="O28">
        <v>7506.6977958061198</v>
      </c>
      <c r="P28">
        <v>7386.6561083572797</v>
      </c>
      <c r="Q28">
        <v>7429.5715399727396</v>
      </c>
      <c r="R28">
        <v>7476.3913937901498</v>
      </c>
      <c r="S28">
        <v>7659.2505021831603</v>
      </c>
      <c r="T28">
        <v>7676.5302551491604</v>
      </c>
      <c r="U28">
        <v>7667.7570777147102</v>
      </c>
      <c r="V28">
        <v>7655.5578691733599</v>
      </c>
      <c r="W28">
        <v>7601.3836702934104</v>
      </c>
      <c r="X28">
        <v>7551.0367126149504</v>
      </c>
      <c r="Y28">
        <v>7471.4683594788603</v>
      </c>
      <c r="Z28">
        <v>7429</v>
      </c>
      <c r="AA28">
        <v>7434</v>
      </c>
      <c r="AB28">
        <v>7554.3237118964098</v>
      </c>
      <c r="AC28">
        <v>6999.2604123007204</v>
      </c>
      <c r="AD28">
        <v>7974.0798818849998</v>
      </c>
      <c r="AE28">
        <v>8136.2738762648696</v>
      </c>
    </row>
    <row r="29" spans="1:31" x14ac:dyDescent="0.3">
      <c r="A29" t="s">
        <v>308</v>
      </c>
      <c r="B29" t="s">
        <v>176</v>
      </c>
      <c r="C29" t="s">
        <v>0</v>
      </c>
      <c r="D29" t="s">
        <v>177</v>
      </c>
      <c r="E29" t="s">
        <v>123</v>
      </c>
      <c r="F29">
        <v>1773.4210428046999</v>
      </c>
      <c r="G29">
        <v>1841.3111107365301</v>
      </c>
      <c r="H29">
        <v>1879.53327278251</v>
      </c>
      <c r="I29">
        <v>1889.4082286815401</v>
      </c>
      <c r="J29">
        <v>1913.6107252060699</v>
      </c>
      <c r="K29">
        <v>1918.2704915823799</v>
      </c>
      <c r="L29">
        <v>1915.2964288047301</v>
      </c>
      <c r="M29">
        <v>1898.2967563597199</v>
      </c>
      <c r="N29">
        <v>1877.1104086324899</v>
      </c>
      <c r="O29">
        <v>1846.4067439559799</v>
      </c>
      <c r="P29">
        <v>1845.0540650226801</v>
      </c>
      <c r="Q29">
        <v>1868.2785217851999</v>
      </c>
      <c r="R29">
        <v>1852.3417627411</v>
      </c>
      <c r="S29">
        <v>1888.0301372873901</v>
      </c>
      <c r="T29">
        <v>1916.0169010100001</v>
      </c>
      <c r="U29">
        <v>1904.0008315053799</v>
      </c>
      <c r="V29">
        <v>1939.48599551713</v>
      </c>
      <c r="W29">
        <v>1896.9067200941399</v>
      </c>
      <c r="X29">
        <v>1899.93208966367</v>
      </c>
      <c r="Y29">
        <v>1860.12209302326</v>
      </c>
      <c r="Z29">
        <v>1871</v>
      </c>
      <c r="AA29">
        <v>1847</v>
      </c>
      <c r="AB29">
        <v>1791.1813275769</v>
      </c>
      <c r="AC29">
        <v>1092.1837363273801</v>
      </c>
      <c r="AD29">
        <v>1878.7435258369701</v>
      </c>
      <c r="AE29">
        <v>1933.1998599192</v>
      </c>
    </row>
    <row r="30" spans="1:31" x14ac:dyDescent="0.3">
      <c r="A30" t="s">
        <v>308</v>
      </c>
      <c r="B30" t="s">
        <v>178</v>
      </c>
      <c r="C30" t="s">
        <v>0</v>
      </c>
      <c r="D30" t="s">
        <v>179</v>
      </c>
      <c r="E30" t="s">
        <v>123</v>
      </c>
      <c r="F30">
        <v>251.74511092531301</v>
      </c>
      <c r="G30">
        <v>229.632364695386</v>
      </c>
      <c r="H30">
        <v>204.11765750700999</v>
      </c>
      <c r="I30">
        <v>202.444561953674</v>
      </c>
      <c r="J30">
        <v>194.21510821571999</v>
      </c>
      <c r="K30">
        <v>184.663545516586</v>
      </c>
      <c r="L30">
        <v>178.60900304063199</v>
      </c>
      <c r="M30">
        <v>174.2526858933</v>
      </c>
      <c r="N30">
        <v>155.53132294608599</v>
      </c>
      <c r="O30">
        <v>148.46171735762701</v>
      </c>
      <c r="P30">
        <v>140.213844171093</v>
      </c>
      <c r="Q30">
        <v>136.24552782662801</v>
      </c>
      <c r="R30">
        <v>129.99573297219499</v>
      </c>
      <c r="S30">
        <v>121.870999661433</v>
      </c>
      <c r="T30">
        <v>116.47847755252</v>
      </c>
      <c r="U30">
        <v>120.83281316196</v>
      </c>
      <c r="V30">
        <v>118.595168473776</v>
      </c>
      <c r="W30">
        <v>112.126341102479</v>
      </c>
      <c r="X30">
        <v>108.04901960784299</v>
      </c>
      <c r="Y30">
        <v>103</v>
      </c>
      <c r="Z30">
        <v>96</v>
      </c>
      <c r="AA30">
        <v>90</v>
      </c>
      <c r="AB30">
        <v>85.054945054945094</v>
      </c>
      <c r="AC30">
        <v>93.7537462537463</v>
      </c>
      <c r="AD30">
        <v>89.066058941058898</v>
      </c>
      <c r="AE30">
        <v>86.367087457996504</v>
      </c>
    </row>
    <row r="31" spans="1:31" x14ac:dyDescent="0.3">
      <c r="A31" t="s">
        <v>308</v>
      </c>
      <c r="B31" t="s">
        <v>180</v>
      </c>
      <c r="C31" t="s">
        <v>0</v>
      </c>
      <c r="D31" t="s">
        <v>181</v>
      </c>
      <c r="E31" t="s">
        <v>123</v>
      </c>
      <c r="F31">
        <v>118.778127230086</v>
      </c>
      <c r="G31">
        <v>121.25267154737899</v>
      </c>
      <c r="H31">
        <v>122.50269908910499</v>
      </c>
      <c r="I31">
        <v>130.08018563069899</v>
      </c>
      <c r="J31">
        <v>142.351901256237</v>
      </c>
      <c r="K31">
        <v>134.18416921694401</v>
      </c>
      <c r="L31">
        <v>118.397796367892</v>
      </c>
      <c r="M31">
        <v>104.655195003762</v>
      </c>
      <c r="N31">
        <v>91.969716821487694</v>
      </c>
      <c r="O31">
        <v>80.341361821069697</v>
      </c>
      <c r="P31">
        <v>69.011169769380402</v>
      </c>
      <c r="Q31">
        <v>60.138305084745802</v>
      </c>
      <c r="R31">
        <v>46.983050847457598</v>
      </c>
      <c r="S31">
        <v>51.3333333333333</v>
      </c>
      <c r="T31">
        <v>9.7777777777777803</v>
      </c>
      <c r="U31">
        <v>8</v>
      </c>
      <c r="V31">
        <v>6</v>
      </c>
      <c r="W31">
        <v>3</v>
      </c>
      <c r="X31">
        <v>2</v>
      </c>
      <c r="Y31">
        <v>2</v>
      </c>
      <c r="Z31">
        <v>2</v>
      </c>
      <c r="AA31">
        <v>3</v>
      </c>
      <c r="AB31">
        <v>7</v>
      </c>
      <c r="AC31">
        <v>16</v>
      </c>
      <c r="AD31">
        <v>22</v>
      </c>
      <c r="AE31">
        <v>21.043478260869598</v>
      </c>
    </row>
    <row r="32" spans="1:31" x14ac:dyDescent="0.3">
      <c r="A32" t="s">
        <v>308</v>
      </c>
      <c r="B32" t="s">
        <v>182</v>
      </c>
      <c r="C32" t="s">
        <v>0</v>
      </c>
      <c r="D32" t="s">
        <v>183</v>
      </c>
      <c r="E32" t="s">
        <v>123</v>
      </c>
      <c r="F32">
        <v>4326.8059226551304</v>
      </c>
      <c r="G32">
        <v>4381.9903744387002</v>
      </c>
      <c r="H32">
        <v>4425.1882290762996</v>
      </c>
      <c r="I32">
        <v>4626.1029178439803</v>
      </c>
      <c r="J32">
        <v>4680.8791633728097</v>
      </c>
      <c r="K32">
        <v>4717.6107296497003</v>
      </c>
      <c r="L32">
        <v>4735.80787807651</v>
      </c>
      <c r="M32">
        <v>4773.6245257515702</v>
      </c>
      <c r="N32">
        <v>4889.1387308514204</v>
      </c>
      <c r="O32">
        <v>4969.93922596842</v>
      </c>
      <c r="P32">
        <v>4890.0897868808397</v>
      </c>
      <c r="Q32">
        <v>4946.50885337826</v>
      </c>
      <c r="R32">
        <v>5059.3805448670801</v>
      </c>
      <c r="S32">
        <v>5186.4479364317203</v>
      </c>
      <c r="T32">
        <v>5216.8478824690001</v>
      </c>
      <c r="U32">
        <v>5233.3883006125297</v>
      </c>
      <c r="V32">
        <v>5204.5786254450604</v>
      </c>
      <c r="W32">
        <v>5185.5258665965803</v>
      </c>
      <c r="X32">
        <v>5158.4080671780002</v>
      </c>
      <c r="Y32">
        <v>5131.5982466171099</v>
      </c>
      <c r="Z32">
        <v>5174</v>
      </c>
      <c r="AA32">
        <v>5260</v>
      </c>
      <c r="AB32">
        <v>5456.1935730680898</v>
      </c>
      <c r="AC32">
        <v>5603.9226800312099</v>
      </c>
      <c r="AD32">
        <v>5802.7440624955698</v>
      </c>
      <c r="AE32">
        <v>5929.8517895788</v>
      </c>
    </row>
    <row r="33" spans="1:31" x14ac:dyDescent="0.3">
      <c r="A33" t="s">
        <v>308</v>
      </c>
      <c r="B33" t="s">
        <v>184</v>
      </c>
      <c r="C33" t="s">
        <v>0</v>
      </c>
      <c r="D33" t="s">
        <v>185</v>
      </c>
      <c r="E33" t="s">
        <v>123</v>
      </c>
      <c r="F33">
        <v>419.64505167919202</v>
      </c>
      <c r="G33">
        <v>424.23970552969399</v>
      </c>
      <c r="H33">
        <v>439.666603912592</v>
      </c>
      <c r="I33">
        <v>475.39922543198998</v>
      </c>
      <c r="J33">
        <v>476.89890753114503</v>
      </c>
      <c r="K33">
        <v>482.59322284494903</v>
      </c>
      <c r="L33">
        <v>475.69903394716403</v>
      </c>
      <c r="M33">
        <v>461.44102475528803</v>
      </c>
      <c r="N33">
        <v>449.67623942158298</v>
      </c>
      <c r="O33">
        <v>436.56614497780498</v>
      </c>
      <c r="P33">
        <v>421.248034627707</v>
      </c>
      <c r="Q33">
        <v>401.82449412614102</v>
      </c>
      <c r="R33">
        <v>377.36561187498501</v>
      </c>
      <c r="S33">
        <v>399.24187923005599</v>
      </c>
      <c r="T33">
        <v>417.90773332392899</v>
      </c>
      <c r="U33">
        <v>403.17043290444599</v>
      </c>
      <c r="V33">
        <v>388.53016578780398</v>
      </c>
      <c r="W33">
        <v>406.19062786906699</v>
      </c>
      <c r="X33">
        <v>384.43041566179602</v>
      </c>
      <c r="Y33">
        <v>376.31578947368399</v>
      </c>
      <c r="Z33">
        <v>286</v>
      </c>
      <c r="AA33">
        <v>234</v>
      </c>
      <c r="AB33">
        <v>216.37656903765699</v>
      </c>
      <c r="AC33">
        <v>199.21895563378999</v>
      </c>
      <c r="AD33">
        <v>183.61194067630399</v>
      </c>
      <c r="AE33">
        <v>168.74811690727</v>
      </c>
    </row>
    <row r="34" spans="1:31" x14ac:dyDescent="0.3">
      <c r="A34" t="s">
        <v>308</v>
      </c>
      <c r="B34" t="s">
        <v>186</v>
      </c>
      <c r="C34" t="s">
        <v>0</v>
      </c>
      <c r="D34" t="s">
        <v>187</v>
      </c>
      <c r="E34" t="s">
        <v>123</v>
      </c>
      <c r="F34">
        <v>1675.0735198695099</v>
      </c>
      <c r="G34">
        <v>1661.3932461137699</v>
      </c>
      <c r="H34">
        <v>1656.8037620084899</v>
      </c>
      <c r="I34">
        <v>1629.0102226644501</v>
      </c>
      <c r="J34">
        <v>1614.13341697801</v>
      </c>
      <c r="K34">
        <v>1588.7362128647201</v>
      </c>
      <c r="L34">
        <v>1542.24995534545</v>
      </c>
      <c r="M34">
        <v>1537.11340262156</v>
      </c>
      <c r="N34">
        <v>1490.45566021484</v>
      </c>
      <c r="O34">
        <v>1469.62833221184</v>
      </c>
      <c r="P34">
        <v>1448.03483035566</v>
      </c>
      <c r="Q34">
        <v>1457.72068206372</v>
      </c>
      <c r="R34">
        <v>1463.5376041789</v>
      </c>
      <c r="S34">
        <v>1465.72362001785</v>
      </c>
      <c r="T34">
        <v>1470.89919777215</v>
      </c>
      <c r="U34">
        <v>1493.99682971433</v>
      </c>
      <c r="V34">
        <v>1472.6700530317</v>
      </c>
      <c r="W34">
        <v>1459.4917975235901</v>
      </c>
      <c r="X34">
        <v>1420.32464476519</v>
      </c>
      <c r="Y34">
        <v>1393.0495626822201</v>
      </c>
      <c r="Z34">
        <v>1376</v>
      </c>
      <c r="AA34">
        <v>1376</v>
      </c>
      <c r="AB34">
        <v>1396.52272727273</v>
      </c>
      <c r="AC34">
        <v>1411.7748526217799</v>
      </c>
      <c r="AD34">
        <v>1413.60951779738</v>
      </c>
      <c r="AE34">
        <v>1440.7270271115599</v>
      </c>
    </row>
    <row r="35" spans="1:31" x14ac:dyDescent="0.3">
      <c r="A35" t="s">
        <v>308</v>
      </c>
      <c r="B35" t="s">
        <v>188</v>
      </c>
      <c r="C35" t="s">
        <v>0</v>
      </c>
      <c r="D35" t="s">
        <v>189</v>
      </c>
      <c r="E35" t="s">
        <v>123</v>
      </c>
      <c r="F35">
        <v>5218.8445092545398</v>
      </c>
      <c r="G35">
        <v>5465.5408875215599</v>
      </c>
      <c r="H35">
        <v>5702.3403652861098</v>
      </c>
      <c r="I35">
        <v>5906.84749135734</v>
      </c>
      <c r="J35">
        <v>6261.9314858520402</v>
      </c>
      <c r="K35">
        <v>6578.7019443279996</v>
      </c>
      <c r="L35">
        <v>6861.4897936118196</v>
      </c>
      <c r="M35">
        <v>6958.1933574853601</v>
      </c>
      <c r="N35">
        <v>6906.6075139115401</v>
      </c>
      <c r="O35">
        <v>6524.8352392732204</v>
      </c>
      <c r="P35">
        <v>6119.6527511813001</v>
      </c>
      <c r="Q35">
        <v>5783.4520768194798</v>
      </c>
      <c r="R35">
        <v>5441.4740409727601</v>
      </c>
      <c r="S35">
        <v>5104.4749990242599</v>
      </c>
      <c r="T35">
        <v>4780.4508515416901</v>
      </c>
      <c r="U35">
        <v>4498.0707314738802</v>
      </c>
      <c r="V35">
        <v>4220.4805851227402</v>
      </c>
      <c r="W35">
        <v>3903.89159993667</v>
      </c>
      <c r="X35">
        <v>3672.5945705741101</v>
      </c>
      <c r="Y35">
        <v>3661.6553503530699</v>
      </c>
      <c r="Z35">
        <v>3635</v>
      </c>
      <c r="AA35">
        <v>3463</v>
      </c>
      <c r="AB35">
        <v>3349.6070704143699</v>
      </c>
      <c r="AC35">
        <v>3304.7244822293901</v>
      </c>
      <c r="AD35">
        <v>3280.18211246704</v>
      </c>
      <c r="AE35">
        <v>3542.1570033259</v>
      </c>
    </row>
    <row r="36" spans="1:31" x14ac:dyDescent="0.3">
      <c r="A36" t="s">
        <v>308</v>
      </c>
      <c r="B36" t="s">
        <v>190</v>
      </c>
      <c r="C36" t="s">
        <v>0</v>
      </c>
      <c r="D36" t="s">
        <v>191</v>
      </c>
      <c r="E36" t="s">
        <v>123</v>
      </c>
      <c r="F36">
        <v>471.061839057643</v>
      </c>
      <c r="G36">
        <v>466.503176099021</v>
      </c>
      <c r="H36">
        <v>498.62306691239598</v>
      </c>
      <c r="I36">
        <v>529.49756021966596</v>
      </c>
      <c r="J36">
        <v>538.42167640314301</v>
      </c>
      <c r="K36">
        <v>537.01219557486297</v>
      </c>
      <c r="L36">
        <v>521.98131987174895</v>
      </c>
      <c r="M36">
        <v>515.56877294457797</v>
      </c>
      <c r="N36">
        <v>514.27662063143396</v>
      </c>
      <c r="O36">
        <v>511.67268837507203</v>
      </c>
      <c r="P36">
        <v>506.60662215353602</v>
      </c>
      <c r="Q36">
        <v>496.95697220775497</v>
      </c>
      <c r="R36">
        <v>492.31251452356997</v>
      </c>
      <c r="S36">
        <v>467.205667884896</v>
      </c>
      <c r="T36">
        <v>458.93654101967599</v>
      </c>
      <c r="U36">
        <v>453.697539409863</v>
      </c>
      <c r="V36">
        <v>452.57729857181403</v>
      </c>
      <c r="W36">
        <v>425.11508385265</v>
      </c>
      <c r="X36">
        <v>430.27424749163902</v>
      </c>
      <c r="Y36">
        <v>302</v>
      </c>
      <c r="Z36">
        <v>293</v>
      </c>
      <c r="AA36">
        <v>272</v>
      </c>
      <c r="AB36">
        <v>279.85559566786998</v>
      </c>
      <c r="AC36">
        <v>284.64764353889501</v>
      </c>
      <c r="AD36">
        <v>286.49600486057602</v>
      </c>
      <c r="AE36">
        <v>270.57956014609999</v>
      </c>
    </row>
    <row r="37" spans="1:31" x14ac:dyDescent="0.3">
      <c r="A37" t="s">
        <v>308</v>
      </c>
      <c r="B37" t="s">
        <v>192</v>
      </c>
      <c r="C37" t="s">
        <v>0</v>
      </c>
      <c r="D37" t="s">
        <v>193</v>
      </c>
      <c r="E37" t="s">
        <v>123</v>
      </c>
      <c r="F37">
        <v>4621.6833332750903</v>
      </c>
      <c r="G37">
        <v>4874.34939249741</v>
      </c>
      <c r="H37">
        <v>5080.0107264037197</v>
      </c>
      <c r="I37">
        <v>5249.6871980346205</v>
      </c>
      <c r="J37">
        <v>5601.25149761183</v>
      </c>
      <c r="K37">
        <v>5918.5841289312402</v>
      </c>
      <c r="L37">
        <v>6222.9863879483801</v>
      </c>
      <c r="M37">
        <v>6334.43386924271</v>
      </c>
      <c r="N37">
        <v>6289.7622622663903</v>
      </c>
      <c r="O37">
        <v>5986.7114050619803</v>
      </c>
      <c r="P37">
        <v>5588.5352998604403</v>
      </c>
      <c r="Q37">
        <v>5260.5885434472802</v>
      </c>
      <c r="R37">
        <v>4923.1120559171404</v>
      </c>
      <c r="S37">
        <v>4614.0112027551604</v>
      </c>
      <c r="T37">
        <v>4298.8705042328502</v>
      </c>
      <c r="U37">
        <v>4021.12822204448</v>
      </c>
      <c r="V37">
        <v>3721.6707479653201</v>
      </c>
      <c r="W37">
        <v>3419.2324930516602</v>
      </c>
      <c r="X37">
        <v>3176.5708412375402</v>
      </c>
      <c r="Y37">
        <v>2903.6151898734201</v>
      </c>
      <c r="Z37">
        <v>2716</v>
      </c>
      <c r="AA37">
        <v>2568</v>
      </c>
      <c r="AB37">
        <v>2446.4858044163998</v>
      </c>
      <c r="AC37">
        <v>2318.6549545071898</v>
      </c>
      <c r="AD37">
        <v>2148.0675164238401</v>
      </c>
      <c r="AE37">
        <v>2087.4140027107401</v>
      </c>
    </row>
    <row r="38" spans="1:31" x14ac:dyDescent="0.3">
      <c r="A38" t="s">
        <v>308</v>
      </c>
      <c r="B38" t="s">
        <v>194</v>
      </c>
      <c r="C38" t="s">
        <v>0</v>
      </c>
      <c r="D38" t="s">
        <v>195</v>
      </c>
      <c r="E38" t="s">
        <v>123</v>
      </c>
      <c r="F38">
        <v>120.75791725084601</v>
      </c>
      <c r="G38">
        <v>122.770549205027</v>
      </c>
      <c r="H38">
        <v>118.745285296665</v>
      </c>
      <c r="I38">
        <v>120.75791725084601</v>
      </c>
      <c r="J38">
        <v>116.924332576216</v>
      </c>
      <c r="K38">
        <v>122.405160665726</v>
      </c>
      <c r="L38">
        <v>120.631172829991</v>
      </c>
      <c r="M38">
        <v>114.021245551635</v>
      </c>
      <c r="N38">
        <v>107.314113460363</v>
      </c>
      <c r="O38">
        <v>16.767830228181701</v>
      </c>
      <c r="P38">
        <v>12.1947856204958</v>
      </c>
      <c r="Q38">
        <v>12.1947856204958</v>
      </c>
      <c r="R38">
        <v>10.9753070584462</v>
      </c>
      <c r="S38">
        <v>8.7802456467569403</v>
      </c>
      <c r="T38">
        <v>7.8046627971172802</v>
      </c>
      <c r="U38">
        <v>7.8046627971172802</v>
      </c>
      <c r="V38">
        <v>32.3336030166287</v>
      </c>
      <c r="W38">
        <v>47.4226177577222</v>
      </c>
      <c r="X38">
        <v>55.670029541673799</v>
      </c>
      <c r="Y38">
        <v>452.44551282051299</v>
      </c>
      <c r="Z38">
        <v>626</v>
      </c>
      <c r="AA38">
        <v>623</v>
      </c>
      <c r="AB38">
        <v>622.023510971787</v>
      </c>
      <c r="AC38">
        <v>697.27597248292204</v>
      </c>
      <c r="AD38">
        <v>835.81369859465997</v>
      </c>
      <c r="AE38">
        <v>1158.76160936056</v>
      </c>
    </row>
    <row r="39" spans="1:31" x14ac:dyDescent="0.3">
      <c r="A39" t="s">
        <v>308</v>
      </c>
      <c r="B39" t="s">
        <v>196</v>
      </c>
      <c r="C39" t="s">
        <v>0</v>
      </c>
      <c r="D39" t="s">
        <v>197</v>
      </c>
      <c r="E39" t="s">
        <v>123</v>
      </c>
      <c r="F39">
        <v>2159.2517644085601</v>
      </c>
      <c r="G39">
        <v>2026.2817467263001</v>
      </c>
      <c r="H39">
        <v>1877.20095755274</v>
      </c>
      <c r="I39">
        <v>1774.2775007965799</v>
      </c>
      <c r="J39">
        <v>1651.2490692459401</v>
      </c>
      <c r="K39">
        <v>1559.9810509627901</v>
      </c>
      <c r="L39">
        <v>1399.49477021858</v>
      </c>
      <c r="M39">
        <v>1256.3500996574101</v>
      </c>
      <c r="N39">
        <v>1086.08499374901</v>
      </c>
      <c r="O39">
        <v>870.94166563166596</v>
      </c>
      <c r="P39">
        <v>765.87166817900902</v>
      </c>
      <c r="Q39">
        <v>660.94121915290896</v>
      </c>
      <c r="R39">
        <v>669.04382604269904</v>
      </c>
      <c r="S39">
        <v>651.66606432730396</v>
      </c>
      <c r="T39">
        <v>702.03142261127596</v>
      </c>
      <c r="U39">
        <v>662.39220409830602</v>
      </c>
      <c r="V39">
        <v>637.859159502073</v>
      </c>
      <c r="W39">
        <v>617.10689232649099</v>
      </c>
      <c r="X39">
        <v>593.332254933679</v>
      </c>
      <c r="Y39">
        <v>567.09647495361799</v>
      </c>
      <c r="Z39">
        <v>541</v>
      </c>
      <c r="AA39">
        <v>514</v>
      </c>
      <c r="AB39">
        <v>487.61596958174903</v>
      </c>
      <c r="AC39">
        <v>465.66847975713</v>
      </c>
      <c r="AD39">
        <v>438.97997004772901</v>
      </c>
      <c r="AE39">
        <v>407.373412204293</v>
      </c>
    </row>
    <row r="40" spans="1:31" x14ac:dyDescent="0.3">
      <c r="A40" t="s">
        <v>308</v>
      </c>
      <c r="B40" t="s">
        <v>198</v>
      </c>
      <c r="C40" t="s">
        <v>0</v>
      </c>
      <c r="D40" t="s">
        <v>199</v>
      </c>
      <c r="E40" t="s">
        <v>123</v>
      </c>
      <c r="F40">
        <v>28968.2227796814</v>
      </c>
      <c r="G40">
        <v>29246.2143355607</v>
      </c>
      <c r="H40">
        <v>29234.085896667701</v>
      </c>
      <c r="I40">
        <v>30057.928942148701</v>
      </c>
      <c r="J40">
        <v>33883.132412843297</v>
      </c>
      <c r="K40">
        <v>36337.517185494296</v>
      </c>
      <c r="L40">
        <v>39669.203275649699</v>
      </c>
      <c r="M40">
        <v>41955.781273585701</v>
      </c>
      <c r="N40">
        <v>45776.498962997503</v>
      </c>
      <c r="O40">
        <v>47763.175431878299</v>
      </c>
      <c r="P40">
        <v>50417.949958716403</v>
      </c>
      <c r="Q40">
        <v>52986.3048813348</v>
      </c>
      <c r="R40">
        <v>57099.1647959861</v>
      </c>
      <c r="S40">
        <v>61561.139647426397</v>
      </c>
      <c r="T40">
        <v>63890.796830095896</v>
      </c>
      <c r="U40">
        <v>65681.991166814405</v>
      </c>
      <c r="V40">
        <v>68005.835506591902</v>
      </c>
      <c r="W40">
        <v>70214.730460280902</v>
      </c>
      <c r="X40">
        <v>71859.802924477</v>
      </c>
      <c r="Y40">
        <v>72676.437308044595</v>
      </c>
      <c r="Z40">
        <v>74110</v>
      </c>
      <c r="AA40">
        <v>75669</v>
      </c>
      <c r="AB40">
        <v>76963.740898693402</v>
      </c>
      <c r="AC40">
        <v>78947.844483879206</v>
      </c>
      <c r="AD40">
        <v>81284.765400992503</v>
      </c>
      <c r="AE40">
        <v>82970.723627946703</v>
      </c>
    </row>
    <row r="41" spans="1:31" x14ac:dyDescent="0.3">
      <c r="A41" t="s">
        <v>308</v>
      </c>
      <c r="B41" t="s">
        <v>200</v>
      </c>
      <c r="C41" t="s">
        <v>0</v>
      </c>
      <c r="D41" t="s">
        <v>201</v>
      </c>
      <c r="E41" t="s">
        <v>123</v>
      </c>
      <c r="F41">
        <v>1887.57501342777</v>
      </c>
      <c r="G41">
        <v>1869.5054440797901</v>
      </c>
      <c r="H41">
        <v>1876.6246574997499</v>
      </c>
      <c r="I41">
        <v>1892.71419080645</v>
      </c>
      <c r="J41">
        <v>1912.8036515125</v>
      </c>
      <c r="K41">
        <v>1962.5946359336499</v>
      </c>
      <c r="L41">
        <v>1996.1317964930099</v>
      </c>
      <c r="M41">
        <v>2044.2313578542901</v>
      </c>
      <c r="N41">
        <v>2132.0048262375799</v>
      </c>
      <c r="O41">
        <v>2216.9806283541302</v>
      </c>
      <c r="P41">
        <v>2372.8620787852801</v>
      </c>
      <c r="Q41">
        <v>2535.0487884793702</v>
      </c>
      <c r="R41">
        <v>2665.2239365376299</v>
      </c>
      <c r="S41">
        <v>2766.25995967054</v>
      </c>
      <c r="T41">
        <v>2814.8085805349601</v>
      </c>
      <c r="U41">
        <v>2943.6374512750199</v>
      </c>
      <c r="V41">
        <v>3115.8603172326102</v>
      </c>
      <c r="W41">
        <v>3258.8184094834</v>
      </c>
      <c r="X41">
        <v>3415.6760681934902</v>
      </c>
      <c r="Y41">
        <v>3642.9941816341998</v>
      </c>
      <c r="Z41">
        <v>3909</v>
      </c>
      <c r="AA41">
        <v>4171</v>
      </c>
      <c r="AB41">
        <v>4395.7606103957996</v>
      </c>
      <c r="AC41">
        <v>4594.6418562865902</v>
      </c>
      <c r="AD41">
        <v>4774.7870954956998</v>
      </c>
      <c r="AE41">
        <v>4923.9139444123402</v>
      </c>
    </row>
    <row r="42" spans="1:31" x14ac:dyDescent="0.3">
      <c r="A42" t="s">
        <v>308</v>
      </c>
      <c r="B42" t="s">
        <v>202</v>
      </c>
      <c r="C42" t="s">
        <v>0</v>
      </c>
      <c r="D42" t="s">
        <v>203</v>
      </c>
      <c r="E42" t="s">
        <v>123</v>
      </c>
      <c r="F42">
        <v>1005.76584093493</v>
      </c>
      <c r="G42">
        <v>990.55001883303601</v>
      </c>
      <c r="H42">
        <v>1002.81689213128</v>
      </c>
      <c r="I42">
        <v>1015.19734758969</v>
      </c>
      <c r="J42">
        <v>1024.15497124489</v>
      </c>
      <c r="K42">
        <v>1045.43242909624</v>
      </c>
      <c r="L42">
        <v>1037.2006776860301</v>
      </c>
      <c r="M42">
        <v>1039.7775737796601</v>
      </c>
      <c r="N42">
        <v>1031.9792419763201</v>
      </c>
      <c r="O42">
        <v>1025.4724371719301</v>
      </c>
      <c r="P42">
        <v>1038.1796544850799</v>
      </c>
      <c r="Q42">
        <v>1045.4566146800701</v>
      </c>
      <c r="R42">
        <v>1095.6291977506601</v>
      </c>
      <c r="S42">
        <v>1112.0472176969699</v>
      </c>
      <c r="T42">
        <v>1121.3747339684301</v>
      </c>
      <c r="U42">
        <v>1202.2986838424399</v>
      </c>
      <c r="V42">
        <v>1278.49282224065</v>
      </c>
      <c r="W42">
        <v>1270.8174793970099</v>
      </c>
      <c r="X42">
        <v>1213.0530485153299</v>
      </c>
      <c r="Y42">
        <v>1204.95928338762</v>
      </c>
      <c r="Z42">
        <v>1230</v>
      </c>
      <c r="AA42">
        <v>1217</v>
      </c>
      <c r="AB42">
        <v>1235.60257441673</v>
      </c>
      <c r="AC42">
        <v>1268.0681752901301</v>
      </c>
      <c r="AD42">
        <v>1329.67844921648</v>
      </c>
      <c r="AE42">
        <v>1356.90436198115</v>
      </c>
    </row>
    <row r="43" spans="1:31" x14ac:dyDescent="0.3">
      <c r="A43" t="s">
        <v>308</v>
      </c>
      <c r="B43" t="s">
        <v>204</v>
      </c>
      <c r="C43" t="s">
        <v>0</v>
      </c>
      <c r="D43" t="s">
        <v>205</v>
      </c>
      <c r="E43" t="s">
        <v>123</v>
      </c>
      <c r="F43">
        <v>1348.847926397</v>
      </c>
      <c r="G43">
        <v>1414.6080860739501</v>
      </c>
      <c r="H43">
        <v>1447.00369109855</v>
      </c>
      <c r="I43">
        <v>1512.42258778976</v>
      </c>
      <c r="J43">
        <v>1564.98941060271</v>
      </c>
      <c r="K43">
        <v>1659.23147364996</v>
      </c>
      <c r="L43">
        <v>1729.6900957616499</v>
      </c>
      <c r="M43">
        <v>1808.72462448185</v>
      </c>
      <c r="N43">
        <v>1875.37560414122</v>
      </c>
      <c r="O43">
        <v>1931.7286097163901</v>
      </c>
      <c r="P43">
        <v>1970.1073238167201</v>
      </c>
      <c r="Q43">
        <v>1996.94469912568</v>
      </c>
      <c r="R43">
        <v>2079.0269827068901</v>
      </c>
      <c r="S43">
        <v>2142.8615856698302</v>
      </c>
      <c r="T43">
        <v>2195.9387789040002</v>
      </c>
      <c r="U43">
        <v>2371.1915852973002</v>
      </c>
      <c r="V43">
        <v>2486.6680549358898</v>
      </c>
      <c r="W43">
        <v>2474.6234276332598</v>
      </c>
      <c r="X43">
        <v>2437.5349832557399</v>
      </c>
      <c r="Y43">
        <v>2412.2493506493502</v>
      </c>
      <c r="Z43">
        <v>2316</v>
      </c>
      <c r="AA43">
        <v>2320</v>
      </c>
      <c r="AB43">
        <v>2349.3794850147701</v>
      </c>
      <c r="AC43">
        <v>2440.18137723463</v>
      </c>
      <c r="AD43">
        <v>2535.8026520019198</v>
      </c>
      <c r="AE43">
        <v>2595.4892495568301</v>
      </c>
    </row>
    <row r="44" spans="1:31" x14ac:dyDescent="0.3">
      <c r="A44" t="s">
        <v>308</v>
      </c>
      <c r="B44" t="s">
        <v>206</v>
      </c>
      <c r="C44" t="s">
        <v>0</v>
      </c>
      <c r="D44" t="s">
        <v>207</v>
      </c>
      <c r="E44" t="s">
        <v>123</v>
      </c>
      <c r="F44">
        <v>97676.277387163806</v>
      </c>
      <c r="G44">
        <v>97824.630903080499</v>
      </c>
      <c r="H44">
        <v>98247.889505366504</v>
      </c>
      <c r="I44">
        <v>98776.475393532994</v>
      </c>
      <c r="J44">
        <v>99096.378884305697</v>
      </c>
      <c r="K44">
        <v>99342.069894255503</v>
      </c>
      <c r="L44">
        <v>99303.016927144097</v>
      </c>
      <c r="M44">
        <v>99315.412588064297</v>
      </c>
      <c r="N44">
        <v>99044.371010453295</v>
      </c>
      <c r="O44">
        <v>98491.508075311198</v>
      </c>
      <c r="P44">
        <v>97653.587132163695</v>
      </c>
      <c r="Q44">
        <v>97082.609770732903</v>
      </c>
      <c r="R44">
        <v>97383.104137549293</v>
      </c>
      <c r="S44">
        <v>97773.435266351502</v>
      </c>
      <c r="T44">
        <v>97549.655974056601</v>
      </c>
      <c r="U44">
        <v>97245.605656414205</v>
      </c>
      <c r="V44">
        <v>96948.350276745899</v>
      </c>
      <c r="W44">
        <v>96296.528417244801</v>
      </c>
      <c r="X44">
        <v>95718.700587555693</v>
      </c>
      <c r="Y44">
        <v>95569.972967605005</v>
      </c>
      <c r="Z44">
        <v>95078</v>
      </c>
      <c r="AA44">
        <v>95411</v>
      </c>
      <c r="AB44">
        <v>96306.220208899598</v>
      </c>
      <c r="AC44">
        <v>96447.725851233394</v>
      </c>
      <c r="AD44">
        <v>97808.811801139105</v>
      </c>
      <c r="AE44">
        <v>98773.698110211393</v>
      </c>
    </row>
    <row r="45" spans="1:31" x14ac:dyDescent="0.3">
      <c r="A45" t="s">
        <v>308</v>
      </c>
      <c r="B45" t="s">
        <v>208</v>
      </c>
      <c r="C45" t="s">
        <v>0</v>
      </c>
      <c r="D45" t="s">
        <v>209</v>
      </c>
      <c r="E45" t="s">
        <v>123</v>
      </c>
      <c r="F45">
        <v>82713.951867208598</v>
      </c>
      <c r="G45">
        <v>83058.302313880005</v>
      </c>
      <c r="H45">
        <v>83484.644416736104</v>
      </c>
      <c r="I45">
        <v>83917.477134446497</v>
      </c>
      <c r="J45">
        <v>84131.3462215537</v>
      </c>
      <c r="K45">
        <v>84320.786862082794</v>
      </c>
      <c r="L45">
        <v>84163.659250558601</v>
      </c>
      <c r="M45">
        <v>84082.315063552596</v>
      </c>
      <c r="N45">
        <v>83778.404745745298</v>
      </c>
      <c r="O45">
        <v>83292.310939936695</v>
      </c>
      <c r="P45">
        <v>82408.647135139705</v>
      </c>
      <c r="Q45">
        <v>81782.800455775199</v>
      </c>
      <c r="R45">
        <v>81948.541253432602</v>
      </c>
      <c r="S45">
        <v>82253.845081436302</v>
      </c>
      <c r="T45">
        <v>81991.917288110097</v>
      </c>
      <c r="U45">
        <v>81692.688541600699</v>
      </c>
      <c r="V45">
        <v>81400.269766436206</v>
      </c>
      <c r="W45">
        <v>80767.539055368106</v>
      </c>
      <c r="X45">
        <v>80152.256290436402</v>
      </c>
      <c r="Y45">
        <v>79974.240174400504</v>
      </c>
      <c r="Z45">
        <v>79721</v>
      </c>
      <c r="AA45">
        <v>80168</v>
      </c>
      <c r="AB45">
        <v>81138.026930093401</v>
      </c>
      <c r="AC45">
        <v>81386.0843354401</v>
      </c>
      <c r="AD45">
        <v>82810.411044382694</v>
      </c>
      <c r="AE45">
        <v>83803.154997475795</v>
      </c>
    </row>
    <row r="46" spans="1:31" x14ac:dyDescent="0.3">
      <c r="A46" t="s">
        <v>308</v>
      </c>
      <c r="B46" t="s">
        <v>210</v>
      </c>
      <c r="C46" t="s">
        <v>0</v>
      </c>
      <c r="D46" t="s">
        <v>211</v>
      </c>
      <c r="E46" t="s">
        <v>123</v>
      </c>
      <c r="F46">
        <v>339.29468628180598</v>
      </c>
      <c r="G46">
        <v>420.66400018649301</v>
      </c>
      <c r="H46">
        <v>440.84345406997801</v>
      </c>
      <c r="I46">
        <v>494.18394317452999</v>
      </c>
      <c r="J46">
        <v>538.01065373129302</v>
      </c>
      <c r="K46">
        <v>611.37574287646896</v>
      </c>
      <c r="L46">
        <v>690.75710356885804</v>
      </c>
      <c r="M46">
        <v>767.65270566425897</v>
      </c>
      <c r="N46">
        <v>842.57771289518905</v>
      </c>
      <c r="O46">
        <v>905.96913957068898</v>
      </c>
      <c r="P46">
        <v>931.74351053998305</v>
      </c>
      <c r="Q46">
        <v>951.38500746836201</v>
      </c>
      <c r="R46">
        <v>983.21573262529603</v>
      </c>
      <c r="S46">
        <v>1030.8264043627801</v>
      </c>
      <c r="T46">
        <v>1074.73584552225</v>
      </c>
      <c r="U46">
        <v>1169.1598240528299</v>
      </c>
      <c r="V46">
        <v>1208.4310273559499</v>
      </c>
      <c r="W46">
        <v>1204.0566163972001</v>
      </c>
      <c r="X46">
        <v>1224.63878078006</v>
      </c>
      <c r="Y46">
        <v>1207.4473197781899</v>
      </c>
      <c r="Z46">
        <v>1086</v>
      </c>
      <c r="AA46">
        <v>1103</v>
      </c>
      <c r="AB46">
        <v>1113.7753108348099</v>
      </c>
      <c r="AC46">
        <v>1172.14326097306</v>
      </c>
      <c r="AD46">
        <v>1206.1583987424799</v>
      </c>
      <c r="AE46">
        <v>1238.615024745</v>
      </c>
    </row>
    <row r="47" spans="1:31" x14ac:dyDescent="0.3">
      <c r="A47" t="s">
        <v>308</v>
      </c>
      <c r="B47" t="s">
        <v>212</v>
      </c>
      <c r="C47" t="s">
        <v>0</v>
      </c>
      <c r="D47" t="s">
        <v>213</v>
      </c>
      <c r="E47" t="s">
        <v>123</v>
      </c>
      <c r="F47">
        <v>50222.352787382602</v>
      </c>
      <c r="G47">
        <v>50505.831219911699</v>
      </c>
      <c r="H47">
        <v>51015.273508265702</v>
      </c>
      <c r="I47">
        <v>51620.278080648903</v>
      </c>
      <c r="J47">
        <v>52219.1484587456</v>
      </c>
      <c r="K47">
        <v>52310.503420122899</v>
      </c>
      <c r="L47">
        <v>52228.346818414102</v>
      </c>
      <c r="M47">
        <v>52697.962047034001</v>
      </c>
      <c r="N47">
        <v>50812.8388871594</v>
      </c>
      <c r="O47">
        <v>51512.203972018702</v>
      </c>
      <c r="P47">
        <v>52147.331730272002</v>
      </c>
      <c r="Q47">
        <v>52596.247965018003</v>
      </c>
      <c r="R47">
        <v>52813.183662565898</v>
      </c>
      <c r="S47">
        <v>53244.177112152298</v>
      </c>
      <c r="T47">
        <v>53720.820944710104</v>
      </c>
      <c r="U47">
        <v>54128.006993300798</v>
      </c>
      <c r="V47">
        <v>54342.194808875203</v>
      </c>
      <c r="W47">
        <v>54718.120829843603</v>
      </c>
      <c r="X47">
        <v>55126.606975134397</v>
      </c>
      <c r="Y47">
        <v>55828.982412060301</v>
      </c>
      <c r="Z47">
        <v>56253</v>
      </c>
      <c r="AA47">
        <v>56647</v>
      </c>
      <c r="AB47">
        <v>56981.901107169702</v>
      </c>
      <c r="AC47">
        <v>57410.2106002168</v>
      </c>
      <c r="AD47">
        <v>57415.942259566502</v>
      </c>
      <c r="AE47">
        <v>58096.474716962897</v>
      </c>
    </row>
    <row r="48" spans="1:31" x14ac:dyDescent="0.3">
      <c r="A48" t="s">
        <v>308</v>
      </c>
      <c r="B48" t="s">
        <v>214</v>
      </c>
      <c r="C48" t="s">
        <v>0</v>
      </c>
      <c r="D48" t="s">
        <v>215</v>
      </c>
      <c r="E48" t="s">
        <v>123</v>
      </c>
      <c r="F48">
        <v>74910.4190438441</v>
      </c>
      <c r="G48">
        <v>75396.721883022299</v>
      </c>
      <c r="H48">
        <v>76207.866521907796</v>
      </c>
      <c r="I48">
        <v>77030.176970374101</v>
      </c>
      <c r="J48">
        <v>74860.765498380701</v>
      </c>
      <c r="K48">
        <v>75199.971565668297</v>
      </c>
      <c r="L48">
        <v>75534.766466951594</v>
      </c>
      <c r="M48">
        <v>76575.400010347104</v>
      </c>
      <c r="N48">
        <v>75452.230337732704</v>
      </c>
      <c r="O48">
        <v>76715.674703155906</v>
      </c>
      <c r="P48">
        <v>77691.176547037496</v>
      </c>
      <c r="Q48">
        <v>78592.814959575699</v>
      </c>
      <c r="R48">
        <v>79307.672153353196</v>
      </c>
      <c r="S48">
        <v>80325.655672380701</v>
      </c>
      <c r="T48">
        <v>81359.588400495006</v>
      </c>
      <c r="U48">
        <v>82379.379808083206</v>
      </c>
      <c r="V48">
        <v>83221.562550446906</v>
      </c>
      <c r="W48">
        <v>84097.991750594796</v>
      </c>
      <c r="X48">
        <v>85081.984720411507</v>
      </c>
      <c r="Y48">
        <v>86357.135288124104</v>
      </c>
      <c r="Z48">
        <v>87360</v>
      </c>
      <c r="AA48">
        <v>88553</v>
      </c>
      <c r="AB48">
        <v>89763.353144007095</v>
      </c>
      <c r="AC48">
        <v>90837.193708099905</v>
      </c>
      <c r="AD48">
        <v>91843.059413712806</v>
      </c>
      <c r="AE48">
        <v>93664.0462676889</v>
      </c>
    </row>
    <row r="49" spans="1:31" x14ac:dyDescent="0.3">
      <c r="A49" t="s">
        <v>308</v>
      </c>
      <c r="B49" t="s">
        <v>216</v>
      </c>
      <c r="C49" t="s">
        <v>0</v>
      </c>
      <c r="D49" t="s">
        <v>217</v>
      </c>
      <c r="E49" t="s">
        <v>123</v>
      </c>
      <c r="F49">
        <v>12821.5373086861</v>
      </c>
      <c r="G49">
        <v>12934.8818747105</v>
      </c>
      <c r="H49">
        <v>13140.342405724299</v>
      </c>
      <c r="I49">
        <v>13335.4351676517</v>
      </c>
      <c r="J49">
        <v>10769.446030790299</v>
      </c>
      <c r="K49">
        <v>10918.3582769766</v>
      </c>
      <c r="L49">
        <v>11145.5972889725</v>
      </c>
      <c r="M49">
        <v>11465.1018552198</v>
      </c>
      <c r="N49">
        <v>11870.1926600515</v>
      </c>
      <c r="O49">
        <v>12248.5461429393</v>
      </c>
      <c r="P49">
        <v>12466.0732401603</v>
      </c>
      <c r="Q49">
        <v>12669.6845649488</v>
      </c>
      <c r="R49">
        <v>12884.974289878501</v>
      </c>
      <c r="S49">
        <v>13137.961482053601</v>
      </c>
      <c r="T49">
        <v>13292.1267188766</v>
      </c>
      <c r="U49">
        <v>13590.287365276499</v>
      </c>
      <c r="V49">
        <v>13917.603207448299</v>
      </c>
      <c r="W49">
        <v>14024.385100060001</v>
      </c>
      <c r="X49">
        <v>14172.162498137401</v>
      </c>
      <c r="Y49">
        <v>14344.858271470401</v>
      </c>
      <c r="Z49">
        <v>14727</v>
      </c>
      <c r="AA49">
        <v>15101</v>
      </c>
      <c r="AB49">
        <v>15387.3999611625</v>
      </c>
      <c r="AC49">
        <v>15608.671589314799</v>
      </c>
      <c r="AD49">
        <v>16073.933585037499</v>
      </c>
      <c r="AE49">
        <v>16623.939121188399</v>
      </c>
    </row>
    <row r="50" spans="1:31" x14ac:dyDescent="0.3">
      <c r="A50" t="s">
        <v>308</v>
      </c>
      <c r="B50" t="s">
        <v>218</v>
      </c>
      <c r="C50" t="s">
        <v>0</v>
      </c>
      <c r="D50" t="s">
        <v>219</v>
      </c>
      <c r="E50" t="s">
        <v>123</v>
      </c>
      <c r="F50">
        <v>11929.0801278009</v>
      </c>
      <c r="G50">
        <v>12013.608596377</v>
      </c>
      <c r="H50">
        <v>12106.3719032604</v>
      </c>
      <c r="I50">
        <v>12134.0752714601</v>
      </c>
      <c r="J50">
        <v>12169.7331392836</v>
      </c>
      <c r="K50">
        <v>12249.8711694291</v>
      </c>
      <c r="L50">
        <v>12402.4326695932</v>
      </c>
      <c r="M50">
        <v>12622.2840989625</v>
      </c>
      <c r="N50">
        <v>12838.149070240201</v>
      </c>
      <c r="O50">
        <v>13009.566800087599</v>
      </c>
      <c r="P50">
        <v>13131.1989010624</v>
      </c>
      <c r="Q50">
        <v>13366.5683087016</v>
      </c>
      <c r="R50">
        <v>13629.589373721999</v>
      </c>
      <c r="S50">
        <v>13944.7118259566</v>
      </c>
      <c r="T50">
        <v>14335.464019295099</v>
      </c>
      <c r="U50">
        <v>14633.750138576201</v>
      </c>
      <c r="V50">
        <v>14938.7126832956</v>
      </c>
      <c r="W50">
        <v>15340.636487899001</v>
      </c>
      <c r="X50">
        <v>15775.575403745501</v>
      </c>
      <c r="Y50">
        <v>16178.4462809917</v>
      </c>
      <c r="Z50">
        <v>16380</v>
      </c>
      <c r="AA50">
        <v>16805</v>
      </c>
      <c r="AB50">
        <v>17377.975504742</v>
      </c>
      <c r="AC50">
        <v>17793.116558455</v>
      </c>
      <c r="AD50">
        <v>18300.7073931989</v>
      </c>
      <c r="AE50">
        <v>18858.182343108499</v>
      </c>
    </row>
    <row r="51" spans="1:31" x14ac:dyDescent="0.3">
      <c r="A51" t="s">
        <v>308</v>
      </c>
      <c r="B51" t="s">
        <v>220</v>
      </c>
      <c r="C51" t="s">
        <v>0</v>
      </c>
      <c r="D51" t="s">
        <v>221</v>
      </c>
      <c r="E51" t="s">
        <v>123</v>
      </c>
      <c r="F51">
        <v>7156.8765650243104</v>
      </c>
      <c r="G51">
        <v>7153.8471992824998</v>
      </c>
      <c r="H51">
        <v>7173.6766264873404</v>
      </c>
      <c r="I51">
        <v>7136.7385790649596</v>
      </c>
      <c r="J51">
        <v>7096.6361978714604</v>
      </c>
      <c r="K51">
        <v>7079.73609182374</v>
      </c>
      <c r="L51">
        <v>7120.6515383185797</v>
      </c>
      <c r="M51">
        <v>7244.9681688471801</v>
      </c>
      <c r="N51">
        <v>7335.4979388970396</v>
      </c>
      <c r="O51">
        <v>7401.7121680800001</v>
      </c>
      <c r="P51">
        <v>7452.3827973326497</v>
      </c>
      <c r="Q51">
        <v>7603.2407486956599</v>
      </c>
      <c r="R51">
        <v>7697.1365408353704</v>
      </c>
      <c r="S51">
        <v>7815.6711385961798</v>
      </c>
      <c r="T51">
        <v>8026.5995987610404</v>
      </c>
      <c r="U51">
        <v>8175.8394560777497</v>
      </c>
      <c r="V51">
        <v>8338.3102006792706</v>
      </c>
      <c r="W51">
        <v>8577.7916946935493</v>
      </c>
      <c r="X51">
        <v>8851.4631128363199</v>
      </c>
      <c r="Y51">
        <v>9095.7388652945592</v>
      </c>
      <c r="Z51">
        <v>9205</v>
      </c>
      <c r="AA51">
        <v>9489</v>
      </c>
      <c r="AB51">
        <v>9919.3844964436703</v>
      </c>
      <c r="AC51">
        <v>10271.9174639866</v>
      </c>
      <c r="AD51">
        <v>10686.3806875713</v>
      </c>
      <c r="AE51">
        <v>11124.6261826421</v>
      </c>
    </row>
    <row r="52" spans="1:31" x14ac:dyDescent="0.3">
      <c r="A52" t="s">
        <v>308</v>
      </c>
      <c r="B52" t="s">
        <v>222</v>
      </c>
      <c r="C52" t="s">
        <v>0</v>
      </c>
      <c r="D52" t="s">
        <v>223</v>
      </c>
      <c r="E52" t="s">
        <v>123</v>
      </c>
      <c r="F52">
        <v>4773.4597077320896</v>
      </c>
      <c r="G52">
        <v>4860.57760044715</v>
      </c>
      <c r="H52">
        <v>4933.25913465944</v>
      </c>
      <c r="I52">
        <v>4997.9071482805703</v>
      </c>
      <c r="J52">
        <v>5073.7231103752501</v>
      </c>
      <c r="K52">
        <v>5170.5124094119901</v>
      </c>
      <c r="L52">
        <v>5282.0279321820499</v>
      </c>
      <c r="M52">
        <v>5377.5553242518999</v>
      </c>
      <c r="N52">
        <v>5502.855075982</v>
      </c>
      <c r="O52">
        <v>5608.0796418825103</v>
      </c>
      <c r="P52">
        <v>5679.0519492148096</v>
      </c>
      <c r="Q52">
        <v>5763.5616508400299</v>
      </c>
      <c r="R52">
        <v>5932.6353902458204</v>
      </c>
      <c r="S52">
        <v>6129.1234059154503</v>
      </c>
      <c r="T52">
        <v>6308.9384262063504</v>
      </c>
      <c r="U52">
        <v>6457.9602621738904</v>
      </c>
      <c r="V52">
        <v>6600.4561962470198</v>
      </c>
      <c r="W52">
        <v>6762.8786526038903</v>
      </c>
      <c r="X52">
        <v>6924.1210597269501</v>
      </c>
      <c r="Y52">
        <v>7082.7041387024601</v>
      </c>
      <c r="Z52">
        <v>7175</v>
      </c>
      <c r="AA52">
        <v>7316</v>
      </c>
      <c r="AB52">
        <v>7458.6844776916896</v>
      </c>
      <c r="AC52">
        <v>7521.3624985126298</v>
      </c>
      <c r="AD52">
        <v>7614.6025294859301</v>
      </c>
      <c r="AE52">
        <v>7734.0165114616102</v>
      </c>
    </row>
    <row r="53" spans="1:31" x14ac:dyDescent="0.3">
      <c r="A53" t="s">
        <v>308</v>
      </c>
      <c r="B53" t="s">
        <v>224</v>
      </c>
      <c r="C53" t="s">
        <v>0</v>
      </c>
      <c r="D53" t="s">
        <v>225</v>
      </c>
      <c r="E53" t="s">
        <v>123</v>
      </c>
      <c r="F53">
        <v>9082.1083361747005</v>
      </c>
      <c r="G53">
        <v>9237.7360944605207</v>
      </c>
      <c r="H53">
        <v>9429.08919927434</v>
      </c>
      <c r="I53">
        <v>9571.1624172059092</v>
      </c>
      <c r="J53">
        <v>9674.7981921714909</v>
      </c>
      <c r="K53">
        <v>9771.1028668605104</v>
      </c>
      <c r="L53">
        <v>9836.9853404908208</v>
      </c>
      <c r="M53">
        <v>9931.4915573816706</v>
      </c>
      <c r="N53">
        <v>10087.476279640399</v>
      </c>
      <c r="O53">
        <v>10166.2630908132</v>
      </c>
      <c r="P53">
        <v>10198.379757152499</v>
      </c>
      <c r="Q53">
        <v>10255.7886999936</v>
      </c>
      <c r="R53">
        <v>10344.2215579076</v>
      </c>
      <c r="S53">
        <v>10390.919761373099</v>
      </c>
      <c r="T53">
        <v>10417.5740804819</v>
      </c>
      <c r="U53">
        <v>10433.8075742703</v>
      </c>
      <c r="V53">
        <v>10440.4519008937</v>
      </c>
      <c r="W53">
        <v>10501.1769782765</v>
      </c>
      <c r="X53">
        <v>10540.769582892901</v>
      </c>
      <c r="Y53">
        <v>10533.7882803023</v>
      </c>
      <c r="Z53">
        <v>10621</v>
      </c>
      <c r="AA53">
        <v>10569</v>
      </c>
      <c r="AB53">
        <v>10888.305135951699</v>
      </c>
      <c r="AC53">
        <v>11134.5328340047</v>
      </c>
      <c r="AD53">
        <v>11361.290129790999</v>
      </c>
      <c r="AE53">
        <v>11542.707936254799</v>
      </c>
    </row>
    <row r="54" spans="1:31" x14ac:dyDescent="0.3">
      <c r="A54" t="s">
        <v>308</v>
      </c>
      <c r="B54" t="s">
        <v>226</v>
      </c>
      <c r="C54" t="s">
        <v>0</v>
      </c>
      <c r="D54" t="s">
        <v>227</v>
      </c>
      <c r="E54" t="s">
        <v>123</v>
      </c>
      <c r="F54">
        <v>12066.597336201001</v>
      </c>
      <c r="G54">
        <v>12215.5874520091</v>
      </c>
      <c r="H54">
        <v>12428.481239131501</v>
      </c>
      <c r="I54">
        <v>12617.837054007899</v>
      </c>
      <c r="J54">
        <v>12797.4448348237</v>
      </c>
      <c r="K54">
        <v>12915.3180004936</v>
      </c>
      <c r="L54">
        <v>12992.7153117828</v>
      </c>
      <c r="M54">
        <v>13085.0355459731</v>
      </c>
      <c r="N54">
        <v>13267.890354937599</v>
      </c>
      <c r="O54">
        <v>13406.579104292299</v>
      </c>
      <c r="P54">
        <v>13473.836190099801</v>
      </c>
      <c r="Q54">
        <v>13536.651277233101</v>
      </c>
      <c r="R54">
        <v>13636.0358023114</v>
      </c>
      <c r="S54">
        <v>13721.478849634001</v>
      </c>
      <c r="T54">
        <v>13776.4917178053</v>
      </c>
      <c r="U54">
        <v>13854.6516537188</v>
      </c>
      <c r="V54">
        <v>13874.5387135089</v>
      </c>
      <c r="W54">
        <v>13941.8130873218</v>
      </c>
      <c r="X54">
        <v>13978.4431611171</v>
      </c>
      <c r="Y54">
        <v>13964.464717956</v>
      </c>
      <c r="Z54">
        <v>14031</v>
      </c>
      <c r="AA54">
        <v>13952</v>
      </c>
      <c r="AB54">
        <v>14231.1393378426</v>
      </c>
      <c r="AC54">
        <v>14415.5080289861</v>
      </c>
      <c r="AD54">
        <v>14591.6137117137</v>
      </c>
      <c r="AE54">
        <v>14731.018305236599</v>
      </c>
    </row>
    <row r="55" spans="1:31" x14ac:dyDescent="0.3">
      <c r="A55" t="s">
        <v>308</v>
      </c>
      <c r="B55" t="s">
        <v>228</v>
      </c>
      <c r="C55" t="s">
        <v>0</v>
      </c>
      <c r="D55" t="s">
        <v>229</v>
      </c>
      <c r="E55" t="s">
        <v>123</v>
      </c>
      <c r="F55">
        <v>2981.1876819007798</v>
      </c>
      <c r="G55">
        <v>2978.1884991222</v>
      </c>
      <c r="H55">
        <v>3002.3278182640302</v>
      </c>
      <c r="I55">
        <v>3049.5486007937998</v>
      </c>
      <c r="J55">
        <v>3122.99630312506</v>
      </c>
      <c r="K55">
        <v>3145.2240348199002</v>
      </c>
      <c r="L55">
        <v>3157.3365792415402</v>
      </c>
      <c r="M55">
        <v>3157.3365792415402</v>
      </c>
      <c r="N55">
        <v>3185.59589768878</v>
      </c>
      <c r="O55">
        <v>3243.8689933782098</v>
      </c>
      <c r="P55">
        <v>3277.9618165861498</v>
      </c>
      <c r="Q55">
        <v>3283.9632113437301</v>
      </c>
      <c r="R55">
        <v>3295.5305350892099</v>
      </c>
      <c r="S55">
        <v>3333.3853328339201</v>
      </c>
      <c r="T55">
        <v>3361.3014010679499</v>
      </c>
      <c r="U55">
        <v>3421.4542801984499</v>
      </c>
      <c r="V55">
        <v>3434.6221606867002</v>
      </c>
      <c r="W55">
        <v>3441.07619543901</v>
      </c>
      <c r="X55">
        <v>3438.0019760863302</v>
      </c>
      <c r="Y55">
        <v>3430.9876905041001</v>
      </c>
      <c r="Z55">
        <v>3410</v>
      </c>
      <c r="AA55">
        <v>3383</v>
      </c>
      <c r="AB55">
        <v>3344.7906168549098</v>
      </c>
      <c r="AC55">
        <v>3284.7730125080402</v>
      </c>
      <c r="AD55">
        <v>3236.25211795315</v>
      </c>
      <c r="AE55">
        <v>3196.8816542311001</v>
      </c>
    </row>
    <row r="56" spans="1:31" x14ac:dyDescent="0.3">
      <c r="A56" t="s">
        <v>308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308</v>
      </c>
      <c r="B57" t="s">
        <v>232</v>
      </c>
      <c r="C57" t="s">
        <v>0</v>
      </c>
      <c r="D57" t="s">
        <v>233</v>
      </c>
      <c r="E57" t="s">
        <v>123</v>
      </c>
      <c r="F57">
        <v>200070.91267989</v>
      </c>
      <c r="G57">
        <v>200984.29620532901</v>
      </c>
      <c r="H57">
        <v>202177.41966394699</v>
      </c>
      <c r="I57">
        <v>204356.898730477</v>
      </c>
      <c r="J57">
        <v>206583.41947862701</v>
      </c>
      <c r="K57">
        <v>209769.55794087201</v>
      </c>
      <c r="L57">
        <v>213574.70618168899</v>
      </c>
      <c r="M57">
        <v>217039.86085514101</v>
      </c>
      <c r="N57">
        <v>219728.792360722</v>
      </c>
      <c r="O57">
        <v>222488.90132539801</v>
      </c>
      <c r="P57">
        <v>225373.56285641799</v>
      </c>
      <c r="Q57">
        <v>228368.768895249</v>
      </c>
      <c r="R57">
        <v>233629.23767904</v>
      </c>
      <c r="S57">
        <v>239627.730670074</v>
      </c>
      <c r="T57">
        <v>242822.34423141601</v>
      </c>
      <c r="U57">
        <v>245361.92855321601</v>
      </c>
      <c r="V57">
        <v>248220.122927841</v>
      </c>
      <c r="W57">
        <v>250623.76378647899</v>
      </c>
      <c r="X57">
        <v>252662.43829026699</v>
      </c>
      <c r="Y57">
        <v>254605.72651406299</v>
      </c>
      <c r="Z57">
        <v>256548</v>
      </c>
      <c r="AA57">
        <v>259633</v>
      </c>
      <c r="AB57">
        <v>263037.79539448599</v>
      </c>
      <c r="AC57">
        <v>266253.09992622101</v>
      </c>
      <c r="AD57">
        <v>270975.77209752297</v>
      </c>
      <c r="AE57">
        <v>275454.33945931902</v>
      </c>
    </row>
    <row r="58" spans="1:31" x14ac:dyDescent="0.3">
      <c r="A58" t="s">
        <v>308</v>
      </c>
      <c r="B58" t="s">
        <v>234</v>
      </c>
      <c r="C58" t="s">
        <v>0</v>
      </c>
      <c r="D58" t="s">
        <v>235</v>
      </c>
      <c r="E58" t="s">
        <v>123</v>
      </c>
      <c r="F58">
        <v>200070.91267989</v>
      </c>
      <c r="G58">
        <v>200984.29620532901</v>
      </c>
      <c r="H58">
        <v>202177.41966394699</v>
      </c>
      <c r="I58">
        <v>204356.898730477</v>
      </c>
      <c r="J58">
        <v>206583.41947862701</v>
      </c>
      <c r="K58">
        <v>209769.55794087201</v>
      </c>
      <c r="L58">
        <v>213574.70618168899</v>
      </c>
      <c r="M58">
        <v>217039.86085514101</v>
      </c>
      <c r="N58">
        <v>219728.792360722</v>
      </c>
      <c r="O58">
        <v>222488.90132539801</v>
      </c>
      <c r="P58">
        <v>225373.56285641799</v>
      </c>
      <c r="Q58">
        <v>228368.768895249</v>
      </c>
      <c r="R58">
        <v>233629.23767904</v>
      </c>
      <c r="S58">
        <v>239627.730670074</v>
      </c>
      <c r="T58">
        <v>242822.34423141601</v>
      </c>
      <c r="U58">
        <v>245361.92855321601</v>
      </c>
      <c r="V58">
        <v>248220.122927841</v>
      </c>
      <c r="W58">
        <v>250623.76378647899</v>
      </c>
      <c r="X58">
        <v>252662.43829026699</v>
      </c>
      <c r="Y58">
        <v>254605.72651406299</v>
      </c>
      <c r="Z58">
        <v>256548</v>
      </c>
      <c r="AA58">
        <v>259633</v>
      </c>
      <c r="AB58">
        <v>263037.79539448599</v>
      </c>
      <c r="AC58">
        <v>266253.09992622101</v>
      </c>
      <c r="AD58">
        <v>270975.77209752297</v>
      </c>
      <c r="AE58">
        <v>275454.33945931902</v>
      </c>
    </row>
    <row r="59" spans="1:31" x14ac:dyDescent="0.3">
      <c r="A59" t="s">
        <v>308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309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309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309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309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309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309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309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309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309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309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309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309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309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309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309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309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309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309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309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309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309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309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309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309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309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309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309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309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309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309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309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309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309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309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309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309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309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309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309</v>
      </c>
      <c r="B40" t="s">
        <v>198</v>
      </c>
      <c r="C40" t="s">
        <v>0</v>
      </c>
      <c r="D40" t="s">
        <v>199</v>
      </c>
      <c r="E40" t="s">
        <v>123</v>
      </c>
      <c r="F40">
        <v>203936.29271277299</v>
      </c>
      <c r="G40">
        <v>206376.53912202001</v>
      </c>
      <c r="H40">
        <v>209742.25107045699</v>
      </c>
      <c r="I40">
        <v>213916.32921699801</v>
      </c>
      <c r="J40">
        <v>218742.196316702</v>
      </c>
      <c r="K40">
        <v>224074.21018867599</v>
      </c>
      <c r="L40">
        <v>228111.49867486701</v>
      </c>
      <c r="M40">
        <v>231967.96119464401</v>
      </c>
      <c r="N40">
        <v>236790.174753542</v>
      </c>
      <c r="O40">
        <v>242625.60738396601</v>
      </c>
      <c r="P40">
        <v>248769.08420011701</v>
      </c>
      <c r="Q40">
        <v>255366.348200362</v>
      </c>
      <c r="R40">
        <v>261831.824786093</v>
      </c>
      <c r="S40">
        <v>266774.52341551898</v>
      </c>
      <c r="T40">
        <v>270046.62766805798</v>
      </c>
      <c r="U40">
        <v>275854.047121329</v>
      </c>
      <c r="V40">
        <v>282113.64863109798</v>
      </c>
      <c r="W40">
        <v>288099.056074992</v>
      </c>
      <c r="X40">
        <v>293107.76451111201</v>
      </c>
      <c r="Y40">
        <v>297247.67039266397</v>
      </c>
      <c r="Z40">
        <v>301417</v>
      </c>
      <c r="AA40">
        <v>306708</v>
      </c>
      <c r="AB40">
        <v>311948.68721631798</v>
      </c>
      <c r="AC40">
        <v>318153.86942988</v>
      </c>
      <c r="AD40">
        <v>323500.59015183599</v>
      </c>
      <c r="AE40">
        <v>328191.80440224102</v>
      </c>
    </row>
    <row r="41" spans="1:31" x14ac:dyDescent="0.3">
      <c r="A41" t="s">
        <v>309</v>
      </c>
      <c r="B41" t="s">
        <v>200</v>
      </c>
      <c r="C41" t="s">
        <v>0</v>
      </c>
      <c r="D41" t="s">
        <v>201</v>
      </c>
      <c r="E41" t="s">
        <v>123</v>
      </c>
      <c r="F41">
        <v>129559.126134021</v>
      </c>
      <c r="G41">
        <v>131574.17858940101</v>
      </c>
      <c r="H41">
        <v>134144.961728241</v>
      </c>
      <c r="I41">
        <v>137563.21561841501</v>
      </c>
      <c r="J41">
        <v>141765.42539040101</v>
      </c>
      <c r="K41">
        <v>146150.84392750799</v>
      </c>
      <c r="L41">
        <v>149531.932513907</v>
      </c>
      <c r="M41">
        <v>152900.16962983899</v>
      </c>
      <c r="N41">
        <v>157154.30904680499</v>
      </c>
      <c r="O41">
        <v>162377.87781908899</v>
      </c>
      <c r="P41">
        <v>168013.42162902301</v>
      </c>
      <c r="Q41">
        <v>174028.719984603</v>
      </c>
      <c r="R41">
        <v>180006.249650385</v>
      </c>
      <c r="S41">
        <v>184761.651798751</v>
      </c>
      <c r="T41">
        <v>188298.06597342101</v>
      </c>
      <c r="U41">
        <v>193854.60812126999</v>
      </c>
      <c r="V41">
        <v>199872.95914230999</v>
      </c>
      <c r="W41">
        <v>205491.88637842401</v>
      </c>
      <c r="X41">
        <v>210327.67005039199</v>
      </c>
      <c r="Y41">
        <v>214332.40812633</v>
      </c>
      <c r="Z41">
        <v>218151</v>
      </c>
      <c r="AA41">
        <v>222815</v>
      </c>
      <c r="AB41">
        <v>227714.27399048</v>
      </c>
      <c r="AC41">
        <v>232959.27567813601</v>
      </c>
      <c r="AD41">
        <v>237628.31553770701</v>
      </c>
      <c r="AE41">
        <v>241684.51303050201</v>
      </c>
    </row>
    <row r="42" spans="1:31" x14ac:dyDescent="0.3">
      <c r="A42" t="s">
        <v>309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309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309</v>
      </c>
      <c r="B44" t="s">
        <v>206</v>
      </c>
      <c r="C44" t="s">
        <v>0</v>
      </c>
      <c r="D44" t="s">
        <v>207</v>
      </c>
      <c r="E44" t="s">
        <v>123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309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309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309</v>
      </c>
      <c r="B47" t="s">
        <v>212</v>
      </c>
      <c r="C47" t="s">
        <v>0</v>
      </c>
      <c r="D47" t="s">
        <v>213</v>
      </c>
      <c r="E47" t="s">
        <v>123</v>
      </c>
      <c r="F47">
        <v>2988.05140544803</v>
      </c>
      <c r="G47">
        <v>2821.5042779312598</v>
      </c>
      <c r="H47">
        <v>2781.9966334328101</v>
      </c>
      <c r="I47">
        <v>2689.0533710474501</v>
      </c>
      <c r="J47">
        <v>2601.64061683709</v>
      </c>
      <c r="K47">
        <v>2463.3616361065701</v>
      </c>
      <c r="L47">
        <v>2319.7874015142902</v>
      </c>
      <c r="M47">
        <v>2243.18462545988</v>
      </c>
      <c r="N47">
        <v>2148.0350161289198</v>
      </c>
      <c r="O47">
        <v>2068.57465470754</v>
      </c>
      <c r="P47">
        <v>1994.78785890616</v>
      </c>
      <c r="Q47">
        <v>1885.9152650301401</v>
      </c>
      <c r="R47">
        <v>1778.8139043000399</v>
      </c>
      <c r="S47">
        <v>1685.93971396496</v>
      </c>
      <c r="T47">
        <v>1594.4707282504601</v>
      </c>
      <c r="U47">
        <v>1510.7771099439101</v>
      </c>
      <c r="V47">
        <v>1425.1144903079201</v>
      </c>
      <c r="W47">
        <v>1318.6342378245299</v>
      </c>
      <c r="X47">
        <v>1227.3757252534699</v>
      </c>
      <c r="Y47">
        <v>1141.50993377483</v>
      </c>
      <c r="Z47">
        <v>1064</v>
      </c>
      <c r="AA47">
        <v>982</v>
      </c>
      <c r="AB47">
        <v>913.73783515392302</v>
      </c>
      <c r="AC47">
        <v>842.07212259283097</v>
      </c>
      <c r="AD47">
        <v>780.63338403455498</v>
      </c>
      <c r="AE47">
        <v>731.412031280164</v>
      </c>
    </row>
    <row r="48" spans="1:31" x14ac:dyDescent="0.3">
      <c r="A48" t="s">
        <v>309</v>
      </c>
      <c r="B48" t="s">
        <v>214</v>
      </c>
      <c r="C48" t="s">
        <v>0</v>
      </c>
      <c r="D48" t="s">
        <v>215</v>
      </c>
      <c r="E48" t="s">
        <v>123</v>
      </c>
      <c r="F48">
        <v>3762.2108393170702</v>
      </c>
      <c r="G48">
        <v>3603.8878669032902</v>
      </c>
      <c r="H48">
        <v>3556.1651508575401</v>
      </c>
      <c r="I48">
        <v>3447.49579948058</v>
      </c>
      <c r="J48">
        <v>3346.79575035486</v>
      </c>
      <c r="K48">
        <v>3192.8545488905002</v>
      </c>
      <c r="L48">
        <v>3021.3815110858</v>
      </c>
      <c r="M48">
        <v>2924.4114963718998</v>
      </c>
      <c r="N48">
        <v>2807.1745098803799</v>
      </c>
      <c r="O48">
        <v>2714.7304513453601</v>
      </c>
      <c r="P48">
        <v>2620.6367495188701</v>
      </c>
      <c r="Q48">
        <v>2492.5059859353801</v>
      </c>
      <c r="R48">
        <v>2370.3243199581502</v>
      </c>
      <c r="S48">
        <v>2265.4620458954901</v>
      </c>
      <c r="T48">
        <v>2152.18894360071</v>
      </c>
      <c r="U48">
        <v>2055.6782286410398</v>
      </c>
      <c r="V48">
        <v>1952.28283909879</v>
      </c>
      <c r="W48">
        <v>1832.95277569573</v>
      </c>
      <c r="X48">
        <v>1726.4571954318401</v>
      </c>
      <c r="Y48">
        <v>1623.47553816047</v>
      </c>
      <c r="Z48">
        <v>1542</v>
      </c>
      <c r="AA48">
        <v>1455</v>
      </c>
      <c r="AB48">
        <v>1375.08707300737</v>
      </c>
      <c r="AC48">
        <v>1287.3757576509299</v>
      </c>
      <c r="AD48">
        <v>1201.4904367402301</v>
      </c>
      <c r="AE48">
        <v>1140.11934248947</v>
      </c>
    </row>
    <row r="49" spans="1:31" x14ac:dyDescent="0.3">
      <c r="A49" t="s">
        <v>309</v>
      </c>
      <c r="B49" t="s">
        <v>216</v>
      </c>
      <c r="C49" t="s">
        <v>0</v>
      </c>
      <c r="D49" t="s">
        <v>217</v>
      </c>
      <c r="E49" t="s">
        <v>123</v>
      </c>
      <c r="F49">
        <v>218.987377447781</v>
      </c>
      <c r="G49">
        <v>218.987377447781</v>
      </c>
      <c r="H49">
        <v>212.401290907998</v>
      </c>
      <c r="I49">
        <v>207.68126222115399</v>
      </c>
      <c r="J49">
        <v>200.31667845444599</v>
      </c>
      <c r="K49">
        <v>193.213250140459</v>
      </c>
      <c r="L49">
        <v>186.59635801236101</v>
      </c>
      <c r="M49">
        <v>179.03164079564399</v>
      </c>
      <c r="N49">
        <v>173.87965113246</v>
      </c>
      <c r="O49">
        <v>170.01565888507201</v>
      </c>
      <c r="P49">
        <v>163.671791016226</v>
      </c>
      <c r="Q49">
        <v>161.26485291304601</v>
      </c>
      <c r="R49">
        <v>156.59050935034901</v>
      </c>
      <c r="S49">
        <v>149.974008955264</v>
      </c>
      <c r="T49">
        <v>143.68139319490299</v>
      </c>
      <c r="U49">
        <v>137.19952583272701</v>
      </c>
      <c r="V49">
        <v>131.62230933546201</v>
      </c>
      <c r="W49">
        <v>125.14908100748799</v>
      </c>
      <c r="X49">
        <v>119.044247787611</v>
      </c>
      <c r="Y49">
        <v>114</v>
      </c>
      <c r="Z49">
        <v>114</v>
      </c>
      <c r="AA49">
        <v>110</v>
      </c>
      <c r="AB49">
        <v>106.106194690265</v>
      </c>
      <c r="AC49">
        <v>100.42193426043001</v>
      </c>
      <c r="AD49">
        <v>83.989254108723102</v>
      </c>
      <c r="AE49">
        <v>80.489701854193001</v>
      </c>
    </row>
    <row r="50" spans="1:31" x14ac:dyDescent="0.3">
      <c r="A50" t="s">
        <v>309</v>
      </c>
      <c r="B50" t="s">
        <v>218</v>
      </c>
      <c r="C50" t="s">
        <v>0</v>
      </c>
      <c r="D50" t="s">
        <v>219</v>
      </c>
      <c r="E50" t="s">
        <v>123</v>
      </c>
      <c r="F50">
        <v>555.92591956413105</v>
      </c>
      <c r="G50">
        <v>564.07732600935299</v>
      </c>
      <c r="H50">
        <v>562.43278570028701</v>
      </c>
      <c r="I50">
        <v>551.40469186302698</v>
      </c>
      <c r="J50">
        <v>545.475609154822</v>
      </c>
      <c r="K50">
        <v>536.90792942987798</v>
      </c>
      <c r="L50">
        <v>515.59148558154504</v>
      </c>
      <c r="M50">
        <v>502.79765219242501</v>
      </c>
      <c r="N50">
        <v>485.82006913138201</v>
      </c>
      <c r="O50">
        <v>476.67829363697399</v>
      </c>
      <c r="P50">
        <v>462.69573035695601</v>
      </c>
      <c r="Q50">
        <v>445.78257050056601</v>
      </c>
      <c r="R50">
        <v>435.33454150445903</v>
      </c>
      <c r="S50">
        <v>429.89285973565302</v>
      </c>
      <c r="T50">
        <v>414.35456360063</v>
      </c>
      <c r="U50">
        <v>407.94701880268201</v>
      </c>
      <c r="V50">
        <v>395.75295030586301</v>
      </c>
      <c r="W50">
        <v>389.31794298381601</v>
      </c>
      <c r="X50">
        <v>380.121456141679</v>
      </c>
      <c r="Y50">
        <v>368.02209944751399</v>
      </c>
      <c r="Z50">
        <v>364</v>
      </c>
      <c r="AA50">
        <v>363</v>
      </c>
      <c r="AB50">
        <v>355.21447721179601</v>
      </c>
      <c r="AC50">
        <v>344.85012907033803</v>
      </c>
      <c r="AD50">
        <v>336.72538780951902</v>
      </c>
      <c r="AE50">
        <v>328.09140350670998</v>
      </c>
    </row>
    <row r="51" spans="1:31" x14ac:dyDescent="0.3">
      <c r="A51" t="s">
        <v>309</v>
      </c>
      <c r="B51" t="s">
        <v>220</v>
      </c>
      <c r="C51" t="s">
        <v>0</v>
      </c>
      <c r="D51" t="s">
        <v>221</v>
      </c>
      <c r="E51" t="s">
        <v>123</v>
      </c>
      <c r="F51">
        <v>64.859006734006798</v>
      </c>
      <c r="G51">
        <v>61.353114478114499</v>
      </c>
      <c r="H51">
        <v>57.8472222222222</v>
      </c>
      <c r="I51">
        <v>56.1458333333333</v>
      </c>
      <c r="J51">
        <v>54.5416666666667</v>
      </c>
      <c r="K51">
        <v>51.424999999999997</v>
      </c>
      <c r="L51">
        <v>38.568750000000001</v>
      </c>
      <c r="M51">
        <v>30.304017857142899</v>
      </c>
      <c r="N51">
        <v>23.4167410714286</v>
      </c>
      <c r="O51">
        <v>22.0392857142857</v>
      </c>
      <c r="P51">
        <v>18.149999999999999</v>
      </c>
      <c r="Q51">
        <v>12.1</v>
      </c>
      <c r="R51">
        <v>11</v>
      </c>
      <c r="S51">
        <v>10</v>
      </c>
      <c r="T51">
        <v>9</v>
      </c>
      <c r="U51">
        <v>8</v>
      </c>
      <c r="V51">
        <v>7</v>
      </c>
      <c r="W51">
        <v>8</v>
      </c>
      <c r="X51">
        <v>8</v>
      </c>
      <c r="Y51">
        <v>7</v>
      </c>
      <c r="Z51">
        <v>6</v>
      </c>
      <c r="AA51">
        <v>5</v>
      </c>
      <c r="AB51">
        <v>4.1666666666666696</v>
      </c>
      <c r="AC51">
        <v>3.3333333333333299</v>
      </c>
      <c r="AD51">
        <v>0.83333333333333304</v>
      </c>
      <c r="AE51">
        <v>0</v>
      </c>
    </row>
    <row r="52" spans="1:31" x14ac:dyDescent="0.3">
      <c r="A52" t="s">
        <v>309</v>
      </c>
      <c r="B52" t="s">
        <v>222</v>
      </c>
      <c r="C52" t="s">
        <v>0</v>
      </c>
      <c r="D52" t="s">
        <v>223</v>
      </c>
      <c r="E52" t="s">
        <v>123</v>
      </c>
      <c r="F52">
        <v>493.60733446837099</v>
      </c>
      <c r="G52">
        <v>504.97329282784</v>
      </c>
      <c r="H52">
        <v>506.612816505853</v>
      </c>
      <c r="I52">
        <v>497.20205211255501</v>
      </c>
      <c r="J52">
        <v>492.77592108484703</v>
      </c>
      <c r="K52">
        <v>487.09550700894101</v>
      </c>
      <c r="L52">
        <v>477.80485701149502</v>
      </c>
      <c r="M52">
        <v>472.70827187003903</v>
      </c>
      <c r="N52">
        <v>462.29045871587903</v>
      </c>
      <c r="O52">
        <v>454.47709885025802</v>
      </c>
      <c r="P52">
        <v>444.32118602678901</v>
      </c>
      <c r="Q52">
        <v>433.45463528156802</v>
      </c>
      <c r="R52">
        <v>424.15802112003303</v>
      </c>
      <c r="S52">
        <v>419.79649905196101</v>
      </c>
      <c r="T52">
        <v>405.28501513411601</v>
      </c>
      <c r="U52">
        <v>399.93824712443097</v>
      </c>
      <c r="V52">
        <v>388.82885137097401</v>
      </c>
      <c r="W52">
        <v>381.31006142733702</v>
      </c>
      <c r="X52">
        <v>372.10955056179802</v>
      </c>
      <c r="Y52">
        <v>361.01685393258401</v>
      </c>
      <c r="Z52">
        <v>358</v>
      </c>
      <c r="AA52">
        <v>358</v>
      </c>
      <c r="AB52">
        <v>351.17166212534102</v>
      </c>
      <c r="AC52">
        <v>341.73156368111103</v>
      </c>
      <c r="AD52">
        <v>336.30725314648998</v>
      </c>
      <c r="AE52">
        <v>328.52636554155902</v>
      </c>
    </row>
    <row r="53" spans="1:31" x14ac:dyDescent="0.3">
      <c r="A53" t="s">
        <v>309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309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309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309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309</v>
      </c>
      <c r="B57" t="s">
        <v>232</v>
      </c>
      <c r="C57" t="s">
        <v>0</v>
      </c>
      <c r="D57" t="s">
        <v>233</v>
      </c>
      <c r="E57" t="s">
        <v>123</v>
      </c>
      <c r="F57">
        <v>207726.898420718</v>
      </c>
      <c r="G57">
        <v>210006.92839146999</v>
      </c>
      <c r="H57">
        <v>213324.13186757101</v>
      </c>
      <c r="I57">
        <v>217386.40221583599</v>
      </c>
      <c r="J57">
        <v>222108.580752209</v>
      </c>
      <c r="K57">
        <v>227284.68138262999</v>
      </c>
      <c r="L57">
        <v>231148.52365122299</v>
      </c>
      <c r="M57">
        <v>234906.73225777701</v>
      </c>
      <c r="N57">
        <v>239610.08114189701</v>
      </c>
      <c r="O57">
        <v>245351.72587281701</v>
      </c>
      <c r="P57">
        <v>251399.823725294</v>
      </c>
      <c r="Q57">
        <v>257867.34371511999</v>
      </c>
      <c r="R57">
        <v>264209.03743695002</v>
      </c>
      <c r="S57">
        <v>269045.61180472001</v>
      </c>
      <c r="T57">
        <v>272203.26911083801</v>
      </c>
      <c r="U57">
        <v>277912.98732932599</v>
      </c>
      <c r="V57">
        <v>284068.03195250803</v>
      </c>
      <c r="W57">
        <v>289932.922277342</v>
      </c>
      <c r="X57">
        <v>294834.40632858197</v>
      </c>
      <c r="Y57">
        <v>298871.07183286402</v>
      </c>
      <c r="Z57">
        <v>302959</v>
      </c>
      <c r="AA57">
        <v>308164</v>
      </c>
      <c r="AB57">
        <v>313325.642372114</v>
      </c>
      <c r="AC57">
        <v>319444.90774189401</v>
      </c>
      <c r="AD57">
        <v>324706.51940202102</v>
      </c>
      <c r="AE57">
        <v>329336.18650985102</v>
      </c>
    </row>
    <row r="58" spans="1:31" x14ac:dyDescent="0.3">
      <c r="A58" t="s">
        <v>309</v>
      </c>
      <c r="B58" t="s">
        <v>234</v>
      </c>
      <c r="C58" t="s">
        <v>0</v>
      </c>
      <c r="D58" t="s">
        <v>235</v>
      </c>
      <c r="E58" t="s">
        <v>123</v>
      </c>
      <c r="F58">
        <v>207726.898420718</v>
      </c>
      <c r="G58">
        <v>210006.92839146999</v>
      </c>
      <c r="H58">
        <v>213324.13186757101</v>
      </c>
      <c r="I58">
        <v>217386.40221583599</v>
      </c>
      <c r="J58">
        <v>222108.580752209</v>
      </c>
      <c r="K58">
        <v>227284.68138262999</v>
      </c>
      <c r="L58">
        <v>231148.52365122299</v>
      </c>
      <c r="M58">
        <v>234906.73225777701</v>
      </c>
      <c r="N58">
        <v>239610.08114189701</v>
      </c>
      <c r="O58">
        <v>245351.72587281701</v>
      </c>
      <c r="P58">
        <v>251399.823725294</v>
      </c>
      <c r="Q58">
        <v>257867.34371511999</v>
      </c>
      <c r="R58">
        <v>264209.03743695002</v>
      </c>
      <c r="S58">
        <v>269045.61180472001</v>
      </c>
      <c r="T58">
        <v>272203.26911083801</v>
      </c>
      <c r="U58">
        <v>277912.98732932599</v>
      </c>
      <c r="V58">
        <v>284068.03195250803</v>
      </c>
      <c r="W58">
        <v>289932.922277342</v>
      </c>
      <c r="X58">
        <v>294834.40632858197</v>
      </c>
      <c r="Y58">
        <v>298871.07183286402</v>
      </c>
      <c r="Z58">
        <v>302959</v>
      </c>
      <c r="AA58">
        <v>308164</v>
      </c>
      <c r="AB58">
        <v>313325.642372114</v>
      </c>
      <c r="AC58">
        <v>319444.90774189401</v>
      </c>
      <c r="AD58">
        <v>324706.51940202102</v>
      </c>
      <c r="AE58">
        <v>329336.18650985102</v>
      </c>
    </row>
    <row r="59" spans="1:31" x14ac:dyDescent="0.3">
      <c r="A59" t="s">
        <v>309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310</v>
      </c>
      <c r="B2" t="s">
        <v>121</v>
      </c>
      <c r="C2" t="s">
        <v>0</v>
      </c>
      <c r="D2" t="s">
        <v>122</v>
      </c>
      <c r="E2" t="s">
        <v>123</v>
      </c>
      <c r="F2">
        <v>296.313511457684</v>
      </c>
      <c r="G2">
        <v>283.85172826553901</v>
      </c>
      <c r="H2">
        <v>269.00980783335399</v>
      </c>
      <c r="I2">
        <v>263.19337955587599</v>
      </c>
      <c r="J2">
        <v>258.28915509210202</v>
      </c>
      <c r="K2">
        <v>242.63526690470201</v>
      </c>
      <c r="L2">
        <v>235.93263522225101</v>
      </c>
      <c r="M2">
        <v>234.621898359905</v>
      </c>
      <c r="N2">
        <v>225.76824181802201</v>
      </c>
      <c r="O2">
        <v>223.55482768255101</v>
      </c>
      <c r="P2">
        <v>221.01443191343199</v>
      </c>
      <c r="Q2">
        <v>211.80549725037201</v>
      </c>
      <c r="R2">
        <v>202.980268198273</v>
      </c>
      <c r="S2">
        <v>195.73097290547801</v>
      </c>
      <c r="T2">
        <v>183.285650928829</v>
      </c>
      <c r="U2">
        <v>171.90144900778299</v>
      </c>
      <c r="V2">
        <v>158.41898241893799</v>
      </c>
      <c r="W2">
        <v>140.222207411357</v>
      </c>
      <c r="X2">
        <v>125.68064516129</v>
      </c>
      <c r="Y2">
        <v>118.06363636363599</v>
      </c>
      <c r="Z2">
        <v>111</v>
      </c>
      <c r="AA2">
        <v>98</v>
      </c>
      <c r="AB2">
        <v>93</v>
      </c>
      <c r="AC2">
        <v>83.106382978723403</v>
      </c>
      <c r="AD2">
        <v>83.106382978723403</v>
      </c>
      <c r="AE2">
        <v>93.377958403060006</v>
      </c>
    </row>
    <row r="3" spans="1:31" x14ac:dyDescent="0.3">
      <c r="A3" t="s">
        <v>310</v>
      </c>
      <c r="B3" t="s">
        <v>124</v>
      </c>
      <c r="C3" t="s">
        <v>0</v>
      </c>
      <c r="D3" t="s">
        <v>125</v>
      </c>
      <c r="E3" t="s">
        <v>123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310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310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310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310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310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310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310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310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310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310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310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310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310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310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310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310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310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310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310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310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310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310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310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310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310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310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310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310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310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310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310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310</v>
      </c>
      <c r="B35" t="s">
        <v>188</v>
      </c>
      <c r="C35" t="s">
        <v>0</v>
      </c>
      <c r="D35" t="s">
        <v>189</v>
      </c>
      <c r="E35" t="s">
        <v>123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310</v>
      </c>
      <c r="B36" t="s">
        <v>190</v>
      </c>
      <c r="C36" t="s">
        <v>0</v>
      </c>
      <c r="D36" t="s">
        <v>191</v>
      </c>
      <c r="E36" t="s">
        <v>123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310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310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310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310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310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310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310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310</v>
      </c>
      <c r="B44" t="s">
        <v>206</v>
      </c>
      <c r="C44" t="s">
        <v>0</v>
      </c>
      <c r="D44" t="s">
        <v>207</v>
      </c>
      <c r="E44" t="s">
        <v>123</v>
      </c>
      <c r="F44">
        <v>329.25912313757698</v>
      </c>
      <c r="G44">
        <v>310.520799056577</v>
      </c>
      <c r="H44">
        <v>292.57161992035901</v>
      </c>
      <c r="I44">
        <v>285.53864828765802</v>
      </c>
      <c r="J44">
        <v>277.65084032391002</v>
      </c>
      <c r="K44">
        <v>261.05214878280702</v>
      </c>
      <c r="L44">
        <v>255.88279930195901</v>
      </c>
      <c r="M44">
        <v>254.622292901457</v>
      </c>
      <c r="N44">
        <v>247.16473620559799</v>
      </c>
      <c r="O44">
        <v>246.099370963333</v>
      </c>
      <c r="P44">
        <v>244.874995983416</v>
      </c>
      <c r="Q44">
        <v>239.30965516561099</v>
      </c>
      <c r="R44">
        <v>234.425784652027</v>
      </c>
      <c r="S44">
        <v>230.90939788224699</v>
      </c>
      <c r="T44">
        <v>221.01328083014999</v>
      </c>
      <c r="U44">
        <v>211.06768319279399</v>
      </c>
      <c r="V44">
        <v>196.92397246338001</v>
      </c>
      <c r="W44">
        <v>180.340901098042</v>
      </c>
      <c r="X44">
        <v>164.61349693251501</v>
      </c>
      <c r="Y44">
        <v>156</v>
      </c>
      <c r="Z44">
        <v>148</v>
      </c>
      <c r="AA44">
        <v>137</v>
      </c>
      <c r="AB44">
        <v>124.846774193548</v>
      </c>
      <c r="AC44">
        <v>117.18074419920799</v>
      </c>
      <c r="AD44">
        <v>119.311303184648</v>
      </c>
      <c r="AE44">
        <v>123.497664699899</v>
      </c>
    </row>
    <row r="45" spans="1:31" x14ac:dyDescent="0.3">
      <c r="A45" t="s">
        <v>310</v>
      </c>
      <c r="B45" t="s">
        <v>208</v>
      </c>
      <c r="C45" t="s">
        <v>0</v>
      </c>
      <c r="D45" t="s">
        <v>209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310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310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310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310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310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310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310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310</v>
      </c>
      <c r="B53" t="s">
        <v>224</v>
      </c>
      <c r="C53" t="s">
        <v>0</v>
      </c>
      <c r="D53" t="s">
        <v>225</v>
      </c>
      <c r="E53" t="s">
        <v>123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310</v>
      </c>
      <c r="B54" t="s">
        <v>226</v>
      </c>
      <c r="C54" t="s">
        <v>0</v>
      </c>
      <c r="D54" t="s">
        <v>227</v>
      </c>
      <c r="E54" t="s">
        <v>123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310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310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310</v>
      </c>
      <c r="B57" t="s">
        <v>232</v>
      </c>
      <c r="C57" t="s">
        <v>0</v>
      </c>
      <c r="D57" t="s">
        <v>233</v>
      </c>
      <c r="E57" t="s">
        <v>123</v>
      </c>
      <c r="F57">
        <v>329.25912313757698</v>
      </c>
      <c r="G57">
        <v>310.520799056577</v>
      </c>
      <c r="H57">
        <v>292.57161992035901</v>
      </c>
      <c r="I57">
        <v>285.53864828765802</v>
      </c>
      <c r="J57">
        <v>277.65084032391002</v>
      </c>
      <c r="K57">
        <v>261.05214878280702</v>
      </c>
      <c r="L57">
        <v>255.88279930195901</v>
      </c>
      <c r="M57">
        <v>254.622292901457</v>
      </c>
      <c r="N57">
        <v>247.16473620559799</v>
      </c>
      <c r="O57">
        <v>246.099370963333</v>
      </c>
      <c r="P57">
        <v>244.874995983416</v>
      </c>
      <c r="Q57">
        <v>239.30965516561099</v>
      </c>
      <c r="R57">
        <v>234.425784652027</v>
      </c>
      <c r="S57">
        <v>230.90939788224699</v>
      </c>
      <c r="T57">
        <v>221.01328083014999</v>
      </c>
      <c r="U57">
        <v>211.06768319279399</v>
      </c>
      <c r="V57">
        <v>196.92397246338001</v>
      </c>
      <c r="W57">
        <v>180.340901098042</v>
      </c>
      <c r="X57">
        <v>164.61349693251501</v>
      </c>
      <c r="Y57">
        <v>156</v>
      </c>
      <c r="Z57">
        <v>148</v>
      </c>
      <c r="AA57">
        <v>137</v>
      </c>
      <c r="AB57">
        <v>124.846774193548</v>
      </c>
      <c r="AC57">
        <v>117.18074419920799</v>
      </c>
      <c r="AD57">
        <v>119.311303184648</v>
      </c>
      <c r="AE57">
        <v>123.497664699899</v>
      </c>
    </row>
    <row r="58" spans="1:31" x14ac:dyDescent="0.3">
      <c r="A58" t="s">
        <v>310</v>
      </c>
      <c r="B58" t="s">
        <v>234</v>
      </c>
      <c r="C58" t="s">
        <v>0</v>
      </c>
      <c r="D58" t="s">
        <v>235</v>
      </c>
      <c r="E58" t="s">
        <v>123</v>
      </c>
      <c r="F58">
        <v>329.25912313757698</v>
      </c>
      <c r="G58">
        <v>310.520799056577</v>
      </c>
      <c r="H58">
        <v>292.57161992035901</v>
      </c>
      <c r="I58">
        <v>285.53864828765802</v>
      </c>
      <c r="J58">
        <v>277.65084032391002</v>
      </c>
      <c r="K58">
        <v>261.05214878280702</v>
      </c>
      <c r="L58">
        <v>255.88279930195901</v>
      </c>
      <c r="M58">
        <v>254.622292901457</v>
      </c>
      <c r="N58">
        <v>247.16473620559799</v>
      </c>
      <c r="O58">
        <v>246.099370963333</v>
      </c>
      <c r="P58">
        <v>244.874995983416</v>
      </c>
      <c r="Q58">
        <v>239.30965516561099</v>
      </c>
      <c r="R58">
        <v>234.425784652027</v>
      </c>
      <c r="S58">
        <v>230.90939788224699</v>
      </c>
      <c r="T58">
        <v>221.01328083014999</v>
      </c>
      <c r="U58">
        <v>211.06768319279399</v>
      </c>
      <c r="V58">
        <v>196.92397246338001</v>
      </c>
      <c r="W58">
        <v>180.340901098042</v>
      </c>
      <c r="X58">
        <v>164.61349693251501</v>
      </c>
      <c r="Y58">
        <v>156</v>
      </c>
      <c r="Z58">
        <v>148</v>
      </c>
      <c r="AA58">
        <v>137</v>
      </c>
      <c r="AB58">
        <v>124.846774193548</v>
      </c>
      <c r="AC58">
        <v>117.18074419920799</v>
      </c>
      <c r="AD58">
        <v>119.311303184648</v>
      </c>
      <c r="AE58">
        <v>123.497664699899</v>
      </c>
    </row>
    <row r="59" spans="1:31" x14ac:dyDescent="0.3">
      <c r="A59" t="s">
        <v>310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311</v>
      </c>
      <c r="B2" t="s">
        <v>121</v>
      </c>
      <c r="C2" t="s">
        <v>0</v>
      </c>
      <c r="D2" t="s">
        <v>122</v>
      </c>
      <c r="E2" t="s">
        <v>123</v>
      </c>
      <c r="F2">
        <v>13.8888888888889</v>
      </c>
      <c r="G2">
        <v>12.5</v>
      </c>
      <c r="H2">
        <v>9.7222222222222197</v>
      </c>
      <c r="I2">
        <v>12.5</v>
      </c>
      <c r="J2">
        <v>13.8888888888889</v>
      </c>
      <c r="K2">
        <v>12.5</v>
      </c>
      <c r="L2">
        <v>10</v>
      </c>
      <c r="M2">
        <v>10</v>
      </c>
      <c r="N2">
        <v>8.75</v>
      </c>
      <c r="O2">
        <v>6.25</v>
      </c>
      <c r="P2">
        <v>5</v>
      </c>
      <c r="Q2">
        <v>4</v>
      </c>
      <c r="R2">
        <v>3</v>
      </c>
      <c r="S2">
        <v>3</v>
      </c>
      <c r="T2">
        <v>3</v>
      </c>
      <c r="U2">
        <v>5</v>
      </c>
      <c r="V2">
        <v>9</v>
      </c>
      <c r="W2">
        <v>10</v>
      </c>
      <c r="X2">
        <v>8</v>
      </c>
      <c r="Y2">
        <v>9</v>
      </c>
      <c r="Z2">
        <v>8</v>
      </c>
      <c r="AA2">
        <v>9</v>
      </c>
      <c r="AB2">
        <v>11</v>
      </c>
      <c r="AC2">
        <v>19.25</v>
      </c>
      <c r="AD2">
        <v>28.4166666666667</v>
      </c>
      <c r="AE2">
        <v>33.7447916666667</v>
      </c>
    </row>
    <row r="3" spans="1:31" x14ac:dyDescent="0.3">
      <c r="A3" t="s">
        <v>311</v>
      </c>
      <c r="B3" t="s">
        <v>124</v>
      </c>
      <c r="C3" t="s">
        <v>0</v>
      </c>
      <c r="D3" t="s">
        <v>125</v>
      </c>
      <c r="E3" t="s">
        <v>123</v>
      </c>
      <c r="F3">
        <v>39.702120259714299</v>
      </c>
      <c r="G3">
        <v>41.592697414938797</v>
      </c>
      <c r="H3">
        <v>39.7843192664632</v>
      </c>
      <c r="I3">
        <v>44.973578301219298</v>
      </c>
      <c r="J3">
        <v>49.970642556910299</v>
      </c>
      <c r="K3">
        <v>54.806511191449999</v>
      </c>
      <c r="L3">
        <v>50.108810232182798</v>
      </c>
      <c r="M3">
        <v>45.553463847438898</v>
      </c>
      <c r="N3">
        <v>42.614530695991299</v>
      </c>
      <c r="O3">
        <v>39.8652061349596</v>
      </c>
      <c r="P3">
        <v>35.878685521463602</v>
      </c>
      <c r="Q3">
        <v>33.315922269930503</v>
      </c>
      <c r="R3">
        <v>33.315922269930503</v>
      </c>
      <c r="S3">
        <v>34.505776636713698</v>
      </c>
      <c r="T3">
        <v>40.975609756097597</v>
      </c>
      <c r="U3">
        <v>43.024390243902403</v>
      </c>
      <c r="V3">
        <v>43.024390243902403</v>
      </c>
      <c r="W3">
        <v>42</v>
      </c>
      <c r="X3">
        <v>42</v>
      </c>
      <c r="Y3">
        <v>39</v>
      </c>
      <c r="Z3">
        <v>36</v>
      </c>
      <c r="AA3">
        <v>42</v>
      </c>
      <c r="AB3">
        <v>56</v>
      </c>
      <c r="AC3">
        <v>61</v>
      </c>
      <c r="AD3">
        <v>56</v>
      </c>
      <c r="AE3">
        <v>58.8965517241379</v>
      </c>
    </row>
    <row r="4" spans="1:31" x14ac:dyDescent="0.3">
      <c r="A4" t="s">
        <v>311</v>
      </c>
      <c r="B4" t="s">
        <v>126</v>
      </c>
      <c r="C4" t="s">
        <v>0</v>
      </c>
      <c r="D4" t="s">
        <v>127</v>
      </c>
      <c r="E4" t="s">
        <v>123</v>
      </c>
      <c r="F4">
        <v>9101.0315154237906</v>
      </c>
      <c r="G4">
        <v>9792.6610896848706</v>
      </c>
      <c r="H4">
        <v>10652.112952613999</v>
      </c>
      <c r="I4">
        <v>11773.0864741602</v>
      </c>
      <c r="J4">
        <v>13350.6763843319</v>
      </c>
      <c r="K4">
        <v>15093.5609501977</v>
      </c>
      <c r="L4">
        <v>16407.307228715199</v>
      </c>
      <c r="M4">
        <v>17345.1916087553</v>
      </c>
      <c r="N4">
        <v>18333.777658995299</v>
      </c>
      <c r="O4">
        <v>19351.734385146599</v>
      </c>
      <c r="P4">
        <v>20115.618637191801</v>
      </c>
      <c r="Q4">
        <v>20792.307716707401</v>
      </c>
      <c r="R4">
        <v>21529.8613603185</v>
      </c>
      <c r="S4">
        <v>22608.951516556401</v>
      </c>
      <c r="T4">
        <v>22860.794386767</v>
      </c>
      <c r="U4">
        <v>22936.997034722899</v>
      </c>
      <c r="V4">
        <v>22616.160511783299</v>
      </c>
      <c r="W4">
        <v>21618.933062626002</v>
      </c>
      <c r="X4">
        <v>20595.077920505901</v>
      </c>
      <c r="Y4">
        <v>19623.892849332999</v>
      </c>
      <c r="Z4">
        <v>18549</v>
      </c>
      <c r="AA4">
        <v>17434</v>
      </c>
      <c r="AB4">
        <v>16308.4680851064</v>
      </c>
      <c r="AC4">
        <v>15633.6618237518</v>
      </c>
      <c r="AD4">
        <v>15058.3212251981</v>
      </c>
      <c r="AE4">
        <v>14557.1578127265</v>
      </c>
    </row>
    <row r="5" spans="1:31" x14ac:dyDescent="0.3">
      <c r="A5" t="s">
        <v>311</v>
      </c>
      <c r="B5" t="s">
        <v>128</v>
      </c>
      <c r="C5" t="s">
        <v>0</v>
      </c>
      <c r="D5" t="s">
        <v>129</v>
      </c>
      <c r="E5" t="s">
        <v>123</v>
      </c>
      <c r="F5">
        <v>371.95610685729702</v>
      </c>
      <c r="G5">
        <v>373.99982173013899</v>
      </c>
      <c r="H5">
        <v>366.12614127266301</v>
      </c>
      <c r="I5">
        <v>364.19916158175403</v>
      </c>
      <c r="J5">
        <v>366.05732056941599</v>
      </c>
      <c r="K5">
        <v>362.396747363722</v>
      </c>
      <c r="L5">
        <v>357.219650972811</v>
      </c>
      <c r="M5">
        <v>350.69509113769197</v>
      </c>
      <c r="N5">
        <v>335.10864264268298</v>
      </c>
      <c r="O5">
        <v>326.010670444239</v>
      </c>
      <c r="P5">
        <v>328.90854307041002</v>
      </c>
      <c r="Q5">
        <v>326.14460573368399</v>
      </c>
      <c r="R5">
        <v>316.82618842700703</v>
      </c>
      <c r="S5">
        <v>314.23985219495</v>
      </c>
      <c r="T5">
        <v>310.62789987087001</v>
      </c>
      <c r="U5">
        <v>311.78265042801098</v>
      </c>
      <c r="V5">
        <v>309.51514024308</v>
      </c>
      <c r="W5">
        <v>305.14036794282498</v>
      </c>
      <c r="X5">
        <v>306.19988310929301</v>
      </c>
      <c r="Y5">
        <v>304.13793103448302</v>
      </c>
      <c r="Z5">
        <v>294</v>
      </c>
      <c r="AA5">
        <v>281</v>
      </c>
      <c r="AB5">
        <v>277.08362369337999</v>
      </c>
      <c r="AC5">
        <v>271.25028424720301</v>
      </c>
      <c r="AD5">
        <v>265.416944801027</v>
      </c>
      <c r="AE5">
        <v>261.65216544214701</v>
      </c>
    </row>
    <row r="6" spans="1:31" x14ac:dyDescent="0.3">
      <c r="A6" t="s">
        <v>311</v>
      </c>
      <c r="B6" t="s">
        <v>130</v>
      </c>
      <c r="C6" t="s">
        <v>0</v>
      </c>
      <c r="D6" t="s">
        <v>131</v>
      </c>
      <c r="E6" t="s">
        <v>123</v>
      </c>
      <c r="F6">
        <v>50.803850152845001</v>
      </c>
      <c r="G6">
        <v>53.012713202968698</v>
      </c>
      <c r="H6">
        <v>57.253730259206201</v>
      </c>
      <c r="I6">
        <v>63.388058501263998</v>
      </c>
      <c r="J6">
        <v>75.273319470250996</v>
      </c>
      <c r="K6">
        <v>79.133489699494604</v>
      </c>
      <c r="L6">
        <v>89.924420113062098</v>
      </c>
      <c r="M6">
        <v>88.195104341657</v>
      </c>
      <c r="N6">
        <v>88.195104341657</v>
      </c>
      <c r="O6">
        <v>86.561861668663397</v>
      </c>
      <c r="P6">
        <v>77.118749486627394</v>
      </c>
      <c r="Q6">
        <v>75.663678741596698</v>
      </c>
      <c r="R6">
        <v>72.808445581536404</v>
      </c>
      <c r="S6">
        <v>74.208607996566002</v>
      </c>
      <c r="T6">
        <v>78.114324206911505</v>
      </c>
      <c r="U6">
        <v>68.195044942541799</v>
      </c>
      <c r="V6">
        <v>58.948259187620899</v>
      </c>
      <c r="W6">
        <v>51.306818181818201</v>
      </c>
      <c r="X6">
        <v>46.071428571428598</v>
      </c>
      <c r="Y6">
        <v>43</v>
      </c>
      <c r="Z6">
        <v>43</v>
      </c>
      <c r="AA6">
        <v>40</v>
      </c>
      <c r="AB6">
        <v>36.097560975609802</v>
      </c>
      <c r="AC6">
        <v>33.170731707317103</v>
      </c>
      <c r="AD6">
        <v>28.292682926829301</v>
      </c>
      <c r="AE6">
        <v>25.554681353265199</v>
      </c>
    </row>
    <row r="7" spans="1:31" x14ac:dyDescent="0.3">
      <c r="A7" t="s">
        <v>311</v>
      </c>
      <c r="B7" t="s">
        <v>132</v>
      </c>
      <c r="C7" t="s">
        <v>0</v>
      </c>
      <c r="D7" t="s">
        <v>133</v>
      </c>
      <c r="E7" t="s">
        <v>123</v>
      </c>
      <c r="F7">
        <v>499.12947539797199</v>
      </c>
      <c r="G7">
        <v>523.87969731853195</v>
      </c>
      <c r="H7">
        <v>547.51336787425601</v>
      </c>
      <c r="I7">
        <v>568.64546277466604</v>
      </c>
      <c r="J7">
        <v>590.87264698735601</v>
      </c>
      <c r="K7">
        <v>621.8752241441</v>
      </c>
      <c r="L7">
        <v>645.99226884774998</v>
      </c>
      <c r="M7">
        <v>673.72426018717294</v>
      </c>
      <c r="N7">
        <v>692.52586744821099</v>
      </c>
      <c r="O7">
        <v>701.678191687614</v>
      </c>
      <c r="P7">
        <v>700.21940126830498</v>
      </c>
      <c r="Q7">
        <v>689.06052634769503</v>
      </c>
      <c r="R7">
        <v>676.85276111712597</v>
      </c>
      <c r="S7">
        <v>662.47943993510205</v>
      </c>
      <c r="T7">
        <v>625.94564729162198</v>
      </c>
      <c r="U7">
        <v>603.92163377580505</v>
      </c>
      <c r="V7">
        <v>556.51096346069505</v>
      </c>
      <c r="W7">
        <v>533.505588986926</v>
      </c>
      <c r="X7">
        <v>504.98152779356599</v>
      </c>
      <c r="Y7">
        <v>476.18421052631601</v>
      </c>
      <c r="Z7">
        <v>462</v>
      </c>
      <c r="AA7">
        <v>445</v>
      </c>
      <c r="AB7">
        <v>440.12061403508801</v>
      </c>
      <c r="AC7">
        <v>445.95002614151298</v>
      </c>
      <c r="AD7">
        <v>450.80786956353398</v>
      </c>
      <c r="AE7">
        <v>452.67456881638498</v>
      </c>
    </row>
    <row r="8" spans="1:31" x14ac:dyDescent="0.3">
      <c r="A8" t="s">
        <v>311</v>
      </c>
      <c r="B8" t="s">
        <v>134</v>
      </c>
      <c r="C8" t="s">
        <v>0</v>
      </c>
      <c r="D8" t="s">
        <v>135</v>
      </c>
      <c r="E8" t="s">
        <v>123</v>
      </c>
      <c r="F8">
        <v>232.27383800805299</v>
      </c>
      <c r="G8">
        <v>240.352928025724</v>
      </c>
      <c r="H8">
        <v>248.106248284619</v>
      </c>
      <c r="I8">
        <v>261.36383407082002</v>
      </c>
      <c r="J8">
        <v>241.25892375768001</v>
      </c>
      <c r="K8">
        <v>235.89761434084201</v>
      </c>
      <c r="L8">
        <v>229.10919378427101</v>
      </c>
      <c r="M8">
        <v>209.88324745272399</v>
      </c>
      <c r="N8">
        <v>185.37133534145701</v>
      </c>
      <c r="O8">
        <v>161.64380441775</v>
      </c>
      <c r="P8">
        <v>140.374882783836</v>
      </c>
      <c r="Q8">
        <v>125.527539412469</v>
      </c>
      <c r="R8">
        <v>126.84888193259999</v>
      </c>
      <c r="S8">
        <v>148.631013173551</v>
      </c>
      <c r="T8">
        <v>161.816022406689</v>
      </c>
      <c r="U8">
        <v>167.55417922962101</v>
      </c>
      <c r="V8">
        <v>172.02229067574399</v>
      </c>
      <c r="W8">
        <v>176.34989547261901</v>
      </c>
      <c r="X8">
        <v>174.250491955087</v>
      </c>
      <c r="Y8">
        <v>167.07547169811301</v>
      </c>
      <c r="Z8">
        <v>161</v>
      </c>
      <c r="AA8">
        <v>158</v>
      </c>
      <c r="AB8">
        <v>156.03726708074501</v>
      </c>
      <c r="AC8">
        <v>157.987732919255</v>
      </c>
      <c r="AD8">
        <v>159.93819875776401</v>
      </c>
      <c r="AE8">
        <v>160.87350986161101</v>
      </c>
    </row>
    <row r="9" spans="1:31" x14ac:dyDescent="0.3">
      <c r="A9" t="s">
        <v>311</v>
      </c>
      <c r="B9" t="s">
        <v>136</v>
      </c>
      <c r="C9" t="s">
        <v>0</v>
      </c>
      <c r="D9" t="s">
        <v>137</v>
      </c>
      <c r="E9" t="s">
        <v>123</v>
      </c>
      <c r="F9">
        <v>903.82407210730105</v>
      </c>
      <c r="G9">
        <v>952.243218827335</v>
      </c>
      <c r="H9">
        <v>1002.8737376197899</v>
      </c>
      <c r="I9">
        <v>1040.9334620076399</v>
      </c>
      <c r="J9">
        <v>1103.13335253182</v>
      </c>
      <c r="K9">
        <v>1155.32073788814</v>
      </c>
      <c r="L9">
        <v>1194.4553136928901</v>
      </c>
      <c r="M9">
        <v>1233.1944049478</v>
      </c>
      <c r="N9">
        <v>1248.6479689195701</v>
      </c>
      <c r="O9">
        <v>1281.7845857063401</v>
      </c>
      <c r="P9">
        <v>1300.5706055644901</v>
      </c>
      <c r="Q9">
        <v>1333.7061623941599</v>
      </c>
      <c r="R9">
        <v>1371.23759208968</v>
      </c>
      <c r="S9">
        <v>1403.7006032660399</v>
      </c>
      <c r="T9">
        <v>1390.3896492695501</v>
      </c>
      <c r="U9">
        <v>1384.6203976128299</v>
      </c>
      <c r="V9">
        <v>1380.1175670514899</v>
      </c>
      <c r="W9">
        <v>1347.46494322535</v>
      </c>
      <c r="X9">
        <v>1352.7367153037001</v>
      </c>
      <c r="Y9">
        <v>1297.2714285714301</v>
      </c>
      <c r="Z9">
        <v>1278</v>
      </c>
      <c r="AA9">
        <v>1250</v>
      </c>
      <c r="AB9">
        <v>1231.4308053166501</v>
      </c>
      <c r="AC9">
        <v>1215.8430736037801</v>
      </c>
      <c r="AD9">
        <v>1200.2553418909199</v>
      </c>
      <c r="AE9">
        <v>1182.46684618426</v>
      </c>
    </row>
    <row r="10" spans="1:31" x14ac:dyDescent="0.3">
      <c r="A10" t="s">
        <v>311</v>
      </c>
      <c r="B10" t="s">
        <v>138</v>
      </c>
      <c r="C10" t="s">
        <v>0</v>
      </c>
      <c r="D10" t="s">
        <v>139</v>
      </c>
      <c r="E10" t="s">
        <v>123</v>
      </c>
      <c r="F10">
        <v>1914.7813347536</v>
      </c>
      <c r="G10">
        <v>2009.8127209557299</v>
      </c>
      <c r="H10">
        <v>2097.5349056725199</v>
      </c>
      <c r="I10">
        <v>2181.2840307628899</v>
      </c>
      <c r="J10">
        <v>2283.84650408171</v>
      </c>
      <c r="K10">
        <v>2409.9263584079899</v>
      </c>
      <c r="L10">
        <v>2535.9578428759701</v>
      </c>
      <c r="M10">
        <v>2682.94648217643</v>
      </c>
      <c r="N10">
        <v>2750.9866235111599</v>
      </c>
      <c r="O10">
        <v>2799.1702972672401</v>
      </c>
      <c r="P10">
        <v>2823.7370990501699</v>
      </c>
      <c r="Q10">
        <v>2863.7607431716101</v>
      </c>
      <c r="R10">
        <v>2957.5666636311398</v>
      </c>
      <c r="S10">
        <v>3031.5382739106299</v>
      </c>
      <c r="T10">
        <v>3036.37519177886</v>
      </c>
      <c r="U10">
        <v>3032.91559224398</v>
      </c>
      <c r="V10">
        <v>3026.1657800950702</v>
      </c>
      <c r="W10">
        <v>3043.5700405125799</v>
      </c>
      <c r="X10">
        <v>3086.74871582781</v>
      </c>
      <c r="Y10">
        <v>3087.7752368506999</v>
      </c>
      <c r="Z10">
        <v>3104</v>
      </c>
      <c r="AA10">
        <v>3120</v>
      </c>
      <c r="AB10">
        <v>3155.2210724365</v>
      </c>
      <c r="AC10">
        <v>3157.1711472649499</v>
      </c>
      <c r="AD10">
        <v>3095.7437901686899</v>
      </c>
      <c r="AE10">
        <v>3083.5668856990401</v>
      </c>
    </row>
    <row r="11" spans="1:31" x14ac:dyDescent="0.3">
      <c r="A11" t="s">
        <v>311</v>
      </c>
      <c r="B11" t="s">
        <v>140</v>
      </c>
      <c r="C11" t="s">
        <v>0</v>
      </c>
      <c r="D11" t="s">
        <v>141</v>
      </c>
      <c r="E11" t="s">
        <v>123</v>
      </c>
      <c r="F11">
        <v>1011.02107606147</v>
      </c>
      <c r="G11">
        <v>1057.6212458999701</v>
      </c>
      <c r="H11">
        <v>1094.69652942783</v>
      </c>
      <c r="I11">
        <v>1140.38821065612</v>
      </c>
      <c r="J11">
        <v>1180.7234849880099</v>
      </c>
      <c r="K11">
        <v>1254.63136725444</v>
      </c>
      <c r="L11">
        <v>1341.5691386266899</v>
      </c>
      <c r="M11">
        <v>1449.8644787327</v>
      </c>
      <c r="N11">
        <v>1502.4742890602499</v>
      </c>
      <c r="O11">
        <v>1517.5291416560401</v>
      </c>
      <c r="P11">
        <v>1523.31020505282</v>
      </c>
      <c r="Q11">
        <v>1530.20925489455</v>
      </c>
      <c r="R11">
        <v>1586.48665306055</v>
      </c>
      <c r="S11">
        <v>1627.9973422657299</v>
      </c>
      <c r="T11">
        <v>1646.12648861613</v>
      </c>
      <c r="U11">
        <v>1648.4319878998999</v>
      </c>
      <c r="V11">
        <v>1646.18310387821</v>
      </c>
      <c r="W11">
        <v>1696.1992351717399</v>
      </c>
      <c r="X11">
        <v>1734.0796151135401</v>
      </c>
      <c r="Y11">
        <v>1790.51415880067</v>
      </c>
      <c r="Z11">
        <v>1826</v>
      </c>
      <c r="AA11">
        <v>1870</v>
      </c>
      <c r="AB11">
        <v>1923.84816753927</v>
      </c>
      <c r="AC11">
        <v>1941.4086477703599</v>
      </c>
      <c r="AD11">
        <v>1895.5562827225101</v>
      </c>
      <c r="AE11">
        <v>1901.1782983905</v>
      </c>
    </row>
    <row r="12" spans="1:31" x14ac:dyDescent="0.3">
      <c r="A12" t="s">
        <v>311</v>
      </c>
      <c r="B12" t="s">
        <v>142</v>
      </c>
      <c r="C12" t="s">
        <v>0</v>
      </c>
      <c r="D12" t="s">
        <v>143</v>
      </c>
      <c r="E12" t="s">
        <v>123</v>
      </c>
      <c r="F12">
        <v>206.250015856549</v>
      </c>
      <c r="G12">
        <v>214.50001649081099</v>
      </c>
      <c r="H12">
        <v>216.48612775461501</v>
      </c>
      <c r="I12">
        <v>220.31774063522801</v>
      </c>
      <c r="J12">
        <v>244.38606524243701</v>
      </c>
      <c r="K12">
        <v>269.54345431151199</v>
      </c>
      <c r="L12">
        <v>284.89719537988901</v>
      </c>
      <c r="M12">
        <v>305.82184814790298</v>
      </c>
      <c r="N12">
        <v>315.089176879658</v>
      </c>
      <c r="O12">
        <v>324.13479918242302</v>
      </c>
      <c r="P12">
        <v>315.49120453755899</v>
      </c>
      <c r="Q12">
        <v>316.86290542685202</v>
      </c>
      <c r="R12">
        <v>320.82369174468801</v>
      </c>
      <c r="S12">
        <v>322.096801632564</v>
      </c>
      <c r="T12">
        <v>322.096801632564</v>
      </c>
      <c r="U12">
        <v>320.95054966945901</v>
      </c>
      <c r="V12">
        <v>318.70614023121101</v>
      </c>
      <c r="W12">
        <v>324.12631268412201</v>
      </c>
      <c r="X12">
        <v>320.97945527942198</v>
      </c>
      <c r="Y12">
        <v>317.91277258566998</v>
      </c>
      <c r="Z12">
        <v>325</v>
      </c>
      <c r="AA12">
        <v>319</v>
      </c>
      <c r="AB12">
        <v>330.63525835866301</v>
      </c>
      <c r="AC12">
        <v>333.53556764251101</v>
      </c>
      <c r="AD12">
        <v>341.26972573277197</v>
      </c>
      <c r="AE12">
        <v>345.906542658489</v>
      </c>
    </row>
    <row r="13" spans="1:31" x14ac:dyDescent="0.3">
      <c r="A13" t="s">
        <v>311</v>
      </c>
      <c r="B13" t="s">
        <v>144</v>
      </c>
      <c r="C13" t="s">
        <v>0</v>
      </c>
      <c r="D13" t="s">
        <v>145</v>
      </c>
      <c r="E13" t="s">
        <v>123</v>
      </c>
      <c r="F13">
        <v>369.08994458685902</v>
      </c>
      <c r="G13">
        <v>381.39294273975401</v>
      </c>
      <c r="H13">
        <v>397.28431535391098</v>
      </c>
      <c r="I13">
        <v>410.78426781739302</v>
      </c>
      <c r="J13">
        <v>425.52092316510198</v>
      </c>
      <c r="K13">
        <v>436.38528716080702</v>
      </c>
      <c r="L13">
        <v>450.12970565406101</v>
      </c>
      <c r="M13">
        <v>438.75458673861499</v>
      </c>
      <c r="N13">
        <v>438.75458673861499</v>
      </c>
      <c r="O13">
        <v>446.24186637579299</v>
      </c>
      <c r="P13">
        <v>457.757785508072</v>
      </c>
      <c r="Q13">
        <v>464.63102553071502</v>
      </c>
      <c r="R13">
        <v>475.31219853142198</v>
      </c>
      <c r="S13">
        <v>481.80553457693298</v>
      </c>
      <c r="T13">
        <v>490.34386050614398</v>
      </c>
      <c r="U13">
        <v>491.511345888302</v>
      </c>
      <c r="V13">
        <v>480.18619966967702</v>
      </c>
      <c r="W13">
        <v>464.80266009215899</v>
      </c>
      <c r="X13">
        <v>440.33936219257203</v>
      </c>
      <c r="Y13">
        <v>408.445623342175</v>
      </c>
      <c r="Z13">
        <v>384</v>
      </c>
      <c r="AA13">
        <v>360</v>
      </c>
      <c r="AB13">
        <v>349.23913043478302</v>
      </c>
      <c r="AC13">
        <v>343.38596065095902</v>
      </c>
      <c r="AD13">
        <v>333.63067767792103</v>
      </c>
      <c r="AE13">
        <v>333.63067767792103</v>
      </c>
    </row>
    <row r="14" spans="1:31" x14ac:dyDescent="0.3">
      <c r="A14" t="s">
        <v>311</v>
      </c>
      <c r="B14" t="s">
        <v>146</v>
      </c>
      <c r="C14" t="s">
        <v>0</v>
      </c>
      <c r="D14" t="s">
        <v>147</v>
      </c>
      <c r="E14" t="s">
        <v>123</v>
      </c>
      <c r="F14">
        <v>3196.6363287804202</v>
      </c>
      <c r="G14">
        <v>3615.2676598222201</v>
      </c>
      <c r="H14">
        <v>4231.5064654737398</v>
      </c>
      <c r="I14">
        <v>5081.6285319007402</v>
      </c>
      <c r="J14">
        <v>6328.5862389686799</v>
      </c>
      <c r="K14">
        <v>7742.76518449165</v>
      </c>
      <c r="L14">
        <v>8723.2079852633706</v>
      </c>
      <c r="M14">
        <v>9380.6467159143594</v>
      </c>
      <c r="N14">
        <v>10272.8614630026</v>
      </c>
      <c r="O14">
        <v>11243.7629573046</v>
      </c>
      <c r="P14">
        <v>12033.560278118801</v>
      </c>
      <c r="Q14">
        <v>12670.176216633001</v>
      </c>
      <c r="R14">
        <v>13257.5531411551</v>
      </c>
      <c r="S14">
        <v>14145.370484855001</v>
      </c>
      <c r="T14">
        <v>14429.6813011345</v>
      </c>
      <c r="U14">
        <v>14515.0367300941</v>
      </c>
      <c r="V14">
        <v>14227.097992945401</v>
      </c>
      <c r="W14">
        <v>13116.133017741</v>
      </c>
      <c r="X14">
        <v>12084.3614366376</v>
      </c>
      <c r="Y14">
        <v>11145.162361251299</v>
      </c>
      <c r="Z14">
        <v>10049</v>
      </c>
      <c r="AA14">
        <v>8936</v>
      </c>
      <c r="AB14">
        <v>8016.5496383957898</v>
      </c>
      <c r="AC14">
        <v>7187.5876928195803</v>
      </c>
      <c r="AD14">
        <v>6543.9231233133496</v>
      </c>
      <c r="AE14">
        <v>5950.1278950063997</v>
      </c>
    </row>
    <row r="15" spans="1:31" x14ac:dyDescent="0.3">
      <c r="A15" t="s">
        <v>311</v>
      </c>
      <c r="B15" t="s">
        <v>148</v>
      </c>
      <c r="C15" t="s">
        <v>0</v>
      </c>
      <c r="D15" t="s">
        <v>149</v>
      </c>
      <c r="E15" t="s">
        <v>123</v>
      </c>
      <c r="F15">
        <v>3716.8627727336898</v>
      </c>
      <c r="G15">
        <v>4150.4289121599104</v>
      </c>
      <c r="H15">
        <v>4771.3283766028999</v>
      </c>
      <c r="I15">
        <v>5641.1017785878103</v>
      </c>
      <c r="J15">
        <v>6901.8374126278204</v>
      </c>
      <c r="K15">
        <v>8327.3739881679703</v>
      </c>
      <c r="L15">
        <v>9311.4871225924107</v>
      </c>
      <c r="M15">
        <v>9980.5275160563397</v>
      </c>
      <c r="N15">
        <v>10893.2011237193</v>
      </c>
      <c r="O15">
        <v>11891.5811796382</v>
      </c>
      <c r="P15">
        <v>12699.016358299499</v>
      </c>
      <c r="Q15">
        <v>13338.594795577001</v>
      </c>
      <c r="R15">
        <v>13953.0045729454</v>
      </c>
      <c r="S15">
        <v>14936.0128988384</v>
      </c>
      <c r="T15">
        <v>15289.4993444909</v>
      </c>
      <c r="U15">
        <v>15470.6928376284</v>
      </c>
      <c r="V15">
        <v>15241.1473187633</v>
      </c>
      <c r="W15">
        <v>14206.059758944401</v>
      </c>
      <c r="X15">
        <v>13161.4810560408</v>
      </c>
      <c r="Y15">
        <v>12283.7752372345</v>
      </c>
      <c r="Z15">
        <v>11221</v>
      </c>
      <c r="AA15">
        <v>10102</v>
      </c>
      <c r="AB15">
        <v>8907.4240573810202</v>
      </c>
      <c r="AC15">
        <v>8089.1465161412698</v>
      </c>
      <c r="AD15">
        <v>7463.0032724274097</v>
      </c>
      <c r="AE15">
        <v>6870.1216118542998</v>
      </c>
    </row>
    <row r="16" spans="1:31" x14ac:dyDescent="0.3">
      <c r="A16" t="s">
        <v>311</v>
      </c>
      <c r="B16" t="s">
        <v>150</v>
      </c>
      <c r="C16" t="s">
        <v>0</v>
      </c>
      <c r="D16" t="s">
        <v>151</v>
      </c>
      <c r="E16" t="s">
        <v>123</v>
      </c>
      <c r="F16">
        <v>522.163139579019</v>
      </c>
      <c r="G16">
        <v>536.61034106934801</v>
      </c>
      <c r="H16">
        <v>540.57056498867905</v>
      </c>
      <c r="I16">
        <v>559.80795164308097</v>
      </c>
      <c r="J16">
        <v>572.78363264143002</v>
      </c>
      <c r="K16">
        <v>583.65927123588801</v>
      </c>
      <c r="L16">
        <v>587.08249276806305</v>
      </c>
      <c r="M16">
        <v>598.46636381896701</v>
      </c>
      <c r="N16">
        <v>618.67431896090602</v>
      </c>
      <c r="O16">
        <v>645.90203959977305</v>
      </c>
      <c r="P16">
        <v>663.31962269010398</v>
      </c>
      <c r="Q16">
        <v>666.08922445498899</v>
      </c>
      <c r="R16">
        <v>693.00192039256399</v>
      </c>
      <c r="S16">
        <v>788.27337084201304</v>
      </c>
      <c r="T16">
        <v>857.82690356336695</v>
      </c>
      <c r="U16">
        <v>954.30337103729596</v>
      </c>
      <c r="V16">
        <v>1013.09931332869</v>
      </c>
      <c r="W16">
        <v>1089.5184425668499</v>
      </c>
      <c r="X16">
        <v>1076.8618875709101</v>
      </c>
      <c r="Y16">
        <v>1138.5142857142901</v>
      </c>
      <c r="Z16">
        <v>1172</v>
      </c>
      <c r="AA16">
        <v>1166</v>
      </c>
      <c r="AB16">
        <v>890.89840470193099</v>
      </c>
      <c r="AC16">
        <v>901.63212042123098</v>
      </c>
      <c r="AD16">
        <v>919.19638250735898</v>
      </c>
      <c r="AE16">
        <v>920.13338187790703</v>
      </c>
    </row>
    <row r="17" spans="1:31" x14ac:dyDescent="0.3">
      <c r="A17" t="s">
        <v>311</v>
      </c>
      <c r="B17" t="s">
        <v>152</v>
      </c>
      <c r="C17" t="s">
        <v>0</v>
      </c>
      <c r="D17" t="s">
        <v>153</v>
      </c>
      <c r="E17" t="s">
        <v>123</v>
      </c>
      <c r="F17">
        <v>951.76342779595802</v>
      </c>
      <c r="G17">
        <v>1004.63917378462</v>
      </c>
      <c r="H17">
        <v>1055.35882139317</v>
      </c>
      <c r="I17">
        <v>1116.31817569746</v>
      </c>
      <c r="J17">
        <v>1193.30563609039</v>
      </c>
      <c r="K17">
        <v>1234.7648953503301</v>
      </c>
      <c r="L17">
        <v>1301.37047061819</v>
      </c>
      <c r="M17">
        <v>1338.6450918189601</v>
      </c>
      <c r="N17">
        <v>1323.15151436735</v>
      </c>
      <c r="O17">
        <v>1295.9634695515899</v>
      </c>
      <c r="P17">
        <v>1281.4834307856499</v>
      </c>
      <c r="Q17">
        <v>1278.7216130468801</v>
      </c>
      <c r="R17">
        <v>1301.50805688525</v>
      </c>
      <c r="S17">
        <v>1489.85004116505</v>
      </c>
      <c r="T17">
        <v>1543.1021953577899</v>
      </c>
      <c r="U17">
        <v>1591.5766098716399</v>
      </c>
      <c r="V17">
        <v>1660.2372698448901</v>
      </c>
      <c r="W17">
        <v>1779.91361301851</v>
      </c>
      <c r="X17">
        <v>1885.2339451497801</v>
      </c>
      <c r="Y17">
        <v>1951.97697697698</v>
      </c>
      <c r="Z17">
        <v>2026</v>
      </c>
      <c r="AA17">
        <v>2116</v>
      </c>
      <c r="AB17">
        <v>2190.3829787233999</v>
      </c>
      <c r="AC17">
        <v>2333.8067194237801</v>
      </c>
      <c r="AD17">
        <v>2446.00896554992</v>
      </c>
      <c r="AE17">
        <v>2540.6267003337398</v>
      </c>
    </row>
    <row r="18" spans="1:31" x14ac:dyDescent="0.3">
      <c r="A18" t="s">
        <v>311</v>
      </c>
      <c r="B18" t="s">
        <v>154</v>
      </c>
      <c r="C18" t="s">
        <v>0</v>
      </c>
      <c r="D18" t="s">
        <v>155</v>
      </c>
      <c r="E18" t="s">
        <v>123</v>
      </c>
      <c r="F18">
        <v>158.57042494036901</v>
      </c>
      <c r="G18">
        <v>168.86720578065299</v>
      </c>
      <c r="H18">
        <v>174.82722480820499</v>
      </c>
      <c r="I18">
        <v>174.82722480820499</v>
      </c>
      <c r="J18">
        <v>182.18837111591901</v>
      </c>
      <c r="K18">
        <v>189.40375215021299</v>
      </c>
      <c r="L18">
        <v>191.094857080125</v>
      </c>
      <c r="M18">
        <v>191.094857080125</v>
      </c>
      <c r="N18">
        <v>186.50858051020199</v>
      </c>
      <c r="O18">
        <v>186.50858051020199</v>
      </c>
      <c r="P18">
        <v>187.92152430194599</v>
      </c>
      <c r="Q18">
        <v>204.14496524887701</v>
      </c>
      <c r="R18">
        <v>200.168115276496</v>
      </c>
      <c r="S18">
        <v>206.70955695219899</v>
      </c>
      <c r="T18">
        <v>225.056559048548</v>
      </c>
      <c r="U18">
        <v>228.55484753116801</v>
      </c>
      <c r="V18">
        <v>247.98200957131701</v>
      </c>
      <c r="W18">
        <v>272.01550829629002</v>
      </c>
      <c r="X18">
        <v>281.50442137639402</v>
      </c>
      <c r="Y18">
        <v>261.03137254901998</v>
      </c>
      <c r="Z18">
        <v>259</v>
      </c>
      <c r="AA18">
        <v>261</v>
      </c>
      <c r="AB18">
        <v>270.77528089887602</v>
      </c>
      <c r="AC18">
        <v>286.41573033707903</v>
      </c>
      <c r="AD18">
        <v>304.01123595505601</v>
      </c>
      <c r="AE18">
        <v>319.07061606428499</v>
      </c>
    </row>
    <row r="19" spans="1:31" x14ac:dyDescent="0.3">
      <c r="A19" t="s">
        <v>311</v>
      </c>
      <c r="B19" t="s">
        <v>156</v>
      </c>
      <c r="C19" t="s">
        <v>0</v>
      </c>
      <c r="D19" t="s">
        <v>157</v>
      </c>
      <c r="E19" t="s">
        <v>123</v>
      </c>
      <c r="F19">
        <v>629.43035115933606</v>
      </c>
      <c r="G19">
        <v>671.52601158719006</v>
      </c>
      <c r="H19">
        <v>719.906848156872</v>
      </c>
      <c r="I19">
        <v>770.92386889239799</v>
      </c>
      <c r="J19">
        <v>847.46950126469301</v>
      </c>
      <c r="K19">
        <v>928.26638168187799</v>
      </c>
      <c r="L19">
        <v>1011.72519397988</v>
      </c>
      <c r="M19">
        <v>1086.1881682568001</v>
      </c>
      <c r="N19">
        <v>1126.4173596737201</v>
      </c>
      <c r="O19">
        <v>1133.9368347049201</v>
      </c>
      <c r="P19">
        <v>1105.0098746359199</v>
      </c>
      <c r="Q19">
        <v>1110.5349240091</v>
      </c>
      <c r="R19">
        <v>1129.3120845599699</v>
      </c>
      <c r="S19">
        <v>942.176365139219</v>
      </c>
      <c r="T19">
        <v>778.47776887950897</v>
      </c>
      <c r="U19">
        <v>649.30812426542695</v>
      </c>
      <c r="V19">
        <v>544.65360856926702</v>
      </c>
      <c r="W19">
        <v>462.03150427532597</v>
      </c>
      <c r="X19">
        <v>387.30659128318899</v>
      </c>
      <c r="Y19">
        <v>322.58426966292097</v>
      </c>
      <c r="Z19">
        <v>270</v>
      </c>
      <c r="AA19">
        <v>232</v>
      </c>
      <c r="AB19">
        <v>194.64406779660999</v>
      </c>
      <c r="AC19">
        <v>180.88135593220301</v>
      </c>
      <c r="AD19">
        <v>169.084745762712</v>
      </c>
      <c r="AE19">
        <v>162.39777841616399</v>
      </c>
    </row>
    <row r="20" spans="1:31" x14ac:dyDescent="0.3">
      <c r="A20" t="s">
        <v>311</v>
      </c>
      <c r="B20" t="s">
        <v>158</v>
      </c>
      <c r="C20" t="s">
        <v>0</v>
      </c>
      <c r="D20" t="s">
        <v>159</v>
      </c>
      <c r="E20" t="s">
        <v>123</v>
      </c>
      <c r="F20">
        <v>106.586542646049</v>
      </c>
      <c r="G20">
        <v>127.083954693366</v>
      </c>
      <c r="H20">
        <v>160.84063015879099</v>
      </c>
      <c r="I20">
        <v>187.970375004852</v>
      </c>
      <c r="J20">
        <v>197.27583911400299</v>
      </c>
      <c r="K20">
        <v>191.79595469417001</v>
      </c>
      <c r="L20">
        <v>200.43541211282599</v>
      </c>
      <c r="M20">
        <v>180.72045354435099</v>
      </c>
      <c r="N20">
        <v>155.576738268615</v>
      </c>
      <c r="O20">
        <v>132.69780617028999</v>
      </c>
      <c r="P20">
        <v>121.03206496850601</v>
      </c>
      <c r="Q20">
        <v>127.987930771294</v>
      </c>
      <c r="R20">
        <v>117.20999975897401</v>
      </c>
      <c r="S20">
        <v>109.39599977504299</v>
      </c>
      <c r="T20">
        <v>105.749466449208</v>
      </c>
      <c r="U20">
        <v>109.19781861603001</v>
      </c>
      <c r="V20">
        <v>111.42634552656099</v>
      </c>
      <c r="W20">
        <v>120.080818965517</v>
      </c>
      <c r="X20">
        <v>121.125</v>
      </c>
      <c r="Y20">
        <v>115.017857142857</v>
      </c>
      <c r="Z20">
        <v>113</v>
      </c>
      <c r="AA20">
        <v>128</v>
      </c>
      <c r="AB20">
        <v>165.12977099236599</v>
      </c>
      <c r="AC20">
        <v>185.52815446789401</v>
      </c>
      <c r="AD20">
        <v>210.783295913785</v>
      </c>
      <c r="AE20">
        <v>222.90799877608299</v>
      </c>
    </row>
    <row r="21" spans="1:31" x14ac:dyDescent="0.3">
      <c r="A21" t="s">
        <v>311</v>
      </c>
      <c r="B21" t="s">
        <v>160</v>
      </c>
      <c r="C21" t="s">
        <v>0</v>
      </c>
      <c r="D21" t="s">
        <v>161</v>
      </c>
      <c r="E21" t="s">
        <v>123</v>
      </c>
      <c r="F21">
        <v>112.162392186093</v>
      </c>
      <c r="G21">
        <v>132.191390790752</v>
      </c>
      <c r="H21">
        <v>165.23923848844001</v>
      </c>
      <c r="I21">
        <v>191.82946077393601</v>
      </c>
      <c r="J21">
        <v>204.618091492198</v>
      </c>
      <c r="K21">
        <v>201.028300413388</v>
      </c>
      <c r="L21">
        <v>211.25007840050901</v>
      </c>
      <c r="M21">
        <v>196.73671423558901</v>
      </c>
      <c r="N21">
        <v>175.04920243009099</v>
      </c>
      <c r="O21">
        <v>160.08773213692101</v>
      </c>
      <c r="P21">
        <v>151.43434121060099</v>
      </c>
      <c r="Q21">
        <v>169.33112699003499</v>
      </c>
      <c r="R21">
        <v>170.66444295058699</v>
      </c>
      <c r="S21">
        <v>165.49279316420501</v>
      </c>
      <c r="T21">
        <v>165.49279316420501</v>
      </c>
      <c r="U21">
        <v>177.065715763101</v>
      </c>
      <c r="V21">
        <v>179.32132997664399</v>
      </c>
      <c r="W21">
        <v>198.76581154037601</v>
      </c>
      <c r="X21">
        <v>205.042626641651</v>
      </c>
      <c r="Y21">
        <v>198.92195121951201</v>
      </c>
      <c r="Z21">
        <v>207</v>
      </c>
      <c r="AA21">
        <v>230</v>
      </c>
      <c r="AB21">
        <v>263.276595744681</v>
      </c>
      <c r="AC21">
        <v>277.90307328605201</v>
      </c>
      <c r="AD21">
        <v>296.42994483845501</v>
      </c>
      <c r="AE21">
        <v>295.49483460237201</v>
      </c>
    </row>
    <row r="22" spans="1:31" x14ac:dyDescent="0.3">
      <c r="A22" t="s">
        <v>311</v>
      </c>
      <c r="B22" t="s">
        <v>162</v>
      </c>
      <c r="C22" t="s">
        <v>0</v>
      </c>
      <c r="D22" t="s">
        <v>163</v>
      </c>
      <c r="E22" t="s">
        <v>123</v>
      </c>
      <c r="F22">
        <v>6.7961652975740199</v>
      </c>
      <c r="G22">
        <v>6.7961652975740199</v>
      </c>
      <c r="H22">
        <v>6.7961652975740199</v>
      </c>
      <c r="I22">
        <v>6.7961652975740199</v>
      </c>
      <c r="J22">
        <v>10.194247946360999</v>
      </c>
      <c r="K22">
        <v>11.893289270754501</v>
      </c>
      <c r="L22">
        <v>13.592330595148001</v>
      </c>
      <c r="M22">
        <v>18.123107460197399</v>
      </c>
      <c r="N22">
        <v>21.1436253702303</v>
      </c>
      <c r="O22">
        <v>28.191500493640401</v>
      </c>
      <c r="P22">
        <v>31.010650543004399</v>
      </c>
      <c r="Q22">
        <v>41.796963775353802</v>
      </c>
      <c r="R22">
        <v>53.552359837172098</v>
      </c>
      <c r="S22">
        <v>56.102472210370699</v>
      </c>
      <c r="T22">
        <v>59.683481074862499</v>
      </c>
      <c r="U22">
        <v>67.875331418471006</v>
      </c>
      <c r="V22">
        <v>67.875331418471006</v>
      </c>
      <c r="W22">
        <v>78.649193548387103</v>
      </c>
      <c r="X22">
        <v>83.892473118279597</v>
      </c>
      <c r="Y22">
        <v>83.892473118279597</v>
      </c>
      <c r="Z22">
        <v>94</v>
      </c>
      <c r="AA22">
        <v>102</v>
      </c>
      <c r="AB22">
        <v>98.076923076923094</v>
      </c>
      <c r="AC22">
        <v>92.192307692307693</v>
      </c>
      <c r="AD22">
        <v>85.326923076923094</v>
      </c>
      <c r="AE22">
        <v>72.199704142011797</v>
      </c>
    </row>
    <row r="23" spans="1:31" x14ac:dyDescent="0.3">
      <c r="A23" t="s">
        <v>311</v>
      </c>
      <c r="B23" t="s">
        <v>164</v>
      </c>
      <c r="C23" t="s">
        <v>0</v>
      </c>
      <c r="D23" t="s">
        <v>165</v>
      </c>
      <c r="E23" t="s">
        <v>123</v>
      </c>
      <c r="F23">
        <v>76.486738030166194</v>
      </c>
      <c r="G23">
        <v>80.621156302067106</v>
      </c>
      <c r="H23">
        <v>80.621156302067106</v>
      </c>
      <c r="I23">
        <v>82.540707642592494</v>
      </c>
      <c r="J23">
        <v>99.424034205850106</v>
      </c>
      <c r="K23">
        <v>130.72419312250699</v>
      </c>
      <c r="L23">
        <v>141.044524158494</v>
      </c>
      <c r="M23">
        <v>157.445050223435</v>
      </c>
      <c r="N23">
        <v>174.592530940839</v>
      </c>
      <c r="O23">
        <v>167.001551334716</v>
      </c>
      <c r="P23">
        <v>156.836239514342</v>
      </c>
      <c r="Q23">
        <v>149.95745707950201</v>
      </c>
      <c r="R23">
        <v>148.618551212721</v>
      </c>
      <c r="S23">
        <v>152.49555689653101</v>
      </c>
      <c r="T23">
        <v>166.90458589462801</v>
      </c>
      <c r="U23">
        <v>187.623775867755</v>
      </c>
      <c r="V23">
        <v>196.611741178785</v>
      </c>
      <c r="W23">
        <v>203.093446931931</v>
      </c>
      <c r="X23">
        <v>220.98250702438099</v>
      </c>
      <c r="Y23">
        <v>192.203389830508</v>
      </c>
      <c r="Z23">
        <v>180</v>
      </c>
      <c r="AA23">
        <v>161</v>
      </c>
      <c r="AB23">
        <v>153.19393939393899</v>
      </c>
      <c r="AC23">
        <v>144.46770233985399</v>
      </c>
      <c r="AD23">
        <v>136.71104718066701</v>
      </c>
      <c r="AE23">
        <v>134.85103293331099</v>
      </c>
    </row>
    <row r="24" spans="1:31" x14ac:dyDescent="0.3">
      <c r="A24" t="s">
        <v>311</v>
      </c>
      <c r="B24" t="s">
        <v>166</v>
      </c>
      <c r="C24" t="s">
        <v>0</v>
      </c>
      <c r="D24" t="s">
        <v>167</v>
      </c>
      <c r="E24" t="s">
        <v>123</v>
      </c>
      <c r="F24">
        <v>343.84511468726402</v>
      </c>
      <c r="G24">
        <v>374.54557135576903</v>
      </c>
      <c r="H24">
        <v>415.94271345298603</v>
      </c>
      <c r="I24">
        <v>475.63819547633102</v>
      </c>
      <c r="J24">
        <v>536.950931611952</v>
      </c>
      <c r="K24">
        <v>620.96366240837995</v>
      </c>
      <c r="L24">
        <v>684.96270282372802</v>
      </c>
      <c r="M24">
        <v>553.86936257038303</v>
      </c>
      <c r="N24">
        <v>449.04098038898297</v>
      </c>
      <c r="O24">
        <v>360.45466452993202</v>
      </c>
      <c r="P24">
        <v>291.58730992462</v>
      </c>
      <c r="Q24">
        <v>231.595662428167</v>
      </c>
      <c r="R24">
        <v>255.97415321007901</v>
      </c>
      <c r="S24">
        <v>246.78533745382001</v>
      </c>
      <c r="T24">
        <v>246.78533745382001</v>
      </c>
      <c r="U24">
        <v>252.57842049264201</v>
      </c>
      <c r="V24">
        <v>261.59907836737898</v>
      </c>
      <c r="W24">
        <v>300.83894012248601</v>
      </c>
      <c r="X24">
        <v>306.09836215259901</v>
      </c>
      <c r="Y24">
        <v>303.01683501683499</v>
      </c>
      <c r="Z24">
        <v>302</v>
      </c>
      <c r="AA24">
        <v>296</v>
      </c>
      <c r="AB24">
        <v>281.249169435216</v>
      </c>
      <c r="AC24">
        <v>291.04879206362102</v>
      </c>
      <c r="AD24">
        <v>295.94860337782302</v>
      </c>
      <c r="AE24">
        <v>291.23604599919503</v>
      </c>
    </row>
    <row r="25" spans="1:31" x14ac:dyDescent="0.3">
      <c r="A25" t="s">
        <v>311</v>
      </c>
      <c r="B25" t="s">
        <v>168</v>
      </c>
      <c r="C25" t="s">
        <v>0</v>
      </c>
      <c r="D25" t="s">
        <v>169</v>
      </c>
      <c r="E25" t="s">
        <v>123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>
        <v>0</v>
      </c>
      <c r="S25">
        <v>4</v>
      </c>
      <c r="T25">
        <v>3</v>
      </c>
      <c r="U25">
        <v>2</v>
      </c>
      <c r="V25">
        <v>2</v>
      </c>
      <c r="W25">
        <v>3</v>
      </c>
      <c r="X25">
        <v>4</v>
      </c>
      <c r="Y25">
        <v>7</v>
      </c>
      <c r="Z25">
        <v>11</v>
      </c>
      <c r="AA25">
        <v>13</v>
      </c>
      <c r="AB25">
        <v>12</v>
      </c>
      <c r="AC25">
        <v>10</v>
      </c>
      <c r="AD25">
        <v>12</v>
      </c>
      <c r="AE25">
        <v>11</v>
      </c>
    </row>
    <row r="26" spans="1:31" x14ac:dyDescent="0.3">
      <c r="A26" t="s">
        <v>311</v>
      </c>
      <c r="B26" t="s">
        <v>170</v>
      </c>
      <c r="C26" t="s">
        <v>0</v>
      </c>
      <c r="D26" t="s">
        <v>171</v>
      </c>
      <c r="E26" t="s">
        <v>123</v>
      </c>
      <c r="F26">
        <v>339.728452718634</v>
      </c>
      <c r="G26">
        <v>370.06135028279698</v>
      </c>
      <c r="H26">
        <v>410.96286794563298</v>
      </c>
      <c r="I26">
        <v>468.04104404919298</v>
      </c>
      <c r="J26">
        <v>526.77560643968002</v>
      </c>
      <c r="K26">
        <v>607.95677866497294</v>
      </c>
      <c r="L26">
        <v>667.727810275293</v>
      </c>
      <c r="M26">
        <v>540.00263591270698</v>
      </c>
      <c r="N26">
        <v>437.88179359110597</v>
      </c>
      <c r="O26">
        <v>351.81537209216498</v>
      </c>
      <c r="P26">
        <v>285.21657737512902</v>
      </c>
      <c r="Q26">
        <v>227.06562470641401</v>
      </c>
      <c r="R26">
        <v>251.250129113014</v>
      </c>
      <c r="S26">
        <v>239.53380184867601</v>
      </c>
      <c r="T26">
        <v>241.96561709587101</v>
      </c>
      <c r="U26">
        <v>244.281077546549</v>
      </c>
      <c r="V26">
        <v>249.90967380338199</v>
      </c>
      <c r="W26">
        <v>287.939406773462</v>
      </c>
      <c r="X26">
        <v>293.19377551020398</v>
      </c>
      <c r="Y26">
        <v>287.04285714285697</v>
      </c>
      <c r="Z26">
        <v>284</v>
      </c>
      <c r="AA26">
        <v>275</v>
      </c>
      <c r="AB26">
        <v>263.21428571428601</v>
      </c>
      <c r="AC26">
        <v>275.93467870419499</v>
      </c>
      <c r="AD26">
        <v>279.84864577801397</v>
      </c>
      <c r="AE26">
        <v>276.09228811656402</v>
      </c>
    </row>
    <row r="27" spans="1:31" x14ac:dyDescent="0.3">
      <c r="A27" t="s">
        <v>311</v>
      </c>
      <c r="B27" t="s">
        <v>172</v>
      </c>
      <c r="C27" t="s">
        <v>0</v>
      </c>
      <c r="D27" t="s">
        <v>173</v>
      </c>
      <c r="E27" t="s">
        <v>123</v>
      </c>
      <c r="F27" t="e">
        <v>#NUM!</v>
      </c>
      <c r="G27" t="e">
        <v>#NUM!</v>
      </c>
      <c r="H27">
        <v>0</v>
      </c>
      <c r="I27">
        <v>4.921875</v>
      </c>
      <c r="J27">
        <v>9.84375</v>
      </c>
      <c r="K27">
        <v>14.765625</v>
      </c>
      <c r="L27">
        <v>24.609375</v>
      </c>
      <c r="M27">
        <v>19.6875</v>
      </c>
      <c r="N27">
        <v>15.75</v>
      </c>
      <c r="O27">
        <v>11.8125</v>
      </c>
      <c r="P27">
        <v>7.875</v>
      </c>
      <c r="Q27">
        <v>5.25</v>
      </c>
      <c r="R27">
        <v>5.25</v>
      </c>
      <c r="S27">
        <v>2.625</v>
      </c>
      <c r="T27">
        <v>1.3125</v>
      </c>
      <c r="U27">
        <v>6.5625</v>
      </c>
      <c r="V27">
        <v>10.5</v>
      </c>
      <c r="W27">
        <v>10.5</v>
      </c>
      <c r="X27">
        <v>9.3333333333333304</v>
      </c>
      <c r="Y27">
        <v>9.3333333333333304</v>
      </c>
      <c r="Z27">
        <v>7</v>
      </c>
      <c r="AA27">
        <v>8</v>
      </c>
      <c r="AB27">
        <v>6</v>
      </c>
      <c r="AC27">
        <v>5</v>
      </c>
      <c r="AD27">
        <v>4</v>
      </c>
      <c r="AE27">
        <v>4</v>
      </c>
    </row>
    <row r="28" spans="1:31" x14ac:dyDescent="0.3">
      <c r="A28" t="s">
        <v>311</v>
      </c>
      <c r="B28" t="s">
        <v>174</v>
      </c>
      <c r="C28" t="s">
        <v>0</v>
      </c>
      <c r="D28" t="s">
        <v>175</v>
      </c>
      <c r="E28" t="s">
        <v>123</v>
      </c>
      <c r="F28">
        <v>61.783337652135103</v>
      </c>
      <c r="G28">
        <v>65.644796255393601</v>
      </c>
      <c r="H28">
        <v>69.291729380693198</v>
      </c>
      <c r="I28">
        <v>71.115195943342997</v>
      </c>
      <c r="J28">
        <v>85.702928444541598</v>
      </c>
      <c r="K28">
        <v>92.844839148253399</v>
      </c>
      <c r="L28">
        <v>120.354421118106</v>
      </c>
      <c r="M28">
        <v>120.354421118106</v>
      </c>
      <c r="N28">
        <v>126.372142174012</v>
      </c>
      <c r="O28">
        <v>130.78047271496499</v>
      </c>
      <c r="P28">
        <v>135.04505334697501</v>
      </c>
      <c r="Q28">
        <v>143.22960203467099</v>
      </c>
      <c r="R28">
        <v>140.55241321159301</v>
      </c>
      <c r="S28">
        <v>134.10505480739101</v>
      </c>
      <c r="T28">
        <v>124.43982563208399</v>
      </c>
      <c r="U28">
        <v>107.156516516517</v>
      </c>
      <c r="V28">
        <v>100.459234234234</v>
      </c>
      <c r="W28">
        <v>91.723648648648705</v>
      </c>
      <c r="X28">
        <v>86.390878378378403</v>
      </c>
      <c r="Y28">
        <v>84.283783783783804</v>
      </c>
      <c r="Z28">
        <v>77</v>
      </c>
      <c r="AA28">
        <v>71</v>
      </c>
      <c r="AB28">
        <v>67.109589041095902</v>
      </c>
      <c r="AC28">
        <v>61.273972602739697</v>
      </c>
      <c r="AD28">
        <v>57.383561643835598</v>
      </c>
      <c r="AE28">
        <v>57.383561643835598</v>
      </c>
    </row>
    <row r="29" spans="1:31" x14ac:dyDescent="0.3">
      <c r="A29" t="s">
        <v>311</v>
      </c>
      <c r="B29" t="s">
        <v>176</v>
      </c>
      <c r="C29" t="s">
        <v>0</v>
      </c>
      <c r="D29" t="s">
        <v>177</v>
      </c>
      <c r="E29" t="s">
        <v>123</v>
      </c>
      <c r="F29">
        <v>40.235029044182397</v>
      </c>
      <c r="G29">
        <v>40.235029044182397</v>
      </c>
      <c r="H29">
        <v>40.235029044182397</v>
      </c>
      <c r="I29">
        <v>40.235029044182397</v>
      </c>
      <c r="J29">
        <v>47.779096989966597</v>
      </c>
      <c r="K29">
        <v>47.779096989966597</v>
      </c>
      <c r="L29">
        <v>59.1550724637681</v>
      </c>
      <c r="M29">
        <v>48.591666666666697</v>
      </c>
      <c r="N29">
        <v>46.567013888888901</v>
      </c>
      <c r="O29">
        <v>42.686429398148199</v>
      </c>
      <c r="P29">
        <v>37.118634259259302</v>
      </c>
      <c r="Q29">
        <v>33.583526234567898</v>
      </c>
      <c r="R29">
        <v>28.280864197530899</v>
      </c>
      <c r="S29">
        <v>21.626543209876498</v>
      </c>
      <c r="T29">
        <v>16.6358024691358</v>
      </c>
      <c r="U29">
        <v>13.6111111111111</v>
      </c>
      <c r="V29">
        <v>12.25</v>
      </c>
      <c r="W29">
        <v>9.5277777777777803</v>
      </c>
      <c r="X29">
        <v>9.5277777777777803</v>
      </c>
      <c r="Y29">
        <v>8.1666666666666696</v>
      </c>
      <c r="Z29">
        <v>7</v>
      </c>
      <c r="AA29">
        <v>6</v>
      </c>
      <c r="AB29">
        <v>5</v>
      </c>
      <c r="AC29">
        <v>5</v>
      </c>
      <c r="AD29">
        <v>7</v>
      </c>
      <c r="AE29">
        <v>6</v>
      </c>
    </row>
    <row r="30" spans="1:31" x14ac:dyDescent="0.3">
      <c r="A30" t="s">
        <v>311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1.953125</v>
      </c>
      <c r="H30">
        <v>3.90625</v>
      </c>
      <c r="I30">
        <v>3.90625</v>
      </c>
      <c r="J30">
        <v>5.859375</v>
      </c>
      <c r="K30">
        <v>5.859375</v>
      </c>
      <c r="L30">
        <v>7.8125</v>
      </c>
      <c r="M30">
        <v>6.25</v>
      </c>
      <c r="N30">
        <v>6.25</v>
      </c>
      <c r="O30">
        <v>6.25</v>
      </c>
      <c r="P30">
        <v>6.25</v>
      </c>
      <c r="Q30">
        <v>5</v>
      </c>
      <c r="R30">
        <v>5</v>
      </c>
      <c r="S30">
        <v>5</v>
      </c>
      <c r="T30">
        <v>4</v>
      </c>
      <c r="U30">
        <v>3</v>
      </c>
      <c r="V30">
        <v>3</v>
      </c>
      <c r="W30">
        <v>3</v>
      </c>
      <c r="X30">
        <v>2</v>
      </c>
      <c r="Y30">
        <v>3</v>
      </c>
      <c r="Z30">
        <v>2</v>
      </c>
      <c r="AA30">
        <v>2</v>
      </c>
      <c r="AB30">
        <v>1.3333333333333299</v>
      </c>
      <c r="AC30">
        <v>1.3333333333333299</v>
      </c>
      <c r="AD30">
        <v>1.3333333333333299</v>
      </c>
      <c r="AE30">
        <v>2</v>
      </c>
    </row>
    <row r="31" spans="1:31" x14ac:dyDescent="0.3">
      <c r="A31" t="s">
        <v>311</v>
      </c>
      <c r="B31" t="s">
        <v>180</v>
      </c>
      <c r="C31" t="s">
        <v>0</v>
      </c>
      <c r="D31" t="s">
        <v>181</v>
      </c>
      <c r="E31" t="s">
        <v>123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>
        <v>0</v>
      </c>
      <c r="AA31" t="e">
        <v>#NUM!</v>
      </c>
      <c r="AB31" t="e">
        <v>#NUM!</v>
      </c>
      <c r="AC31" t="e">
        <v>#NUM!</v>
      </c>
      <c r="AD31" t="e">
        <v>#NUM!</v>
      </c>
      <c r="AE31" t="e">
        <v>#NUM!</v>
      </c>
    </row>
    <row r="32" spans="1:31" x14ac:dyDescent="0.3">
      <c r="A32" t="s">
        <v>311</v>
      </c>
      <c r="B32" t="s">
        <v>182</v>
      </c>
      <c r="C32" t="s">
        <v>0</v>
      </c>
      <c r="D32" t="s">
        <v>183</v>
      </c>
      <c r="E32" t="s">
        <v>123</v>
      </c>
      <c r="F32" t="e">
        <v>#NUM!</v>
      </c>
      <c r="G32" t="e">
        <v>#NUM!</v>
      </c>
      <c r="H32" t="e">
        <v>#NUM!</v>
      </c>
      <c r="I32">
        <v>0</v>
      </c>
      <c r="J32">
        <v>5.25</v>
      </c>
      <c r="K32">
        <v>3.5</v>
      </c>
      <c r="L32">
        <v>3.5</v>
      </c>
      <c r="M32">
        <v>3.5</v>
      </c>
      <c r="N32">
        <v>3.5</v>
      </c>
      <c r="O32">
        <v>5.8333333333333304</v>
      </c>
      <c r="P32">
        <v>7</v>
      </c>
      <c r="Q32">
        <v>8.1666666666666696</v>
      </c>
      <c r="R32">
        <v>5.8333333333333304</v>
      </c>
      <c r="S32">
        <v>7</v>
      </c>
      <c r="T32">
        <v>7</v>
      </c>
      <c r="U32">
        <v>5.8333333333333304</v>
      </c>
      <c r="V32">
        <v>7</v>
      </c>
      <c r="W32">
        <v>7</v>
      </c>
      <c r="X32">
        <v>8.1666666666666696</v>
      </c>
      <c r="Y32">
        <v>9.3333333333333304</v>
      </c>
      <c r="Z32">
        <v>7</v>
      </c>
      <c r="AA32">
        <v>5</v>
      </c>
      <c r="AB32">
        <v>7</v>
      </c>
      <c r="AC32">
        <v>7</v>
      </c>
      <c r="AD32">
        <v>8</v>
      </c>
      <c r="AE32">
        <v>10.6666666666667</v>
      </c>
    </row>
    <row r="33" spans="1:31" x14ac:dyDescent="0.3">
      <c r="A33" t="s">
        <v>311</v>
      </c>
      <c r="B33" t="s">
        <v>184</v>
      </c>
      <c r="C33" t="s">
        <v>0</v>
      </c>
      <c r="D33" t="s">
        <v>185</v>
      </c>
      <c r="E33" t="s">
        <v>123</v>
      </c>
      <c r="F33">
        <v>30.3351010111957</v>
      </c>
      <c r="G33">
        <v>32.119518717736597</v>
      </c>
      <c r="H33">
        <v>33.810019702880602</v>
      </c>
      <c r="I33">
        <v>35.5005206880247</v>
      </c>
      <c r="J33">
        <v>37.191021673168699</v>
      </c>
      <c r="K33">
        <v>45.643526598888798</v>
      </c>
      <c r="L33">
        <v>61.944786098492003</v>
      </c>
      <c r="M33">
        <v>71.236504013265801</v>
      </c>
      <c r="N33">
        <v>78.656973181314299</v>
      </c>
      <c r="O33">
        <v>83.026805024720701</v>
      </c>
      <c r="P33">
        <v>90.0629749420699</v>
      </c>
      <c r="Q33">
        <v>100.816762994854</v>
      </c>
      <c r="R33">
        <v>104.744688825823</v>
      </c>
      <c r="S33">
        <v>102.220720420381</v>
      </c>
      <c r="T33">
        <v>97.520917182662501</v>
      </c>
      <c r="U33">
        <v>85.190686274509801</v>
      </c>
      <c r="V33">
        <v>78.637556561086001</v>
      </c>
      <c r="W33">
        <v>72.261538461538393</v>
      </c>
      <c r="X33">
        <v>67.099999999999994</v>
      </c>
      <c r="Y33">
        <v>64.05</v>
      </c>
      <c r="Z33">
        <v>61</v>
      </c>
      <c r="AA33">
        <v>58</v>
      </c>
      <c r="AB33">
        <v>54.067796610169502</v>
      </c>
      <c r="AC33">
        <v>48.169491525423702</v>
      </c>
      <c r="AD33">
        <v>41.288135593220296</v>
      </c>
      <c r="AE33">
        <v>38.473035439137099</v>
      </c>
    </row>
    <row r="34" spans="1:31" x14ac:dyDescent="0.3">
      <c r="A34" t="s">
        <v>311</v>
      </c>
      <c r="B34" t="s">
        <v>186</v>
      </c>
      <c r="C34" t="s">
        <v>0</v>
      </c>
      <c r="D34" t="s">
        <v>187</v>
      </c>
      <c r="E34" t="s">
        <v>123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>
        <v>0</v>
      </c>
      <c r="U34">
        <v>2</v>
      </c>
      <c r="V34">
        <v>4</v>
      </c>
      <c r="W34">
        <v>4</v>
      </c>
      <c r="X34">
        <v>4</v>
      </c>
      <c r="Y34">
        <v>2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3</v>
      </c>
    </row>
    <row r="35" spans="1:31" x14ac:dyDescent="0.3">
      <c r="A35" t="s">
        <v>311</v>
      </c>
      <c r="B35" t="s">
        <v>188</v>
      </c>
      <c r="C35" t="s">
        <v>0</v>
      </c>
      <c r="D35" t="s">
        <v>189</v>
      </c>
      <c r="E35" t="s">
        <v>123</v>
      </c>
      <c r="F35">
        <v>317.18683508490199</v>
      </c>
      <c r="G35">
        <v>343.96234713752398</v>
      </c>
      <c r="H35">
        <v>375.59106871338798</v>
      </c>
      <c r="I35">
        <v>434.995778560914</v>
      </c>
      <c r="J35">
        <v>567.70635507102304</v>
      </c>
      <c r="K35">
        <v>667.14536630957798</v>
      </c>
      <c r="L35">
        <v>711.62172406355</v>
      </c>
      <c r="M35">
        <v>907.76347488744398</v>
      </c>
      <c r="N35">
        <v>1023.94480699761</v>
      </c>
      <c r="O35">
        <v>1037.51697675163</v>
      </c>
      <c r="P35">
        <v>1085.2688041335</v>
      </c>
      <c r="Q35">
        <v>1012.0891010558</v>
      </c>
      <c r="R35">
        <v>1161.28151834291</v>
      </c>
      <c r="S35">
        <v>1170.3743266520801</v>
      </c>
      <c r="T35">
        <v>1109.8585910444301</v>
      </c>
      <c r="U35">
        <v>1086.7605974743001</v>
      </c>
      <c r="V35">
        <v>1073.2464760549301</v>
      </c>
      <c r="W35">
        <v>1112.4319457689101</v>
      </c>
      <c r="X35">
        <v>1215.5713314693301</v>
      </c>
      <c r="Y35">
        <v>1228.9067131647801</v>
      </c>
      <c r="Z35">
        <v>1163</v>
      </c>
      <c r="AA35">
        <v>1108</v>
      </c>
      <c r="AB35">
        <v>1149.07325684025</v>
      </c>
      <c r="AC35">
        <v>1098.39318105086</v>
      </c>
      <c r="AD35">
        <v>1047.71310526146</v>
      </c>
      <c r="AE35">
        <v>1054.26131216935</v>
      </c>
    </row>
    <row r="36" spans="1:31" x14ac:dyDescent="0.3">
      <c r="A36" t="s">
        <v>311</v>
      </c>
      <c r="B36" t="s">
        <v>190</v>
      </c>
      <c r="C36" t="s">
        <v>0</v>
      </c>
      <c r="D36" t="s">
        <v>191</v>
      </c>
      <c r="E36" t="s">
        <v>123</v>
      </c>
      <c r="F36">
        <v>27.190912457515399</v>
      </c>
      <c r="G36">
        <v>29.003639954683099</v>
      </c>
      <c r="H36">
        <v>30.816367451850802</v>
      </c>
      <c r="I36">
        <v>30.816367451850802</v>
      </c>
      <c r="J36">
        <v>32.438281528264</v>
      </c>
      <c r="K36">
        <v>30.816367451850802</v>
      </c>
      <c r="L36">
        <v>32.438281528264</v>
      </c>
      <c r="M36">
        <v>32.438281528264</v>
      </c>
      <c r="N36">
        <v>35.387216212651602</v>
      </c>
      <c r="O36">
        <v>35.387216212651602</v>
      </c>
      <c r="P36">
        <v>32.556238915639497</v>
      </c>
      <c r="Q36">
        <v>32.556238915639497</v>
      </c>
      <c r="R36">
        <v>33.912748870457797</v>
      </c>
      <c r="S36">
        <v>41.448915286115103</v>
      </c>
      <c r="T36">
        <v>43.817424731035999</v>
      </c>
      <c r="U36">
        <v>91.094119835574801</v>
      </c>
      <c r="V36">
        <v>131.58039531805201</v>
      </c>
      <c r="W36">
        <v>159.62211891042401</v>
      </c>
      <c r="X36">
        <v>191.96385542168699</v>
      </c>
      <c r="Y36">
        <v>228.72289156626499</v>
      </c>
      <c r="Z36">
        <v>252</v>
      </c>
      <c r="AA36">
        <v>246</v>
      </c>
      <c r="AB36">
        <v>289.75494071146198</v>
      </c>
      <c r="AC36">
        <v>342.08526445199402</v>
      </c>
      <c r="AD36">
        <v>400.23006860814002</v>
      </c>
      <c r="AE36">
        <v>430.87413418602603</v>
      </c>
    </row>
    <row r="37" spans="1:31" x14ac:dyDescent="0.3">
      <c r="A37" t="s">
        <v>311</v>
      </c>
      <c r="B37" t="s">
        <v>192</v>
      </c>
      <c r="C37" t="s">
        <v>0</v>
      </c>
      <c r="D37" t="s">
        <v>193</v>
      </c>
      <c r="E37" t="s">
        <v>123</v>
      </c>
      <c r="F37">
        <v>255.94508503883901</v>
      </c>
      <c r="G37">
        <v>280.71396423614601</v>
      </c>
      <c r="H37">
        <v>312.34370668528999</v>
      </c>
      <c r="I37">
        <v>366.32903870496898</v>
      </c>
      <c r="J37">
        <v>448.148722476638</v>
      </c>
      <c r="K37">
        <v>500.97926293120099</v>
      </c>
      <c r="L37">
        <v>506.14399760059501</v>
      </c>
      <c r="M37">
        <v>550.227507069034</v>
      </c>
      <c r="N37">
        <v>526.84673481397499</v>
      </c>
      <c r="O37">
        <v>525.33280741508497</v>
      </c>
      <c r="P37">
        <v>518.07682941211397</v>
      </c>
      <c r="Q37">
        <v>494.527882620654</v>
      </c>
      <c r="R37">
        <v>462.18818457461703</v>
      </c>
      <c r="S37">
        <v>434.84747506456898</v>
      </c>
      <c r="T37">
        <v>393.66414873533398</v>
      </c>
      <c r="U37">
        <v>357.87649885030402</v>
      </c>
      <c r="V37">
        <v>326.365360586755</v>
      </c>
      <c r="W37">
        <v>285.97901161782602</v>
      </c>
      <c r="X37">
        <v>263.81827640020799</v>
      </c>
      <c r="Y37">
        <v>243.28767123287699</v>
      </c>
      <c r="Z37">
        <v>222</v>
      </c>
      <c r="AA37">
        <v>205</v>
      </c>
      <c r="AB37">
        <v>187.344497607656</v>
      </c>
      <c r="AC37">
        <v>170.756703548644</v>
      </c>
      <c r="AD37">
        <v>162.95068281499201</v>
      </c>
      <c r="AE37">
        <v>149.83970833562501</v>
      </c>
    </row>
    <row r="38" spans="1:31" x14ac:dyDescent="0.3">
      <c r="A38" t="s">
        <v>311</v>
      </c>
      <c r="B38" t="s">
        <v>194</v>
      </c>
      <c r="C38" t="s">
        <v>0</v>
      </c>
      <c r="D38" t="s">
        <v>195</v>
      </c>
      <c r="E38" t="s">
        <v>123</v>
      </c>
      <c r="F38">
        <v>33.527717352809901</v>
      </c>
      <c r="G38">
        <v>33.527717352809901</v>
      </c>
      <c r="H38">
        <v>31.432235018259298</v>
      </c>
      <c r="I38">
        <v>37.325779084182898</v>
      </c>
      <c r="J38">
        <v>87.715580847829898</v>
      </c>
      <c r="K38">
        <v>137.05559507473399</v>
      </c>
      <c r="L38">
        <v>174.745883720286</v>
      </c>
      <c r="M38">
        <v>326.83952325460899</v>
      </c>
      <c r="N38">
        <v>463.15174148402002</v>
      </c>
      <c r="O38">
        <v>478.23811742812399</v>
      </c>
      <c r="P38">
        <v>536.20637408607899</v>
      </c>
      <c r="Q38">
        <v>486.45526721211297</v>
      </c>
      <c r="R38">
        <v>666.52434402543599</v>
      </c>
      <c r="S38">
        <v>695.16406193277896</v>
      </c>
      <c r="T38">
        <v>673.32644742180196</v>
      </c>
      <c r="U38">
        <v>638.61889858562699</v>
      </c>
      <c r="V38">
        <v>616.05285976634605</v>
      </c>
      <c r="W38">
        <v>667.299734826556</v>
      </c>
      <c r="X38">
        <v>760.06810238538196</v>
      </c>
      <c r="Y38">
        <v>756.98674521354906</v>
      </c>
      <c r="Z38">
        <v>689</v>
      </c>
      <c r="AA38">
        <v>657</v>
      </c>
      <c r="AB38">
        <v>671.68703427719799</v>
      </c>
      <c r="AC38">
        <v>584.79728711052599</v>
      </c>
      <c r="AD38">
        <v>483.26320053374002</v>
      </c>
      <c r="AE38">
        <v>472.00269877373</v>
      </c>
    </row>
    <row r="39" spans="1:31" x14ac:dyDescent="0.3">
      <c r="A39" t="s">
        <v>311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12.463257884924101</v>
      </c>
      <c r="H39">
        <v>35.609308242640203</v>
      </c>
      <c r="I39">
        <v>35.609308242640203</v>
      </c>
      <c r="J39">
        <v>35.609308242640203</v>
      </c>
      <c r="K39">
        <v>44.511635303300203</v>
      </c>
      <c r="L39">
        <v>114.703060204658</v>
      </c>
      <c r="M39">
        <v>92.085555375570806</v>
      </c>
      <c r="N39">
        <v>73.668444300456599</v>
      </c>
      <c r="O39">
        <v>58.634067912608302</v>
      </c>
      <c r="P39">
        <v>47.193274173562799</v>
      </c>
      <c r="Q39">
        <v>38.865049319404697</v>
      </c>
      <c r="R39">
        <v>73.709576295422593</v>
      </c>
      <c r="S39">
        <v>146.12600212952199</v>
      </c>
      <c r="T39">
        <v>190.442904414705</v>
      </c>
      <c r="U39">
        <v>227.15478960308201</v>
      </c>
      <c r="V39">
        <v>258.48648472074802</v>
      </c>
      <c r="W39">
        <v>294.32704772824701</v>
      </c>
      <c r="X39">
        <v>298.53171983865099</v>
      </c>
      <c r="Y39">
        <v>309.777777777778</v>
      </c>
      <c r="Z39">
        <v>328</v>
      </c>
      <c r="AA39">
        <v>331</v>
      </c>
      <c r="AB39">
        <v>360.37869822485197</v>
      </c>
      <c r="AC39">
        <v>379.91141899584699</v>
      </c>
      <c r="AD39">
        <v>389.67777938134401</v>
      </c>
      <c r="AE39">
        <v>390.61676198226297</v>
      </c>
    </row>
    <row r="40" spans="1:31" x14ac:dyDescent="0.3">
      <c r="A40" t="s">
        <v>311</v>
      </c>
      <c r="B40" t="s">
        <v>198</v>
      </c>
      <c r="C40" t="s">
        <v>0</v>
      </c>
      <c r="D40" t="s">
        <v>199</v>
      </c>
      <c r="E40" t="s">
        <v>123</v>
      </c>
      <c r="F40">
        <v>19.7530864197531</v>
      </c>
      <c r="G40">
        <v>22.2222222222222</v>
      </c>
      <c r="H40">
        <v>24.6913580246914</v>
      </c>
      <c r="I40">
        <v>22.2222222222222</v>
      </c>
      <c r="J40">
        <v>22.2222222222222</v>
      </c>
      <c r="K40">
        <v>22.2222222222222</v>
      </c>
      <c r="L40">
        <v>20</v>
      </c>
      <c r="M40">
        <v>16</v>
      </c>
      <c r="N40">
        <v>12</v>
      </c>
      <c r="O40">
        <v>8.5714285714285694</v>
      </c>
      <c r="P40">
        <v>6.8571428571428603</v>
      </c>
      <c r="Q40">
        <v>5.1428571428571397</v>
      </c>
      <c r="R40">
        <v>3.8571428571428599</v>
      </c>
      <c r="S40">
        <v>2.5714285714285698</v>
      </c>
      <c r="T40">
        <v>2.5714285714285698</v>
      </c>
      <c r="U40">
        <v>6.4285714285714297</v>
      </c>
      <c r="V40">
        <v>9</v>
      </c>
      <c r="W40">
        <v>11.5714285714286</v>
      </c>
      <c r="X40">
        <v>9</v>
      </c>
      <c r="Y40">
        <v>7</v>
      </c>
      <c r="Z40">
        <v>8</v>
      </c>
      <c r="AA40">
        <v>9</v>
      </c>
      <c r="AB40">
        <v>9</v>
      </c>
      <c r="AC40">
        <v>9</v>
      </c>
      <c r="AD40">
        <v>9</v>
      </c>
      <c r="AE40">
        <v>10</v>
      </c>
    </row>
    <row r="41" spans="1:31" x14ac:dyDescent="0.3">
      <c r="A41" t="s">
        <v>311</v>
      </c>
      <c r="B41" t="s">
        <v>200</v>
      </c>
      <c r="C41" t="s">
        <v>0</v>
      </c>
      <c r="D41" t="s">
        <v>201</v>
      </c>
      <c r="E41" t="s">
        <v>123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>
        <v>0</v>
      </c>
      <c r="AA41" t="e">
        <v>#NUM!</v>
      </c>
      <c r="AB41" t="e">
        <v>#NUM!</v>
      </c>
      <c r="AC41" t="e">
        <v>#NUM!</v>
      </c>
      <c r="AD41" t="e">
        <v>#NUM!</v>
      </c>
      <c r="AE41" t="e">
        <v>#NUM!</v>
      </c>
    </row>
    <row r="42" spans="1:31" x14ac:dyDescent="0.3">
      <c r="A42" t="s">
        <v>311</v>
      </c>
      <c r="B42" t="s">
        <v>202</v>
      </c>
      <c r="C42" t="s">
        <v>0</v>
      </c>
      <c r="D42" t="s">
        <v>203</v>
      </c>
      <c r="E42" t="s">
        <v>123</v>
      </c>
      <c r="F42">
        <v>3203.4119820291298</v>
      </c>
      <c r="G42">
        <v>3301.0397757671699</v>
      </c>
      <c r="H42">
        <v>3414.6660707193901</v>
      </c>
      <c r="I42">
        <v>3514.08523963171</v>
      </c>
      <c r="J42">
        <v>3663.1118911553599</v>
      </c>
      <c r="K42">
        <v>3804.0008100459499</v>
      </c>
      <c r="L42">
        <v>3920.1535065358999</v>
      </c>
      <c r="M42">
        <v>4138.7494269747103</v>
      </c>
      <c r="N42">
        <v>4165.0812908439302</v>
      </c>
      <c r="O42">
        <v>4219.3887614960104</v>
      </c>
      <c r="P42">
        <v>4235.3055229419797</v>
      </c>
      <c r="Q42">
        <v>4293.3423359806702</v>
      </c>
      <c r="R42">
        <v>4251.7505821008499</v>
      </c>
      <c r="S42">
        <v>4193.2760172492199</v>
      </c>
      <c r="T42">
        <v>4159.3419916761104</v>
      </c>
      <c r="U42">
        <v>4125.8268714319802</v>
      </c>
      <c r="V42">
        <v>4033.3903131102802</v>
      </c>
      <c r="W42">
        <v>3989.7860935090898</v>
      </c>
      <c r="X42">
        <v>3921.2149417168898</v>
      </c>
      <c r="Y42">
        <v>3783.5202870549301</v>
      </c>
      <c r="Z42">
        <v>3674</v>
      </c>
      <c r="AA42">
        <v>3539</v>
      </c>
      <c r="AB42">
        <v>3384.40724357202</v>
      </c>
      <c r="AC42">
        <v>3368.8064034979402</v>
      </c>
      <c r="AD42">
        <v>3382.4571385627601</v>
      </c>
      <c r="AE42">
        <v>3354.3636407341701</v>
      </c>
    </row>
    <row r="43" spans="1:31" x14ac:dyDescent="0.3">
      <c r="A43" t="s">
        <v>311</v>
      </c>
      <c r="B43" t="s">
        <v>204</v>
      </c>
      <c r="C43" t="s">
        <v>0</v>
      </c>
      <c r="D43" t="s">
        <v>205</v>
      </c>
      <c r="E43" t="s">
        <v>123</v>
      </c>
      <c r="F43">
        <v>3215.54433345494</v>
      </c>
      <c r="G43">
        <v>3315.26691088487</v>
      </c>
      <c r="H43">
        <v>3432.8990898636398</v>
      </c>
      <c r="I43">
        <v>3532.4034113089601</v>
      </c>
      <c r="J43">
        <v>3683.34508912414</v>
      </c>
      <c r="K43">
        <v>3820.7024133505602</v>
      </c>
      <c r="L43">
        <v>3935.1867879903102</v>
      </c>
      <c r="M43">
        <v>4158.6665315058099</v>
      </c>
      <c r="N43">
        <v>4186.5458602086401</v>
      </c>
      <c r="O43">
        <v>4248.4011323774903</v>
      </c>
      <c r="P43">
        <v>4270.1061790347303</v>
      </c>
      <c r="Q43">
        <v>4333.6741027355702</v>
      </c>
      <c r="R43">
        <v>4293.4232596761103</v>
      </c>
      <c r="S43">
        <v>4225.8512229015496</v>
      </c>
      <c r="T43">
        <v>4184.6588657975699</v>
      </c>
      <c r="U43">
        <v>4148.8431769958797</v>
      </c>
      <c r="V43">
        <v>4054.1927623115698</v>
      </c>
      <c r="W43">
        <v>4011.7005511505499</v>
      </c>
      <c r="X43">
        <v>3941.04231326225</v>
      </c>
      <c r="Y43">
        <v>3808.5098684210502</v>
      </c>
      <c r="Z43">
        <v>3699</v>
      </c>
      <c r="AA43">
        <v>3573</v>
      </c>
      <c r="AB43">
        <v>3417.3968775677899</v>
      </c>
      <c r="AC43">
        <v>3401.7923256154199</v>
      </c>
      <c r="AD43">
        <v>3412.5204550826802</v>
      </c>
      <c r="AE43">
        <v>3394.7225169419798</v>
      </c>
    </row>
    <row r="44" spans="1:31" x14ac:dyDescent="0.3">
      <c r="A44" t="s">
        <v>311</v>
      </c>
      <c r="B44" t="s">
        <v>206</v>
      </c>
      <c r="C44" t="s">
        <v>0</v>
      </c>
      <c r="D44" t="s">
        <v>207</v>
      </c>
      <c r="E44" t="s">
        <v>123</v>
      </c>
      <c r="F44">
        <v>13343.3012545205</v>
      </c>
      <c r="G44">
        <v>14236.380878050601</v>
      </c>
      <c r="H44">
        <v>15338.868145498</v>
      </c>
      <c r="I44">
        <v>16717.685725309999</v>
      </c>
      <c r="J44">
        <v>18690.8544397812</v>
      </c>
      <c r="K44">
        <v>20805.9482307537</v>
      </c>
      <c r="L44">
        <v>22456.3461607018</v>
      </c>
      <c r="M44">
        <v>23658.207733930401</v>
      </c>
      <c r="N44">
        <v>24669.851349296499</v>
      </c>
      <c r="O44">
        <v>25639.573467990602</v>
      </c>
      <c r="P44">
        <v>26371.595370309798</v>
      </c>
      <c r="Q44">
        <v>26984.759820687799</v>
      </c>
      <c r="R44">
        <v>27882.061094112902</v>
      </c>
      <c r="S44">
        <v>28953.299412123601</v>
      </c>
      <c r="T44">
        <v>29157.869318919398</v>
      </c>
      <c r="U44">
        <v>29243.288255166401</v>
      </c>
      <c r="V44">
        <v>28867.349750981601</v>
      </c>
      <c r="W44">
        <v>27966.027469077599</v>
      </c>
      <c r="X44">
        <v>27002.262822389901</v>
      </c>
      <c r="Y44">
        <v>25888.3334979424</v>
      </c>
      <c r="Z44">
        <v>24643</v>
      </c>
      <c r="AA44">
        <v>23346</v>
      </c>
      <c r="AB44">
        <v>22167.591246384101</v>
      </c>
      <c r="AC44">
        <v>21479.090106093401</v>
      </c>
      <c r="AD44">
        <v>20894.936872334099</v>
      </c>
      <c r="AE44">
        <v>20390.056297887098</v>
      </c>
    </row>
    <row r="45" spans="1:31" x14ac:dyDescent="0.3">
      <c r="A45" t="s">
        <v>311</v>
      </c>
      <c r="B45" t="s">
        <v>208</v>
      </c>
      <c r="C45" t="s">
        <v>0</v>
      </c>
      <c r="D45" t="s">
        <v>209</v>
      </c>
      <c r="E45" t="s">
        <v>123</v>
      </c>
      <c r="F45">
        <v>13325.544914313001</v>
      </c>
      <c r="G45">
        <v>14220.832708220099</v>
      </c>
      <c r="H45">
        <v>15327.39798575</v>
      </c>
      <c r="I45">
        <v>16702.566403163099</v>
      </c>
      <c r="J45">
        <v>18674.065102149099</v>
      </c>
      <c r="K45">
        <v>20791.1094337141</v>
      </c>
      <c r="L45">
        <v>22445.103017855701</v>
      </c>
      <c r="M45">
        <v>23647.056427154799</v>
      </c>
      <c r="N45">
        <v>24660.3025061275</v>
      </c>
      <c r="O45">
        <v>25633.080630795801</v>
      </c>
      <c r="P45">
        <v>26366.570408412601</v>
      </c>
      <c r="Q45">
        <v>26981.159682507299</v>
      </c>
      <c r="R45">
        <v>27879.860999299799</v>
      </c>
      <c r="S45">
        <v>28951.164461079999</v>
      </c>
      <c r="T45">
        <v>29155.744942511799</v>
      </c>
      <c r="U45">
        <v>29238.8590746677</v>
      </c>
      <c r="V45">
        <v>28858.402716212298</v>
      </c>
      <c r="W45">
        <v>27955.965301963301</v>
      </c>
      <c r="X45">
        <v>26994.291050025098</v>
      </c>
      <c r="Y45">
        <v>25879.3250864482</v>
      </c>
      <c r="Z45">
        <v>24635</v>
      </c>
      <c r="AA45">
        <v>23337</v>
      </c>
      <c r="AB45">
        <v>22156.64343231</v>
      </c>
      <c r="AC45">
        <v>21459.341612067001</v>
      </c>
      <c r="AD45">
        <v>20865.4160057341</v>
      </c>
      <c r="AE45">
        <v>20354.904143865399</v>
      </c>
    </row>
    <row r="46" spans="1:31" x14ac:dyDescent="0.3">
      <c r="A46" t="s">
        <v>311</v>
      </c>
      <c r="B46" t="s">
        <v>210</v>
      </c>
      <c r="C46" t="s">
        <v>0</v>
      </c>
      <c r="D46" t="s">
        <v>211</v>
      </c>
      <c r="E46" t="s">
        <v>123</v>
      </c>
      <c r="F46">
        <v>11.631138948246599</v>
      </c>
      <c r="G46">
        <v>13.957366737895899</v>
      </c>
      <c r="H46">
        <v>18.609822317194499</v>
      </c>
      <c r="I46">
        <v>18.609822317194499</v>
      </c>
      <c r="J46">
        <v>20.677580352438401</v>
      </c>
      <c r="K46">
        <v>16.542064281950701</v>
      </c>
      <c r="L46">
        <v>14.704057139511701</v>
      </c>
      <c r="M46">
        <v>19.605409519348999</v>
      </c>
      <c r="N46">
        <v>21.113517943914299</v>
      </c>
      <c r="O46">
        <v>28.654060066740801</v>
      </c>
      <c r="P46">
        <v>34.384872080089004</v>
      </c>
      <c r="Q46">
        <v>39.886451612903201</v>
      </c>
      <c r="R46">
        <v>41.216000000000001</v>
      </c>
      <c r="S46">
        <v>32.200000000000003</v>
      </c>
      <c r="T46">
        <v>25.3</v>
      </c>
      <c r="U46">
        <v>23.1</v>
      </c>
      <c r="V46">
        <v>21</v>
      </c>
      <c r="W46">
        <v>22</v>
      </c>
      <c r="X46">
        <v>20</v>
      </c>
      <c r="Y46">
        <v>25</v>
      </c>
      <c r="Z46">
        <v>25</v>
      </c>
      <c r="AA46">
        <v>34</v>
      </c>
      <c r="AB46">
        <v>33</v>
      </c>
      <c r="AC46">
        <v>33</v>
      </c>
      <c r="AD46">
        <v>30</v>
      </c>
      <c r="AE46">
        <v>40.645161290322598</v>
      </c>
    </row>
    <row r="47" spans="1:31" x14ac:dyDescent="0.3">
      <c r="A47" t="s">
        <v>311</v>
      </c>
      <c r="B47" t="s">
        <v>212</v>
      </c>
      <c r="C47" t="s">
        <v>0</v>
      </c>
      <c r="D47" t="s">
        <v>213</v>
      </c>
      <c r="E47" t="s">
        <v>123</v>
      </c>
      <c r="F47">
        <v>253.42766776293101</v>
      </c>
      <c r="G47">
        <v>255.438998459462</v>
      </c>
      <c r="H47">
        <v>259.30928631490798</v>
      </c>
      <c r="I47">
        <v>272.558665907641</v>
      </c>
      <c r="J47">
        <v>296.338952194885</v>
      </c>
      <c r="K47">
        <v>310.70690139221199</v>
      </c>
      <c r="L47">
        <v>309.009049472036</v>
      </c>
      <c r="M47">
        <v>320.27500440070401</v>
      </c>
      <c r="N47">
        <v>321.81478807570801</v>
      </c>
      <c r="O47">
        <v>323.31160104350198</v>
      </c>
      <c r="P47">
        <v>321.87466059441903</v>
      </c>
      <c r="Q47">
        <v>337.00552070783198</v>
      </c>
      <c r="R47">
        <v>319.62031527449199</v>
      </c>
      <c r="S47">
        <v>302.79819341794001</v>
      </c>
      <c r="T47">
        <v>305.210928026847</v>
      </c>
      <c r="U47">
        <v>299.430418026339</v>
      </c>
      <c r="V47">
        <v>284.74137865146201</v>
      </c>
      <c r="W47">
        <v>296.74197315401398</v>
      </c>
      <c r="X47">
        <v>292.51788812691098</v>
      </c>
      <c r="Y47">
        <v>281.18796992481202</v>
      </c>
      <c r="Z47">
        <v>271</v>
      </c>
      <c r="AA47">
        <v>293</v>
      </c>
      <c r="AB47">
        <v>325.44630872483202</v>
      </c>
      <c r="AC47">
        <v>354.85410770599202</v>
      </c>
      <c r="AD47">
        <v>372.49878709468697</v>
      </c>
      <c r="AE47">
        <v>384.75824084717101</v>
      </c>
    </row>
    <row r="48" spans="1:31" x14ac:dyDescent="0.3">
      <c r="A48" t="s">
        <v>311</v>
      </c>
      <c r="B48" t="s">
        <v>214</v>
      </c>
      <c r="C48" t="s">
        <v>0</v>
      </c>
      <c r="D48" t="s">
        <v>215</v>
      </c>
      <c r="E48" t="s">
        <v>123</v>
      </c>
      <c r="F48">
        <v>3645.3536251548298</v>
      </c>
      <c r="G48">
        <v>3960.4845855000599</v>
      </c>
      <c r="H48">
        <v>4445.7613528933498</v>
      </c>
      <c r="I48">
        <v>4619.6926869919198</v>
      </c>
      <c r="J48">
        <v>4914.1750893499702</v>
      </c>
      <c r="K48">
        <v>5019.0397527724499</v>
      </c>
      <c r="L48">
        <v>5176.3121155977497</v>
      </c>
      <c r="M48">
        <v>5390.0353559039404</v>
      </c>
      <c r="N48">
        <v>5568.1031714537703</v>
      </c>
      <c r="O48">
        <v>5736.8792351081202</v>
      </c>
      <c r="P48">
        <v>5836.5882192951403</v>
      </c>
      <c r="Q48">
        <v>5940.0493671200302</v>
      </c>
      <c r="R48">
        <v>6055.2081240118996</v>
      </c>
      <c r="S48">
        <v>6069.46787339408</v>
      </c>
      <c r="T48">
        <v>6141.9679873506002</v>
      </c>
      <c r="U48">
        <v>6299.8680838540804</v>
      </c>
      <c r="V48">
        <v>6380.8085731541396</v>
      </c>
      <c r="W48">
        <v>6459.1273964182201</v>
      </c>
      <c r="X48">
        <v>6451.7575689080404</v>
      </c>
      <c r="Y48">
        <v>6456.89186587518</v>
      </c>
      <c r="Z48">
        <v>6321</v>
      </c>
      <c r="AA48">
        <v>6334</v>
      </c>
      <c r="AB48">
        <v>6415.2553323029397</v>
      </c>
      <c r="AC48">
        <v>6540.0885160266798</v>
      </c>
      <c r="AD48">
        <v>6644.4412555457402</v>
      </c>
      <c r="AE48">
        <v>6708.13198085969</v>
      </c>
    </row>
    <row r="49" spans="1:31" x14ac:dyDescent="0.3">
      <c r="A49" t="s">
        <v>311</v>
      </c>
      <c r="B49" t="s">
        <v>216</v>
      </c>
      <c r="C49" t="s">
        <v>0</v>
      </c>
      <c r="D49" t="s">
        <v>217</v>
      </c>
      <c r="E49" t="s">
        <v>123</v>
      </c>
      <c r="F49">
        <v>3374.0564102357698</v>
      </c>
      <c r="G49">
        <v>3685.2261695884299</v>
      </c>
      <c r="H49">
        <v>4164.9713404434597</v>
      </c>
      <c r="I49">
        <v>4321.7792605152599</v>
      </c>
      <c r="J49">
        <v>4586.9416863841097</v>
      </c>
      <c r="K49">
        <v>4673.7607719308098</v>
      </c>
      <c r="L49">
        <v>4832.8020276167099</v>
      </c>
      <c r="M49">
        <v>5035.3842722351201</v>
      </c>
      <c r="N49">
        <v>5210.5145962617598</v>
      </c>
      <c r="O49">
        <v>5377.9146310475999</v>
      </c>
      <c r="P49">
        <v>5480.6128394403804</v>
      </c>
      <c r="Q49">
        <v>5567.5847812249503</v>
      </c>
      <c r="R49">
        <v>5697.5620914003603</v>
      </c>
      <c r="S49">
        <v>5727.3922594181604</v>
      </c>
      <c r="T49">
        <v>5796.29503670538</v>
      </c>
      <c r="U49">
        <v>5955.3818933213997</v>
      </c>
      <c r="V49">
        <v>6048.69824165927</v>
      </c>
      <c r="W49">
        <v>6109.6094269735804</v>
      </c>
      <c r="X49">
        <v>6103.2934971731302</v>
      </c>
      <c r="Y49">
        <v>6117.6638484951</v>
      </c>
      <c r="Z49">
        <v>5996</v>
      </c>
      <c r="AA49">
        <v>5987</v>
      </c>
      <c r="AB49">
        <v>6035.9453891432304</v>
      </c>
      <c r="AC49">
        <v>6122.7303874685504</v>
      </c>
      <c r="AD49">
        <v>6202.6895994087399</v>
      </c>
      <c r="AE49">
        <v>6246.6935860007698</v>
      </c>
    </row>
    <row r="50" spans="1:31" x14ac:dyDescent="0.3">
      <c r="A50" t="s">
        <v>311</v>
      </c>
      <c r="B50" t="s">
        <v>218</v>
      </c>
      <c r="C50" t="s">
        <v>0</v>
      </c>
      <c r="D50" t="s">
        <v>219</v>
      </c>
      <c r="E50" t="s">
        <v>123</v>
      </c>
      <c r="F50">
        <v>17.413095134234201</v>
      </c>
      <c r="G50">
        <v>19.5897320260135</v>
      </c>
      <c r="H50">
        <v>21.5487052286148</v>
      </c>
      <c r="I50">
        <v>25.466651633817499</v>
      </c>
      <c r="J50">
        <v>30.923791269635501</v>
      </c>
      <c r="K50">
        <v>34.561884360180898</v>
      </c>
      <c r="L50">
        <v>34.561884360180898</v>
      </c>
      <c r="M50">
        <v>34.561884360180898</v>
      </c>
      <c r="N50">
        <v>36.001962875188397</v>
      </c>
      <c r="O50">
        <v>36.001962875188397</v>
      </c>
      <c r="P50">
        <v>34.668556842774102</v>
      </c>
      <c r="Q50">
        <v>35.9525774665805</v>
      </c>
      <c r="R50">
        <v>38.432065567724003</v>
      </c>
      <c r="S50">
        <v>39.671809618295697</v>
      </c>
      <c r="T50">
        <v>40.838627548245597</v>
      </c>
      <c r="U50">
        <v>45.253614310218097</v>
      </c>
      <c r="V50">
        <v>47.408548324990399</v>
      </c>
      <c r="W50">
        <v>52.795883361921099</v>
      </c>
      <c r="X50">
        <v>55.963636363636397</v>
      </c>
      <c r="Y50">
        <v>58.075471698113198</v>
      </c>
      <c r="Z50">
        <v>54</v>
      </c>
      <c r="AA50">
        <v>54</v>
      </c>
      <c r="AB50">
        <v>54</v>
      </c>
      <c r="AC50">
        <v>62.678571428571402</v>
      </c>
      <c r="AD50">
        <v>69.428571428571402</v>
      </c>
      <c r="AE50">
        <v>76.934362934362895</v>
      </c>
    </row>
    <row r="51" spans="1:31" x14ac:dyDescent="0.3">
      <c r="A51" t="s">
        <v>311</v>
      </c>
      <c r="B51" t="s">
        <v>220</v>
      </c>
      <c r="C51" t="s">
        <v>0</v>
      </c>
      <c r="D51" t="s">
        <v>221</v>
      </c>
      <c r="E51" t="s">
        <v>123</v>
      </c>
      <c r="F51">
        <v>18.2061233318137</v>
      </c>
      <c r="G51">
        <v>18.2061233318137</v>
      </c>
      <c r="H51">
        <v>18.2061233318137</v>
      </c>
      <c r="I51">
        <v>22.251928516661099</v>
      </c>
      <c r="J51">
        <v>25.960583269438001</v>
      </c>
      <c r="K51">
        <v>29.669238022214799</v>
      </c>
      <c r="L51">
        <v>29.669238022214799</v>
      </c>
      <c r="M51">
        <v>28.1076991789404</v>
      </c>
      <c r="N51">
        <v>28.1076991789404</v>
      </c>
      <c r="O51">
        <v>28.1076991789404</v>
      </c>
      <c r="P51">
        <v>26.702314219993401</v>
      </c>
      <c r="Q51">
        <v>26.702314219993401</v>
      </c>
      <c r="R51">
        <v>29.245391764754601</v>
      </c>
      <c r="S51">
        <v>30.516930537135298</v>
      </c>
      <c r="T51">
        <v>31.737607758620701</v>
      </c>
      <c r="U51">
        <v>32.87109375</v>
      </c>
      <c r="V51">
        <v>32.87109375</v>
      </c>
      <c r="W51">
        <v>35.0625</v>
      </c>
      <c r="X51">
        <v>35.0625</v>
      </c>
      <c r="Y51">
        <v>34</v>
      </c>
      <c r="Z51">
        <v>28</v>
      </c>
      <c r="AA51">
        <v>26</v>
      </c>
      <c r="AB51">
        <v>25.037037037036999</v>
      </c>
      <c r="AC51">
        <v>32.740740740740698</v>
      </c>
      <c r="AD51">
        <v>35.629629629629598</v>
      </c>
      <c r="AE51">
        <v>39.380116959064303</v>
      </c>
    </row>
    <row r="52" spans="1:31" x14ac:dyDescent="0.3">
      <c r="A52" t="s">
        <v>311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1.82</v>
      </c>
      <c r="H52">
        <v>3.64</v>
      </c>
      <c r="I52">
        <v>3.64</v>
      </c>
      <c r="J52">
        <v>5.46</v>
      </c>
      <c r="K52">
        <v>5.46</v>
      </c>
      <c r="L52">
        <v>5.46</v>
      </c>
      <c r="M52">
        <v>6.8250000000000002</v>
      </c>
      <c r="N52">
        <v>8.19</v>
      </c>
      <c r="O52">
        <v>8.19</v>
      </c>
      <c r="P52">
        <v>8.19</v>
      </c>
      <c r="Q52">
        <v>9.36</v>
      </c>
      <c r="R52">
        <v>9.36</v>
      </c>
      <c r="S52">
        <v>9.36</v>
      </c>
      <c r="T52">
        <v>9.36</v>
      </c>
      <c r="U52">
        <v>12.48</v>
      </c>
      <c r="V52">
        <v>14.56</v>
      </c>
      <c r="W52">
        <v>17.68</v>
      </c>
      <c r="X52">
        <v>20.8</v>
      </c>
      <c r="Y52">
        <v>23.92</v>
      </c>
      <c r="Z52">
        <v>26</v>
      </c>
      <c r="AA52">
        <v>28</v>
      </c>
      <c r="AB52">
        <v>28.965517241379299</v>
      </c>
      <c r="AC52">
        <v>29.931034482758601</v>
      </c>
      <c r="AD52">
        <v>33.7931034482759</v>
      </c>
      <c r="AE52">
        <v>37.5478927203065</v>
      </c>
    </row>
    <row r="53" spans="1:31" x14ac:dyDescent="0.3">
      <c r="A53" t="s">
        <v>311</v>
      </c>
      <c r="B53" t="s">
        <v>224</v>
      </c>
      <c r="C53" t="s">
        <v>0</v>
      </c>
      <c r="D53" t="s">
        <v>225</v>
      </c>
      <c r="E53" t="s">
        <v>123</v>
      </c>
      <c r="F53">
        <v>18.483979443492199</v>
      </c>
      <c r="G53">
        <v>18.483979443492199</v>
      </c>
      <c r="H53">
        <v>18.483979443492199</v>
      </c>
      <c r="I53">
        <v>20.794476873928701</v>
      </c>
      <c r="J53">
        <v>22.873924561321601</v>
      </c>
      <c r="K53">
        <v>24.953372248714501</v>
      </c>
      <c r="L53">
        <v>24.953372248714501</v>
      </c>
      <c r="M53">
        <v>23.1709885166634</v>
      </c>
      <c r="N53">
        <v>23.1709885166634</v>
      </c>
      <c r="O53">
        <v>21.388604784612401</v>
      </c>
      <c r="P53">
        <v>19.8608472999972</v>
      </c>
      <c r="Q53">
        <v>19.8608472999972</v>
      </c>
      <c r="R53">
        <v>22.698111199996799</v>
      </c>
      <c r="S53">
        <v>22.698111199996799</v>
      </c>
      <c r="T53">
        <v>26.282023494733199</v>
      </c>
      <c r="U53">
        <v>32.852529368416498</v>
      </c>
      <c r="V53">
        <v>37.232866617538697</v>
      </c>
      <c r="W53">
        <v>44.679439941046397</v>
      </c>
      <c r="X53">
        <v>47.796610169491501</v>
      </c>
      <c r="Y53">
        <v>55.932203389830498</v>
      </c>
      <c r="Z53">
        <v>60</v>
      </c>
      <c r="AA53">
        <v>56</v>
      </c>
      <c r="AB53">
        <v>65.824561403508795</v>
      </c>
      <c r="AC53">
        <v>73.684210526315795</v>
      </c>
      <c r="AD53">
        <v>79.578947368421098</v>
      </c>
      <c r="AE53">
        <v>82.387616099071195</v>
      </c>
    </row>
    <row r="54" spans="1:31" x14ac:dyDescent="0.3">
      <c r="A54" t="s">
        <v>311</v>
      </c>
      <c r="B54" t="s">
        <v>226</v>
      </c>
      <c r="C54" t="s">
        <v>0</v>
      </c>
      <c r="D54" t="s">
        <v>227</v>
      </c>
      <c r="E54" t="s">
        <v>123</v>
      </c>
      <c r="F54">
        <v>65.714425945940604</v>
      </c>
      <c r="G54">
        <v>68.148293573568097</v>
      </c>
      <c r="H54">
        <v>63.605074001996897</v>
      </c>
      <c r="I54">
        <v>63.605074001996897</v>
      </c>
      <c r="J54">
        <v>63.605074001996897</v>
      </c>
      <c r="K54">
        <v>69.387353456723801</v>
      </c>
      <c r="L54">
        <v>74.724842184164103</v>
      </c>
      <c r="M54">
        <v>74.724842184164103</v>
      </c>
      <c r="N54">
        <v>79.706498329775101</v>
      </c>
      <c r="O54">
        <v>83.027602426849</v>
      </c>
      <c r="P54">
        <v>81.490054233759295</v>
      </c>
      <c r="Q54">
        <v>80.008416884054498</v>
      </c>
      <c r="R54">
        <v>75.644321417651597</v>
      </c>
      <c r="S54">
        <v>68.890364148218396</v>
      </c>
      <c r="T54">
        <v>66.429994000067694</v>
      </c>
      <c r="U54">
        <v>70.933722406851999</v>
      </c>
      <c r="V54">
        <v>73.150401232066102</v>
      </c>
      <c r="W54">
        <v>79.7011834319527</v>
      </c>
      <c r="X54">
        <v>80.736263736263695</v>
      </c>
      <c r="Y54">
        <v>88.912087912087898</v>
      </c>
      <c r="Z54">
        <v>93</v>
      </c>
      <c r="AA54">
        <v>90</v>
      </c>
      <c r="AB54">
        <v>99.7826086956522</v>
      </c>
      <c r="AC54">
        <v>108.586956521739</v>
      </c>
      <c r="AD54">
        <v>114.45652173913</v>
      </c>
      <c r="AE54">
        <v>118.17868504771999</v>
      </c>
    </row>
    <row r="55" spans="1:31" x14ac:dyDescent="0.3">
      <c r="A55" t="s">
        <v>311</v>
      </c>
      <c r="B55" t="s">
        <v>228</v>
      </c>
      <c r="C55" t="s">
        <v>0</v>
      </c>
      <c r="D55" t="s">
        <v>229</v>
      </c>
      <c r="E55" t="s">
        <v>123</v>
      </c>
      <c r="F55">
        <v>48.326468597185801</v>
      </c>
      <c r="G55">
        <v>50.627729006575599</v>
      </c>
      <c r="H55">
        <v>46.2253177886125</v>
      </c>
      <c r="I55">
        <v>44.215521363020599</v>
      </c>
      <c r="J55">
        <v>42.293107390715399</v>
      </c>
      <c r="K55">
        <v>46.137935335325899</v>
      </c>
      <c r="L55">
        <v>51.461543258632702</v>
      </c>
      <c r="M55">
        <v>53.176928033920497</v>
      </c>
      <c r="N55">
        <v>58.162265037100497</v>
      </c>
      <c r="O55">
        <v>63.147602040280603</v>
      </c>
      <c r="P55">
        <v>63.147602040280603</v>
      </c>
      <c r="Q55">
        <v>61.607416624663998</v>
      </c>
      <c r="R55">
        <v>54.094317036290299</v>
      </c>
      <c r="S55">
        <v>47.1591481854839</v>
      </c>
      <c r="T55">
        <v>40.786290322580598</v>
      </c>
      <c r="U55">
        <v>38.455645161290299</v>
      </c>
      <c r="V55">
        <v>36.193548387096797</v>
      </c>
      <c r="W55">
        <v>35.0625</v>
      </c>
      <c r="X55">
        <v>33</v>
      </c>
      <c r="Y55">
        <v>33</v>
      </c>
      <c r="Z55">
        <v>33</v>
      </c>
      <c r="AA55">
        <v>34</v>
      </c>
      <c r="AB55">
        <v>34</v>
      </c>
      <c r="AC55">
        <v>34.971428571428604</v>
      </c>
      <c r="AD55">
        <v>34.971428571428604</v>
      </c>
      <c r="AE55">
        <v>35.891729323308297</v>
      </c>
    </row>
    <row r="56" spans="1:31" x14ac:dyDescent="0.3">
      <c r="A56" t="s">
        <v>311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311</v>
      </c>
      <c r="B57" t="s">
        <v>232</v>
      </c>
      <c r="C57" t="s">
        <v>0</v>
      </c>
      <c r="D57" t="s">
        <v>233</v>
      </c>
      <c r="E57" t="s">
        <v>123</v>
      </c>
      <c r="F57">
        <v>17004.5370471393</v>
      </c>
      <c r="G57">
        <v>18214.788188652201</v>
      </c>
      <c r="H57">
        <v>19804.641785253902</v>
      </c>
      <c r="I57">
        <v>21355.699764577501</v>
      </c>
      <c r="J57">
        <v>23623.708189187601</v>
      </c>
      <c r="K57">
        <v>25844.246419743002</v>
      </c>
      <c r="L57">
        <v>27650.472845666602</v>
      </c>
      <c r="M57">
        <v>29062.880573475199</v>
      </c>
      <c r="N57">
        <v>30249.563223756799</v>
      </c>
      <c r="O57">
        <v>31385.052810371399</v>
      </c>
      <c r="P57">
        <v>32215.314600082598</v>
      </c>
      <c r="Q57">
        <v>32930.566109355299</v>
      </c>
      <c r="R57">
        <v>33941.586380801797</v>
      </c>
      <c r="S57">
        <v>35025.505171789999</v>
      </c>
      <c r="T57">
        <v>35302.6210052733</v>
      </c>
      <c r="U57">
        <v>35549.581251591801</v>
      </c>
      <c r="V57">
        <v>35256.992105488098</v>
      </c>
      <c r="W57">
        <v>34436.302674531798</v>
      </c>
      <c r="X57">
        <v>33463.091367871202</v>
      </c>
      <c r="Y57">
        <v>32352.206672996999</v>
      </c>
      <c r="Z57">
        <v>30972</v>
      </c>
      <c r="AA57">
        <v>29689</v>
      </c>
      <c r="AB57">
        <v>28591.763780825499</v>
      </c>
      <c r="AC57">
        <v>28028.081419637299</v>
      </c>
      <c r="AD57">
        <v>27548.268752328298</v>
      </c>
      <c r="AE57">
        <v>27108.021002801099</v>
      </c>
    </row>
    <row r="58" spans="1:31" x14ac:dyDescent="0.3">
      <c r="A58" t="s">
        <v>311</v>
      </c>
      <c r="B58" t="s">
        <v>234</v>
      </c>
      <c r="C58" t="s">
        <v>0</v>
      </c>
      <c r="D58" t="s">
        <v>235</v>
      </c>
      <c r="E58" t="s">
        <v>123</v>
      </c>
      <c r="F58">
        <v>17004.5370471393</v>
      </c>
      <c r="G58">
        <v>18214.788188652201</v>
      </c>
      <c r="H58">
        <v>19804.641785253902</v>
      </c>
      <c r="I58">
        <v>21355.699764577501</v>
      </c>
      <c r="J58">
        <v>23623.708189187601</v>
      </c>
      <c r="K58">
        <v>25844.246419743002</v>
      </c>
      <c r="L58">
        <v>27650.472845666602</v>
      </c>
      <c r="M58">
        <v>29062.880573475199</v>
      </c>
      <c r="N58">
        <v>30249.563223756799</v>
      </c>
      <c r="O58">
        <v>31385.052810371399</v>
      </c>
      <c r="P58">
        <v>32215.314600082598</v>
      </c>
      <c r="Q58">
        <v>32930.566109355299</v>
      </c>
      <c r="R58">
        <v>33941.586380801797</v>
      </c>
      <c r="S58">
        <v>35025.505171789999</v>
      </c>
      <c r="T58">
        <v>35302.6210052733</v>
      </c>
      <c r="U58">
        <v>35549.581251591801</v>
      </c>
      <c r="V58">
        <v>35256.992105488098</v>
      </c>
      <c r="W58">
        <v>34436.302674531798</v>
      </c>
      <c r="X58">
        <v>33463.091367871202</v>
      </c>
      <c r="Y58">
        <v>32352.206672996999</v>
      </c>
      <c r="Z58">
        <v>30972</v>
      </c>
      <c r="AA58">
        <v>29689</v>
      </c>
      <c r="AB58">
        <v>28591.763780825499</v>
      </c>
      <c r="AC58">
        <v>28028.081419637299</v>
      </c>
      <c r="AD58">
        <v>27548.268752328298</v>
      </c>
      <c r="AE58">
        <v>27108.021002801099</v>
      </c>
    </row>
    <row r="59" spans="1:31" x14ac:dyDescent="0.3">
      <c r="A59" t="s">
        <v>311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312</v>
      </c>
      <c r="B2" t="s">
        <v>121</v>
      </c>
      <c r="C2" t="s">
        <v>0</v>
      </c>
      <c r="D2" t="s">
        <v>122</v>
      </c>
      <c r="E2" t="s">
        <v>123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312</v>
      </c>
      <c r="B3" t="s">
        <v>124</v>
      </c>
      <c r="C3" t="s">
        <v>0</v>
      </c>
      <c r="D3" t="s">
        <v>125</v>
      </c>
      <c r="E3" t="s">
        <v>123</v>
      </c>
      <c r="F3">
        <v>207.03100000000001</v>
      </c>
      <c r="G3">
        <v>198.25899999999999</v>
      </c>
      <c r="H3">
        <v>188.09200000000001</v>
      </c>
      <c r="I3">
        <v>184.792</v>
      </c>
      <c r="J3">
        <v>186.38499999999999</v>
      </c>
      <c r="K3">
        <v>194.08699999999999</v>
      </c>
      <c r="L3">
        <v>215.15100000000001</v>
      </c>
      <c r="M3">
        <v>224.93</v>
      </c>
      <c r="N3">
        <v>230.38300000000001</v>
      </c>
      <c r="O3">
        <v>222.393</v>
      </c>
      <c r="P3">
        <v>223.70099999999999</v>
      </c>
      <c r="Q3">
        <v>223.70099999999999</v>
      </c>
      <c r="R3">
        <v>240.90899999999999</v>
      </c>
      <c r="S3">
        <v>256.26100000000002</v>
      </c>
      <c r="T3">
        <v>257.35599999999999</v>
      </c>
      <c r="U3">
        <v>267.99099999999999</v>
      </c>
      <c r="V3">
        <v>297.53300000000002</v>
      </c>
      <c r="W3">
        <v>325.91899999999998</v>
      </c>
      <c r="X3">
        <v>312.55399999999997</v>
      </c>
      <c r="Y3">
        <v>287.18400000000003</v>
      </c>
      <c r="Z3">
        <v>263</v>
      </c>
      <c r="AA3">
        <v>249</v>
      </c>
      <c r="AB3">
        <v>258.11</v>
      </c>
      <c r="AC3">
        <v>272.11599999999999</v>
      </c>
      <c r="AD3">
        <v>276.00299999999999</v>
      </c>
      <c r="AE3">
        <v>284.65800000000002</v>
      </c>
    </row>
    <row r="4" spans="1:31" x14ac:dyDescent="0.3">
      <c r="A4" t="s">
        <v>312</v>
      </c>
      <c r="B4" t="s">
        <v>126</v>
      </c>
      <c r="C4" t="s">
        <v>0</v>
      </c>
      <c r="D4" t="s">
        <v>127</v>
      </c>
      <c r="E4" t="s">
        <v>123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312</v>
      </c>
      <c r="B5" t="s">
        <v>128</v>
      </c>
      <c r="C5" t="s">
        <v>0</v>
      </c>
      <c r="D5" t="s">
        <v>129</v>
      </c>
      <c r="E5" t="s">
        <v>123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312</v>
      </c>
      <c r="B6" t="s">
        <v>130</v>
      </c>
      <c r="C6" t="s">
        <v>0</v>
      </c>
      <c r="D6" t="s">
        <v>131</v>
      </c>
      <c r="E6" t="s">
        <v>123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312</v>
      </c>
      <c r="B7" t="s">
        <v>132</v>
      </c>
      <c r="C7" t="s">
        <v>0</v>
      </c>
      <c r="D7" t="s">
        <v>133</v>
      </c>
      <c r="E7" t="s">
        <v>123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312</v>
      </c>
      <c r="B8" t="s">
        <v>134</v>
      </c>
      <c r="C8" t="s">
        <v>0</v>
      </c>
      <c r="D8" t="s">
        <v>135</v>
      </c>
      <c r="E8" t="s">
        <v>123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312</v>
      </c>
      <c r="B9" t="s">
        <v>136</v>
      </c>
      <c r="C9" t="s">
        <v>0</v>
      </c>
      <c r="D9" t="s">
        <v>137</v>
      </c>
      <c r="E9" t="s">
        <v>123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312</v>
      </c>
      <c r="B10" t="s">
        <v>138</v>
      </c>
      <c r="C10" t="s">
        <v>0</v>
      </c>
      <c r="D10" t="s">
        <v>139</v>
      </c>
      <c r="E10" t="s">
        <v>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312</v>
      </c>
      <c r="B11" t="s">
        <v>140</v>
      </c>
      <c r="C11" t="s">
        <v>0</v>
      </c>
      <c r="D11" t="s">
        <v>141</v>
      </c>
      <c r="E11" t="s">
        <v>123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312</v>
      </c>
      <c r="B12" t="s">
        <v>142</v>
      </c>
      <c r="C12" t="s">
        <v>0</v>
      </c>
      <c r="D12" t="s">
        <v>143</v>
      </c>
      <c r="E12" t="s">
        <v>123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312</v>
      </c>
      <c r="B13" t="s">
        <v>144</v>
      </c>
      <c r="C13" t="s">
        <v>0</v>
      </c>
      <c r="D13" t="s">
        <v>145</v>
      </c>
      <c r="E13" t="s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312</v>
      </c>
      <c r="B14" t="s">
        <v>146</v>
      </c>
      <c r="C14" t="s">
        <v>0</v>
      </c>
      <c r="D14" t="s">
        <v>147</v>
      </c>
      <c r="E14" t="s">
        <v>123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312</v>
      </c>
      <c r="B15" t="s">
        <v>148</v>
      </c>
      <c r="C15" t="s">
        <v>0</v>
      </c>
      <c r="D15" t="s">
        <v>149</v>
      </c>
      <c r="E15" t="s">
        <v>123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312</v>
      </c>
      <c r="B16" t="s">
        <v>150</v>
      </c>
      <c r="C16" t="s">
        <v>0</v>
      </c>
      <c r="D16" t="s">
        <v>151</v>
      </c>
      <c r="E16" t="s">
        <v>123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312</v>
      </c>
      <c r="B17" t="s">
        <v>152</v>
      </c>
      <c r="C17" t="s">
        <v>0</v>
      </c>
      <c r="D17" t="s">
        <v>153</v>
      </c>
      <c r="E17" t="s">
        <v>123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312</v>
      </c>
      <c r="B18" t="s">
        <v>154</v>
      </c>
      <c r="C18" t="s">
        <v>0</v>
      </c>
      <c r="D18" t="s">
        <v>155</v>
      </c>
      <c r="E18" t="s">
        <v>123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312</v>
      </c>
      <c r="B19" t="s">
        <v>156</v>
      </c>
      <c r="C19" t="s">
        <v>0</v>
      </c>
      <c r="D19" t="s">
        <v>157</v>
      </c>
      <c r="E19" t="s">
        <v>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312</v>
      </c>
      <c r="B20" t="s">
        <v>158</v>
      </c>
      <c r="C20" t="s">
        <v>0</v>
      </c>
      <c r="D20" t="s">
        <v>159</v>
      </c>
      <c r="E20" t="s">
        <v>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312</v>
      </c>
      <c r="B21" t="s">
        <v>160</v>
      </c>
      <c r="C21" t="s">
        <v>0</v>
      </c>
      <c r="D21" t="s">
        <v>161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312</v>
      </c>
      <c r="B22" t="s">
        <v>162</v>
      </c>
      <c r="C22" t="s">
        <v>0</v>
      </c>
      <c r="D22" t="s">
        <v>163</v>
      </c>
      <c r="E22" t="s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312</v>
      </c>
      <c r="B23" t="s">
        <v>164</v>
      </c>
      <c r="C23" t="s">
        <v>0</v>
      </c>
      <c r="D23" t="s">
        <v>165</v>
      </c>
      <c r="E23" t="s">
        <v>123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312</v>
      </c>
      <c r="B24" t="s">
        <v>166</v>
      </c>
      <c r="C24" t="s">
        <v>0</v>
      </c>
      <c r="D24" t="s">
        <v>167</v>
      </c>
      <c r="E24" t="s">
        <v>123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312</v>
      </c>
      <c r="B25" t="s">
        <v>168</v>
      </c>
      <c r="C25" t="s">
        <v>0</v>
      </c>
      <c r="D25" t="s">
        <v>169</v>
      </c>
      <c r="E25" t="s">
        <v>123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312</v>
      </c>
      <c r="B26" t="s">
        <v>170</v>
      </c>
      <c r="C26" t="s">
        <v>0</v>
      </c>
      <c r="D26" t="s">
        <v>171</v>
      </c>
      <c r="E26" t="s">
        <v>123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312</v>
      </c>
      <c r="B27" t="s">
        <v>172</v>
      </c>
      <c r="C27" t="s">
        <v>0</v>
      </c>
      <c r="D27" t="s">
        <v>173</v>
      </c>
      <c r="E27" t="s">
        <v>123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312</v>
      </c>
      <c r="B28" t="s">
        <v>174</v>
      </c>
      <c r="C28" t="s">
        <v>0</v>
      </c>
      <c r="D28" t="s">
        <v>175</v>
      </c>
      <c r="E28" t="s">
        <v>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312</v>
      </c>
      <c r="B29" t="s">
        <v>176</v>
      </c>
      <c r="C29" t="s">
        <v>0</v>
      </c>
      <c r="D29" t="s">
        <v>177</v>
      </c>
      <c r="E29" t="s">
        <v>123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312</v>
      </c>
      <c r="B30" t="s">
        <v>178</v>
      </c>
      <c r="C30" t="s">
        <v>0</v>
      </c>
      <c r="D30" t="s">
        <v>179</v>
      </c>
      <c r="E30" t="s">
        <v>123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312</v>
      </c>
      <c r="B31" t="s">
        <v>180</v>
      </c>
      <c r="C31" t="s">
        <v>0</v>
      </c>
      <c r="D31" t="s">
        <v>181</v>
      </c>
      <c r="E31" t="s">
        <v>123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312</v>
      </c>
      <c r="B32" t="s">
        <v>182</v>
      </c>
      <c r="C32" t="s">
        <v>0</v>
      </c>
      <c r="D32" t="s">
        <v>183</v>
      </c>
      <c r="E32" t="s">
        <v>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312</v>
      </c>
      <c r="B33" t="s">
        <v>184</v>
      </c>
      <c r="C33" t="s">
        <v>0</v>
      </c>
      <c r="D33" t="s">
        <v>185</v>
      </c>
      <c r="E33" t="s">
        <v>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312</v>
      </c>
      <c r="B34" t="s">
        <v>186</v>
      </c>
      <c r="C34" t="s">
        <v>0</v>
      </c>
      <c r="D34" t="s">
        <v>187</v>
      </c>
      <c r="E34" t="s">
        <v>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312</v>
      </c>
      <c r="B35" t="s">
        <v>188</v>
      </c>
      <c r="C35" t="s">
        <v>0</v>
      </c>
      <c r="D35" t="s">
        <v>189</v>
      </c>
      <c r="E35" t="s">
        <v>123</v>
      </c>
      <c r="F35">
        <v>1269.5650000000001</v>
      </c>
      <c r="G35">
        <v>1289.172</v>
      </c>
      <c r="H35">
        <v>1315.482</v>
      </c>
      <c r="I35">
        <v>1333.4580000000001</v>
      </c>
      <c r="J35">
        <v>1336.644</v>
      </c>
      <c r="K35">
        <v>1338.2280000000001</v>
      </c>
      <c r="L35">
        <v>1368.6759999999999</v>
      </c>
      <c r="M35">
        <v>1346.951</v>
      </c>
      <c r="N35">
        <v>1317.2080000000001</v>
      </c>
      <c r="O35">
        <v>1290.441</v>
      </c>
      <c r="P35">
        <v>1283.6420000000001</v>
      </c>
      <c r="Q35">
        <v>1296.876</v>
      </c>
      <c r="R35">
        <v>1311.127</v>
      </c>
      <c r="S35">
        <v>1297.165</v>
      </c>
      <c r="T35">
        <v>1282.3119999999999</v>
      </c>
      <c r="U35">
        <v>1314.3109999999999</v>
      </c>
      <c r="V35">
        <v>1337.268</v>
      </c>
      <c r="W35">
        <v>1375.538</v>
      </c>
      <c r="X35">
        <v>1391.4960000000001</v>
      </c>
      <c r="Y35">
        <v>1385.2560000000001</v>
      </c>
      <c r="Z35">
        <v>1370</v>
      </c>
      <c r="AA35">
        <v>1418</v>
      </c>
      <c r="AB35">
        <v>1458.04</v>
      </c>
      <c r="AC35">
        <v>1490.675</v>
      </c>
      <c r="AD35">
        <v>1513.2760000000001</v>
      </c>
      <c r="AE35">
        <v>1544.61</v>
      </c>
    </row>
    <row r="36" spans="1:31" x14ac:dyDescent="0.3">
      <c r="A36" t="s">
        <v>312</v>
      </c>
      <c r="B36" t="s">
        <v>190</v>
      </c>
      <c r="C36" t="s">
        <v>0</v>
      </c>
      <c r="D36" t="s">
        <v>191</v>
      </c>
      <c r="E36" t="s">
        <v>123</v>
      </c>
      <c r="F36">
        <v>1269.5650000000001</v>
      </c>
      <c r="G36">
        <v>1289.172</v>
      </c>
      <c r="H36">
        <v>1315.482</v>
      </c>
      <c r="I36">
        <v>1333.4580000000001</v>
      </c>
      <c r="J36">
        <v>1336.644</v>
      </c>
      <c r="K36">
        <v>1338.2280000000001</v>
      </c>
      <c r="L36">
        <v>1368.6759999999999</v>
      </c>
      <c r="M36">
        <v>1346.951</v>
      </c>
      <c r="N36">
        <v>1317.2080000000001</v>
      </c>
      <c r="O36">
        <v>1290.441</v>
      </c>
      <c r="P36">
        <v>1283.6420000000001</v>
      </c>
      <c r="Q36">
        <v>1296.876</v>
      </c>
      <c r="R36">
        <v>1311.127</v>
      </c>
      <c r="S36">
        <v>1297.165</v>
      </c>
      <c r="T36">
        <v>1282.3119999999999</v>
      </c>
      <c r="U36">
        <v>1314.3109999999999</v>
      </c>
      <c r="V36">
        <v>1337.268</v>
      </c>
      <c r="W36">
        <v>1375.538</v>
      </c>
      <c r="X36">
        <v>1391.4960000000001</v>
      </c>
      <c r="Y36">
        <v>1385.2560000000001</v>
      </c>
      <c r="Z36">
        <v>1370</v>
      </c>
      <c r="AA36">
        <v>1418</v>
      </c>
      <c r="AB36">
        <v>1458.04</v>
      </c>
      <c r="AC36">
        <v>1490.675</v>
      </c>
      <c r="AD36">
        <v>1513.2760000000001</v>
      </c>
      <c r="AE36">
        <v>1544.61</v>
      </c>
    </row>
    <row r="37" spans="1:31" x14ac:dyDescent="0.3">
      <c r="A37" t="s">
        <v>312</v>
      </c>
      <c r="B37" t="s">
        <v>192</v>
      </c>
      <c r="C37" t="s">
        <v>0</v>
      </c>
      <c r="D37" t="s">
        <v>193</v>
      </c>
      <c r="E37" t="s">
        <v>123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312</v>
      </c>
      <c r="B38" t="s">
        <v>194</v>
      </c>
      <c r="C38" t="s">
        <v>0</v>
      </c>
      <c r="D38" t="s">
        <v>195</v>
      </c>
      <c r="E38" t="s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312</v>
      </c>
      <c r="B39" t="s">
        <v>196</v>
      </c>
      <c r="C39" t="s">
        <v>0</v>
      </c>
      <c r="D39" t="s">
        <v>197</v>
      </c>
      <c r="E39" t="s">
        <v>123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312</v>
      </c>
      <c r="B40" t="s">
        <v>198</v>
      </c>
      <c r="C40" t="s">
        <v>0</v>
      </c>
      <c r="D40" t="s">
        <v>199</v>
      </c>
      <c r="E40" t="s">
        <v>123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312</v>
      </c>
      <c r="B41" t="s">
        <v>200</v>
      </c>
      <c r="C41" t="s">
        <v>0</v>
      </c>
      <c r="D41" t="s">
        <v>201</v>
      </c>
      <c r="E41" t="s">
        <v>123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312</v>
      </c>
      <c r="B42" t="s">
        <v>202</v>
      </c>
      <c r="C42" t="s">
        <v>0</v>
      </c>
      <c r="D42" t="s">
        <v>203</v>
      </c>
      <c r="E42" t="s">
        <v>123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312</v>
      </c>
      <c r="B43" t="s">
        <v>204</v>
      </c>
      <c r="C43" t="s">
        <v>0</v>
      </c>
      <c r="D43" t="s">
        <v>205</v>
      </c>
      <c r="E43" t="s">
        <v>123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312</v>
      </c>
      <c r="B44" t="s">
        <v>206</v>
      </c>
      <c r="C44" t="s">
        <v>0</v>
      </c>
      <c r="D44" t="s">
        <v>207</v>
      </c>
      <c r="E44" t="s">
        <v>123</v>
      </c>
      <c r="F44">
        <v>1638.095</v>
      </c>
      <c r="G44">
        <v>1647.943</v>
      </c>
      <c r="H44">
        <v>1664.373</v>
      </c>
      <c r="I44">
        <v>1680.6590000000001</v>
      </c>
      <c r="J44">
        <v>1685.42</v>
      </c>
      <c r="K44">
        <v>1697.9970000000001</v>
      </c>
      <c r="L44">
        <v>1751.0119999999999</v>
      </c>
      <c r="M44">
        <v>1739.521</v>
      </c>
      <c r="N44">
        <v>1715.615</v>
      </c>
      <c r="O44">
        <v>1682.1120000000001</v>
      </c>
      <c r="P44">
        <v>1679.41</v>
      </c>
      <c r="Q44">
        <v>1697.7929999999999</v>
      </c>
      <c r="R44">
        <v>1735.037</v>
      </c>
      <c r="S44">
        <v>1740.0550000000001</v>
      </c>
      <c r="T44">
        <v>1741.268</v>
      </c>
      <c r="U44">
        <v>1804.163</v>
      </c>
      <c r="V44">
        <v>1882.261</v>
      </c>
      <c r="W44">
        <v>1967.028</v>
      </c>
      <c r="X44">
        <v>1979.7249999999999</v>
      </c>
      <c r="Y44">
        <v>1952.79</v>
      </c>
      <c r="Z44">
        <v>1901</v>
      </c>
      <c r="AA44">
        <v>1942</v>
      </c>
      <c r="AB44">
        <v>1998.7719999999999</v>
      </c>
      <c r="AC44">
        <v>2065.0140000000001</v>
      </c>
      <c r="AD44">
        <v>2102.5940000000001</v>
      </c>
      <c r="AE44">
        <v>2154.1909999999998</v>
      </c>
    </row>
    <row r="45" spans="1:31" x14ac:dyDescent="0.3">
      <c r="A45" t="s">
        <v>312</v>
      </c>
      <c r="B45" t="s">
        <v>208</v>
      </c>
      <c r="C45" t="s">
        <v>0</v>
      </c>
      <c r="D45" t="s">
        <v>209</v>
      </c>
      <c r="E45" t="s">
        <v>123</v>
      </c>
      <c r="F45">
        <v>1638.095</v>
      </c>
      <c r="G45">
        <v>1647.943</v>
      </c>
      <c r="H45">
        <v>1664.373</v>
      </c>
      <c r="I45">
        <v>1680.6590000000001</v>
      </c>
      <c r="J45">
        <v>1685.42</v>
      </c>
      <c r="K45">
        <v>1697.9970000000001</v>
      </c>
      <c r="L45">
        <v>1751.0119999999999</v>
      </c>
      <c r="M45">
        <v>1739.521</v>
      </c>
      <c r="N45">
        <v>1715.615</v>
      </c>
      <c r="O45">
        <v>1682.1120000000001</v>
      </c>
      <c r="P45">
        <v>1679.41</v>
      </c>
      <c r="Q45">
        <v>1697.7929999999999</v>
      </c>
      <c r="R45">
        <v>1735.037</v>
      </c>
      <c r="S45">
        <v>1740.0550000000001</v>
      </c>
      <c r="T45">
        <v>1741.268</v>
      </c>
      <c r="U45">
        <v>1804.163</v>
      </c>
      <c r="V45">
        <v>1882.261</v>
      </c>
      <c r="W45">
        <v>1967.028</v>
      </c>
      <c r="X45">
        <v>1979.7249999999999</v>
      </c>
      <c r="Y45">
        <v>1952.79</v>
      </c>
      <c r="Z45">
        <v>1901</v>
      </c>
      <c r="AA45">
        <v>1942</v>
      </c>
      <c r="AB45">
        <v>1998.7719999999999</v>
      </c>
      <c r="AC45">
        <v>2065.0140000000001</v>
      </c>
      <c r="AD45">
        <v>2102.5940000000001</v>
      </c>
      <c r="AE45">
        <v>2154.1909999999998</v>
      </c>
    </row>
    <row r="46" spans="1:31" x14ac:dyDescent="0.3">
      <c r="A46" t="s">
        <v>312</v>
      </c>
      <c r="B46" t="s">
        <v>210</v>
      </c>
      <c r="C46" t="s">
        <v>0</v>
      </c>
      <c r="D46" t="s">
        <v>211</v>
      </c>
      <c r="E46" t="s">
        <v>123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312</v>
      </c>
      <c r="B47" t="s">
        <v>212</v>
      </c>
      <c r="C47" t="s">
        <v>0</v>
      </c>
      <c r="D47" t="s">
        <v>213</v>
      </c>
      <c r="E47" t="s">
        <v>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312</v>
      </c>
      <c r="B48" t="s">
        <v>214</v>
      </c>
      <c r="C48" t="s">
        <v>0</v>
      </c>
      <c r="D48" t="s">
        <v>215</v>
      </c>
      <c r="E48" t="s">
        <v>123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312</v>
      </c>
      <c r="B49" t="s">
        <v>216</v>
      </c>
      <c r="C49" t="s">
        <v>0</v>
      </c>
      <c r="D49" t="s">
        <v>217</v>
      </c>
      <c r="E49" t="s">
        <v>123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312</v>
      </c>
      <c r="B50" t="s">
        <v>218</v>
      </c>
      <c r="C50" t="s">
        <v>0</v>
      </c>
      <c r="D50" t="s">
        <v>219</v>
      </c>
      <c r="E50" t="s">
        <v>123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312</v>
      </c>
      <c r="B51" t="s">
        <v>220</v>
      </c>
      <c r="C51" t="s">
        <v>0</v>
      </c>
      <c r="D51" t="s">
        <v>221</v>
      </c>
      <c r="E51" t="s">
        <v>123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312</v>
      </c>
      <c r="B52" t="s">
        <v>222</v>
      </c>
      <c r="C52" t="s">
        <v>0</v>
      </c>
      <c r="D52" t="s">
        <v>223</v>
      </c>
      <c r="E52" t="s">
        <v>123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312</v>
      </c>
      <c r="B53" t="s">
        <v>224</v>
      </c>
      <c r="C53" t="s">
        <v>0</v>
      </c>
      <c r="D53" t="s">
        <v>225</v>
      </c>
      <c r="E53" t="s">
        <v>123</v>
      </c>
      <c r="F53">
        <v>166.149</v>
      </c>
      <c r="G53">
        <v>164.535</v>
      </c>
      <c r="H53">
        <v>164.535</v>
      </c>
      <c r="I53">
        <v>166.13300000000001</v>
      </c>
      <c r="J53">
        <v>166.13300000000001</v>
      </c>
      <c r="K53">
        <v>169.238</v>
      </c>
      <c r="L53">
        <v>170.73599999999999</v>
      </c>
      <c r="M53">
        <v>170.73599999999999</v>
      </c>
      <c r="N53">
        <v>170.73599999999999</v>
      </c>
      <c r="O53">
        <v>172.14699999999999</v>
      </c>
      <c r="P53">
        <v>174.87899999999999</v>
      </c>
      <c r="Q53">
        <v>180.179</v>
      </c>
      <c r="R53">
        <v>185.364</v>
      </c>
      <c r="S53">
        <v>187.90299999999999</v>
      </c>
      <c r="T53">
        <v>202.73699999999999</v>
      </c>
      <c r="U53">
        <v>222.893</v>
      </c>
      <c r="V53">
        <v>246.89599999999999</v>
      </c>
      <c r="W53">
        <v>264.37599999999998</v>
      </c>
      <c r="X53">
        <v>274.99299999999999</v>
      </c>
      <c r="Y53">
        <v>280.18200000000002</v>
      </c>
      <c r="Z53">
        <v>268</v>
      </c>
      <c r="AA53">
        <v>275</v>
      </c>
      <c r="AB53">
        <v>282.69200000000001</v>
      </c>
      <c r="AC53">
        <v>302.15600000000001</v>
      </c>
      <c r="AD53">
        <v>312.98</v>
      </c>
      <c r="AE53">
        <v>324.50599999999997</v>
      </c>
    </row>
    <row r="54" spans="1:31" x14ac:dyDescent="0.3">
      <c r="A54" t="s">
        <v>312</v>
      </c>
      <c r="B54" t="s">
        <v>226</v>
      </c>
      <c r="C54" t="s">
        <v>0</v>
      </c>
      <c r="D54" t="s">
        <v>227</v>
      </c>
      <c r="E54" t="s">
        <v>123</v>
      </c>
      <c r="F54">
        <v>166.149</v>
      </c>
      <c r="G54">
        <v>164.535</v>
      </c>
      <c r="H54">
        <v>164.535</v>
      </c>
      <c r="I54">
        <v>166.13300000000001</v>
      </c>
      <c r="J54">
        <v>166.13300000000001</v>
      </c>
      <c r="K54">
        <v>169.238</v>
      </c>
      <c r="L54">
        <v>170.73599999999999</v>
      </c>
      <c r="M54">
        <v>170.73599999999999</v>
      </c>
      <c r="N54">
        <v>170.73599999999999</v>
      </c>
      <c r="O54">
        <v>172.14699999999999</v>
      </c>
      <c r="P54">
        <v>174.87899999999999</v>
      </c>
      <c r="Q54">
        <v>180.179</v>
      </c>
      <c r="R54">
        <v>185.364</v>
      </c>
      <c r="S54">
        <v>187.90299999999999</v>
      </c>
      <c r="T54">
        <v>202.73699999999999</v>
      </c>
      <c r="U54">
        <v>222.893</v>
      </c>
      <c r="V54">
        <v>246.89599999999999</v>
      </c>
      <c r="W54">
        <v>264.37599999999998</v>
      </c>
      <c r="X54">
        <v>274.99299999999999</v>
      </c>
      <c r="Y54">
        <v>280.18200000000002</v>
      </c>
      <c r="Z54">
        <v>268</v>
      </c>
      <c r="AA54">
        <v>275</v>
      </c>
      <c r="AB54">
        <v>282.69200000000001</v>
      </c>
      <c r="AC54">
        <v>302.15600000000001</v>
      </c>
      <c r="AD54">
        <v>312.98</v>
      </c>
      <c r="AE54">
        <v>324.50599999999997</v>
      </c>
    </row>
    <row r="55" spans="1:31" x14ac:dyDescent="0.3">
      <c r="A55" t="s">
        <v>312</v>
      </c>
      <c r="B55" t="s">
        <v>228</v>
      </c>
      <c r="C55" t="s">
        <v>0</v>
      </c>
      <c r="D55" t="s">
        <v>229</v>
      </c>
      <c r="E55" t="s">
        <v>123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312</v>
      </c>
      <c r="B56" t="s">
        <v>230</v>
      </c>
      <c r="C56" t="s">
        <v>0</v>
      </c>
      <c r="D56" t="s">
        <v>231</v>
      </c>
      <c r="E56" t="s">
        <v>123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312</v>
      </c>
      <c r="B57" t="s">
        <v>232</v>
      </c>
      <c r="C57" t="s">
        <v>0</v>
      </c>
      <c r="D57" t="s">
        <v>233</v>
      </c>
      <c r="E57" t="s">
        <v>123</v>
      </c>
      <c r="F57">
        <v>1639.1220000000001</v>
      </c>
      <c r="G57">
        <v>1648.9770000000001</v>
      </c>
      <c r="H57">
        <v>1665.4169999999999</v>
      </c>
      <c r="I57">
        <v>1681.713</v>
      </c>
      <c r="J57">
        <v>1686.4770000000001</v>
      </c>
      <c r="K57">
        <v>1699.0630000000001</v>
      </c>
      <c r="L57">
        <v>1752.1110000000001</v>
      </c>
      <c r="M57">
        <v>1740.6120000000001</v>
      </c>
      <c r="N57">
        <v>1716.691</v>
      </c>
      <c r="O57">
        <v>1683.1669999999999</v>
      </c>
      <c r="P57">
        <v>1680.4639999999999</v>
      </c>
      <c r="Q57">
        <v>1698.8579999999999</v>
      </c>
      <c r="R57">
        <v>1736.125</v>
      </c>
      <c r="S57">
        <v>1741.146</v>
      </c>
      <c r="T57">
        <v>1742.3610000000001</v>
      </c>
      <c r="U57">
        <v>1805.2950000000001</v>
      </c>
      <c r="V57">
        <v>1882.261</v>
      </c>
      <c r="W57">
        <v>1967.028</v>
      </c>
      <c r="X57">
        <v>1979.7249999999999</v>
      </c>
      <c r="Y57">
        <v>1952.79</v>
      </c>
      <c r="Z57">
        <v>1901</v>
      </c>
      <c r="AA57">
        <v>1942</v>
      </c>
      <c r="AB57">
        <v>1998.7719999999999</v>
      </c>
      <c r="AC57">
        <v>2065.0140000000001</v>
      </c>
      <c r="AD57">
        <v>2102.5940000000001</v>
      </c>
      <c r="AE57">
        <v>2154.1909999999998</v>
      </c>
    </row>
    <row r="58" spans="1:31" x14ac:dyDescent="0.3">
      <c r="A58" t="s">
        <v>312</v>
      </c>
      <c r="B58" t="s">
        <v>234</v>
      </c>
      <c r="C58" t="s">
        <v>0</v>
      </c>
      <c r="D58" t="s">
        <v>235</v>
      </c>
      <c r="E58" t="s">
        <v>123</v>
      </c>
      <c r="F58">
        <v>1639.1220000000001</v>
      </c>
      <c r="G58">
        <v>1648.9770000000001</v>
      </c>
      <c r="H58">
        <v>1665.4169999999999</v>
      </c>
      <c r="I58">
        <v>1681.713</v>
      </c>
      <c r="J58">
        <v>1686.4770000000001</v>
      </c>
      <c r="K58">
        <v>1699.0630000000001</v>
      </c>
      <c r="L58">
        <v>1752.1110000000001</v>
      </c>
      <c r="M58">
        <v>1740.6120000000001</v>
      </c>
      <c r="N58">
        <v>1716.691</v>
      </c>
      <c r="O58">
        <v>1683.1669999999999</v>
      </c>
      <c r="P58">
        <v>1680.4639999999999</v>
      </c>
      <c r="Q58">
        <v>1698.8579999999999</v>
      </c>
      <c r="R58">
        <v>1736.125</v>
      </c>
      <c r="S58">
        <v>1741.146</v>
      </c>
      <c r="T58">
        <v>1742.3610000000001</v>
      </c>
      <c r="U58">
        <v>1805.2950000000001</v>
      </c>
      <c r="V58">
        <v>1882.261</v>
      </c>
      <c r="W58">
        <v>1967.028</v>
      </c>
      <c r="X58">
        <v>1979.7249999999999</v>
      </c>
      <c r="Y58">
        <v>1952.79</v>
      </c>
      <c r="Z58">
        <v>1901</v>
      </c>
      <c r="AA58">
        <v>1942</v>
      </c>
      <c r="AB58">
        <v>1998.7719999999999</v>
      </c>
      <c r="AC58">
        <v>2065.0140000000001</v>
      </c>
      <c r="AD58">
        <v>2102.5940000000001</v>
      </c>
      <c r="AE58">
        <v>2154.1909999999998</v>
      </c>
    </row>
    <row r="59" spans="1:31" x14ac:dyDescent="0.3">
      <c r="A59" t="s">
        <v>312</v>
      </c>
      <c r="B59" t="s">
        <v>236</v>
      </c>
      <c r="C59" t="s">
        <v>0</v>
      </c>
      <c r="D59" t="s">
        <v>237</v>
      </c>
      <c r="E59" t="s">
        <v>123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E59"/>
  <sheetViews>
    <sheetView workbookViewId="0"/>
  </sheetViews>
  <sheetFormatPr defaultColWidth="11.5546875" defaultRowHeight="14.4" x14ac:dyDescent="0.3"/>
  <sheetData>
    <row r="1" spans="1:31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 spans="1:31" x14ac:dyDescent="0.3">
      <c r="A2" t="s">
        <v>313</v>
      </c>
      <c r="B2" t="s">
        <v>121</v>
      </c>
      <c r="C2" t="s">
        <v>0</v>
      </c>
      <c r="D2" t="s">
        <v>122</v>
      </c>
      <c r="E2" t="s">
        <v>123</v>
      </c>
      <c r="F2">
        <v>18351.211939672099</v>
      </c>
      <c r="G2">
        <v>18063.495018543999</v>
      </c>
      <c r="H2">
        <v>18135.876389831701</v>
      </c>
      <c r="I2">
        <v>18324.982874637299</v>
      </c>
      <c r="J2">
        <v>18596.024913920199</v>
      </c>
      <c r="K2">
        <v>18764.111912238201</v>
      </c>
      <c r="L2">
        <v>18981.780477543402</v>
      </c>
      <c r="M2">
        <v>19244.073207988899</v>
      </c>
      <c r="N2">
        <v>19435.498215538901</v>
      </c>
      <c r="O2">
        <v>19502.273630617099</v>
      </c>
      <c r="P2">
        <v>19600.528206459199</v>
      </c>
      <c r="Q2">
        <v>19687.375279765402</v>
      </c>
      <c r="R2">
        <v>19921.7348450266</v>
      </c>
      <c r="S2">
        <v>20063.210418657702</v>
      </c>
      <c r="T2">
        <v>20139.639646027801</v>
      </c>
      <c r="U2">
        <v>20116.445798348799</v>
      </c>
      <c r="V2">
        <v>20141.132504856199</v>
      </c>
      <c r="W2">
        <v>20105.369056706801</v>
      </c>
      <c r="X2">
        <v>20145.771707411001</v>
      </c>
      <c r="Y2">
        <v>20171.6263924593</v>
      </c>
      <c r="Z2">
        <v>19882</v>
      </c>
      <c r="AA2">
        <v>19627</v>
      </c>
      <c r="AB2">
        <v>19463.7385057471</v>
      </c>
      <c r="AC2">
        <v>19351.451462094999</v>
      </c>
      <c r="AD2">
        <v>19277.115722300201</v>
      </c>
      <c r="AE2">
        <v>19164.130329826399</v>
      </c>
    </row>
    <row r="3" spans="1:31" x14ac:dyDescent="0.3">
      <c r="A3" t="s">
        <v>313</v>
      </c>
      <c r="B3" t="s">
        <v>124</v>
      </c>
      <c r="C3" t="s">
        <v>0</v>
      </c>
      <c r="D3" t="s">
        <v>125</v>
      </c>
      <c r="E3" t="s">
        <v>123</v>
      </c>
      <c r="F3">
        <v>1141.9885810911301</v>
      </c>
      <c r="G3">
        <v>1132.11954397059</v>
      </c>
      <c r="H3">
        <v>1084.7738311846199</v>
      </c>
      <c r="I3">
        <v>1082.05168857186</v>
      </c>
      <c r="J3">
        <v>1106.2466331610401</v>
      </c>
      <c r="K3">
        <v>1138.0429435752501</v>
      </c>
      <c r="L3">
        <v>1185.9469127587399</v>
      </c>
      <c r="M3">
        <v>1203.59118138639</v>
      </c>
      <c r="N3">
        <v>1278.6592384375199</v>
      </c>
      <c r="O3">
        <v>1274.9313689377</v>
      </c>
      <c r="P3">
        <v>1294.5645757740799</v>
      </c>
      <c r="Q3">
        <v>1341.22633035374</v>
      </c>
      <c r="R3">
        <v>1613.46124605109</v>
      </c>
      <c r="S3">
        <v>2220.9085171326001</v>
      </c>
      <c r="T3">
        <v>2401.39110708936</v>
      </c>
      <c r="U3">
        <v>2522.6951728475601</v>
      </c>
      <c r="V3">
        <v>2797.8394282265699</v>
      </c>
      <c r="W3">
        <v>3008.85846202528</v>
      </c>
      <c r="X3">
        <v>3081.9728087231601</v>
      </c>
      <c r="Y3">
        <v>3108.0317658050399</v>
      </c>
      <c r="Z3">
        <v>3210</v>
      </c>
      <c r="AA3">
        <v>3207</v>
      </c>
      <c r="AB3">
        <v>3266.9252569293099</v>
      </c>
      <c r="AC3">
        <v>3350.44063943727</v>
      </c>
      <c r="AD3">
        <v>3395.12585795417</v>
      </c>
      <c r="AE3">
        <v>3553.2752781966601</v>
      </c>
    </row>
    <row r="4" spans="1:31" x14ac:dyDescent="0.3">
      <c r="A4" t="s">
        <v>313</v>
      </c>
      <c r="B4" t="s">
        <v>126</v>
      </c>
      <c r="C4" t="s">
        <v>0</v>
      </c>
      <c r="D4" t="s">
        <v>127</v>
      </c>
      <c r="E4" t="s">
        <v>123</v>
      </c>
      <c r="F4">
        <v>59257.040531846898</v>
      </c>
      <c r="G4">
        <v>60418.628144600101</v>
      </c>
      <c r="H4">
        <v>61650.222593479099</v>
      </c>
      <c r="I4">
        <v>63360.681831028101</v>
      </c>
      <c r="J4">
        <v>64697.816466283897</v>
      </c>
      <c r="K4">
        <v>66038.952282335595</v>
      </c>
      <c r="L4">
        <v>68008.012797333795</v>
      </c>
      <c r="M4">
        <v>68579.050651439102</v>
      </c>
      <c r="N4">
        <v>69077.094216968602</v>
      </c>
      <c r="O4">
        <v>69257.056128286</v>
      </c>
      <c r="P4">
        <v>69356.585114572401</v>
      </c>
      <c r="Q4">
        <v>69497.042397849495</v>
      </c>
      <c r="R4">
        <v>70503.794833584499</v>
      </c>
      <c r="S4">
        <v>71128.890049328998</v>
      </c>
      <c r="T4">
        <v>70236.0310179269</v>
      </c>
      <c r="U4">
        <v>68664.535428097704</v>
      </c>
      <c r="V4">
        <v>66947.179907327096</v>
      </c>
      <c r="W4">
        <v>64867.575580549899</v>
      </c>
      <c r="X4">
        <v>62407.556772875003</v>
      </c>
      <c r="Y4">
        <v>60251.570519124303</v>
      </c>
      <c r="Z4">
        <v>58578</v>
      </c>
      <c r="AA4">
        <v>57231</v>
      </c>
      <c r="AB4">
        <v>56820.083415316098</v>
      </c>
      <c r="AC4">
        <v>56119.916825085202</v>
      </c>
      <c r="AD4">
        <v>55202.144220934002</v>
      </c>
      <c r="AE4">
        <v>54263.816397948103</v>
      </c>
    </row>
    <row r="5" spans="1:31" x14ac:dyDescent="0.3">
      <c r="A5" t="s">
        <v>313</v>
      </c>
      <c r="B5" t="s">
        <v>128</v>
      </c>
      <c r="C5" t="s">
        <v>0</v>
      </c>
      <c r="D5" t="s">
        <v>129</v>
      </c>
      <c r="E5" t="s">
        <v>123</v>
      </c>
      <c r="F5">
        <v>5836.2349124410503</v>
      </c>
      <c r="G5">
        <v>5841.6842447589197</v>
      </c>
      <c r="H5">
        <v>5807.8703743910201</v>
      </c>
      <c r="I5">
        <v>5807.8703743910201</v>
      </c>
      <c r="J5">
        <v>5773.5823113269498</v>
      </c>
      <c r="K5">
        <v>5733.5238843683201</v>
      </c>
      <c r="L5">
        <v>5765.1868172398099</v>
      </c>
      <c r="M5">
        <v>5831.52393382429</v>
      </c>
      <c r="N5">
        <v>5862.4047002605503</v>
      </c>
      <c r="O5">
        <v>5764.5741190774997</v>
      </c>
      <c r="P5">
        <v>5762.1309853122602</v>
      </c>
      <c r="Q5">
        <v>5719.4485335692098</v>
      </c>
      <c r="R5">
        <v>5739.1988128847997</v>
      </c>
      <c r="S5">
        <v>5734.7368507367901</v>
      </c>
      <c r="T5">
        <v>5643.6582572553498</v>
      </c>
      <c r="U5">
        <v>5497.7385760791703</v>
      </c>
      <c r="V5">
        <v>5391.5661956117401</v>
      </c>
      <c r="W5">
        <v>5334.2321249120096</v>
      </c>
      <c r="X5">
        <v>5287.4132355769198</v>
      </c>
      <c r="Y5">
        <v>5306.87108013937</v>
      </c>
      <c r="Z5">
        <v>5256</v>
      </c>
      <c r="AA5">
        <v>5307</v>
      </c>
      <c r="AB5">
        <v>5381.7464788732404</v>
      </c>
      <c r="AC5">
        <v>5319.876212186</v>
      </c>
      <c r="AD5">
        <v>5212.3467993864897</v>
      </c>
      <c r="AE5">
        <v>5188.4748570253796</v>
      </c>
    </row>
    <row r="6" spans="1:31" x14ac:dyDescent="0.3">
      <c r="A6" t="s">
        <v>313</v>
      </c>
      <c r="B6" t="s">
        <v>130</v>
      </c>
      <c r="C6" t="s">
        <v>0</v>
      </c>
      <c r="D6" t="s">
        <v>131</v>
      </c>
      <c r="E6" t="s">
        <v>123</v>
      </c>
      <c r="F6">
        <v>1003.3197441006999</v>
      </c>
      <c r="G6">
        <v>949.37782237485396</v>
      </c>
      <c r="H6">
        <v>925.24109807718798</v>
      </c>
      <c r="I6">
        <v>898.65371020140697</v>
      </c>
      <c r="J6">
        <v>854.11402194069603</v>
      </c>
      <c r="K6">
        <v>815.58256230427298</v>
      </c>
      <c r="L6">
        <v>795.444721259723</v>
      </c>
      <c r="M6">
        <v>756.22402622072298</v>
      </c>
      <c r="N6">
        <v>717.98104936453694</v>
      </c>
      <c r="O6">
        <v>671.10256160534004</v>
      </c>
      <c r="P6">
        <v>634.56340217129298</v>
      </c>
      <c r="Q6">
        <v>607.23201968076899</v>
      </c>
      <c r="R6">
        <v>580.32193017661098</v>
      </c>
      <c r="S6">
        <v>547.32323218617705</v>
      </c>
      <c r="T6">
        <v>494.35646778106297</v>
      </c>
      <c r="U6">
        <v>446.12656848534903</v>
      </c>
      <c r="V6">
        <v>408.39447065325498</v>
      </c>
      <c r="W6">
        <v>384.499049498011</v>
      </c>
      <c r="X6">
        <v>345.84017767348303</v>
      </c>
      <c r="Y6">
        <v>322.23684210526301</v>
      </c>
      <c r="Z6">
        <v>310</v>
      </c>
      <c r="AA6">
        <v>309</v>
      </c>
      <c r="AB6">
        <v>304.06389776357798</v>
      </c>
      <c r="AC6">
        <v>310.88584418776099</v>
      </c>
      <c r="AD6">
        <v>302.25012629365699</v>
      </c>
      <c r="AE6">
        <v>302.25012629365699</v>
      </c>
    </row>
    <row r="7" spans="1:31" x14ac:dyDescent="0.3">
      <c r="A7" t="s">
        <v>313</v>
      </c>
      <c r="B7" t="s">
        <v>132</v>
      </c>
      <c r="C7" t="s">
        <v>0</v>
      </c>
      <c r="D7" t="s">
        <v>133</v>
      </c>
      <c r="E7" t="s">
        <v>123</v>
      </c>
      <c r="F7">
        <v>20201.959907085198</v>
      </c>
      <c r="G7">
        <v>20632.996306681202</v>
      </c>
      <c r="H7">
        <v>20474.9348569262</v>
      </c>
      <c r="I7">
        <v>20545.3806347073</v>
      </c>
      <c r="J7">
        <v>20240.671297384</v>
      </c>
      <c r="K7">
        <v>19961.009630818098</v>
      </c>
      <c r="L7">
        <v>20435.298773358099</v>
      </c>
      <c r="M7">
        <v>19909.791921661701</v>
      </c>
      <c r="N7">
        <v>19639.116825732301</v>
      </c>
      <c r="O7">
        <v>19101.791561914699</v>
      </c>
      <c r="P7">
        <v>18677.7598184571</v>
      </c>
      <c r="Q7">
        <v>18264.901437206201</v>
      </c>
      <c r="R7">
        <v>17813.192528715699</v>
      </c>
      <c r="S7">
        <v>17459.1925027588</v>
      </c>
      <c r="T7">
        <v>16462.074578096101</v>
      </c>
      <c r="U7">
        <v>15582.5763572096</v>
      </c>
      <c r="V7">
        <v>14826.414072912299</v>
      </c>
      <c r="W7">
        <v>14164.3787227965</v>
      </c>
      <c r="X7">
        <v>13569.3660727478</v>
      </c>
      <c r="Y7">
        <v>12911.512534368399</v>
      </c>
      <c r="Z7">
        <v>12431</v>
      </c>
      <c r="AA7">
        <v>12483</v>
      </c>
      <c r="AB7">
        <v>12761.6428514281</v>
      </c>
      <c r="AC7">
        <v>12493.1637072106</v>
      </c>
      <c r="AD7">
        <v>12244.5772196949</v>
      </c>
      <c r="AE7">
        <v>11921.0070289102</v>
      </c>
    </row>
    <row r="8" spans="1:31" x14ac:dyDescent="0.3">
      <c r="A8" t="s">
        <v>313</v>
      </c>
      <c r="B8" t="s">
        <v>134</v>
      </c>
      <c r="C8" t="s">
        <v>0</v>
      </c>
      <c r="D8" t="s">
        <v>135</v>
      </c>
      <c r="E8" t="s">
        <v>123</v>
      </c>
      <c r="F8">
        <v>1804.312775202</v>
      </c>
      <c r="G8">
        <v>1758.298616329</v>
      </c>
      <c r="H8">
        <v>1843.53279475933</v>
      </c>
      <c r="I8">
        <v>1788.48192470461</v>
      </c>
      <c r="J8">
        <v>1781.8184302012401</v>
      </c>
      <c r="K8">
        <v>1732.9472056516099</v>
      </c>
      <c r="L8">
        <v>1762.5812470865501</v>
      </c>
      <c r="M8">
        <v>1678.10846915036</v>
      </c>
      <c r="N8">
        <v>1674.33461202333</v>
      </c>
      <c r="O8">
        <v>1633.07020410939</v>
      </c>
      <c r="P8">
        <v>1770.7990165041599</v>
      </c>
      <c r="Q8">
        <v>1916.7702867835501</v>
      </c>
      <c r="R8">
        <v>2685.1106876292702</v>
      </c>
      <c r="S8">
        <v>2648.8865974083001</v>
      </c>
      <c r="T8">
        <v>2676.0490932799999</v>
      </c>
      <c r="U8">
        <v>2682.5733901348099</v>
      </c>
      <c r="V8">
        <v>2588.4863952116498</v>
      </c>
      <c r="W8">
        <v>2558.7336780253099</v>
      </c>
      <c r="X8">
        <v>2530.9883730828601</v>
      </c>
      <c r="Y8">
        <v>2516.79212419538</v>
      </c>
      <c r="Z8">
        <v>2663</v>
      </c>
      <c r="AA8">
        <v>2548</v>
      </c>
      <c r="AB8">
        <v>2827.4644808743201</v>
      </c>
      <c r="AC8">
        <v>2856.8560035445298</v>
      </c>
      <c r="AD8">
        <v>2794.6672425832398</v>
      </c>
      <c r="AE8">
        <v>2702.2275309174402</v>
      </c>
    </row>
    <row r="9" spans="1:31" x14ac:dyDescent="0.3">
      <c r="A9" t="s">
        <v>313</v>
      </c>
      <c r="B9" t="s">
        <v>136</v>
      </c>
      <c r="C9" t="s">
        <v>0</v>
      </c>
      <c r="D9" t="s">
        <v>137</v>
      </c>
      <c r="E9" t="s">
        <v>123</v>
      </c>
      <c r="F9">
        <v>4408.9730046134</v>
      </c>
      <c r="G9">
        <v>4395.8856836894201</v>
      </c>
      <c r="H9">
        <v>4526.7240799687597</v>
      </c>
      <c r="I9">
        <v>4609.18061615837</v>
      </c>
      <c r="J9">
        <v>4691.7084696258398</v>
      </c>
      <c r="K9">
        <v>4644.39939545791</v>
      </c>
      <c r="L9">
        <v>4649.6547271642203</v>
      </c>
      <c r="M9">
        <v>4795.0760272730604</v>
      </c>
      <c r="N9">
        <v>4763.35416945834</v>
      </c>
      <c r="O9">
        <v>4781.0524068183304</v>
      </c>
      <c r="P9">
        <v>4694.4167173341702</v>
      </c>
      <c r="Q9">
        <v>4680.0093002988797</v>
      </c>
      <c r="R9">
        <v>4807.3564921437401</v>
      </c>
      <c r="S9">
        <v>4852.0281393187697</v>
      </c>
      <c r="T9">
        <v>4940.9655186545597</v>
      </c>
      <c r="U9">
        <v>4781.4395069606799</v>
      </c>
      <c r="V9">
        <v>4679.3329916570401</v>
      </c>
      <c r="W9">
        <v>4604.3093293995998</v>
      </c>
      <c r="X9">
        <v>4604.3093293995998</v>
      </c>
      <c r="Y9">
        <v>4469.9660863667204</v>
      </c>
      <c r="Z9">
        <v>4473</v>
      </c>
      <c r="AA9">
        <v>4508</v>
      </c>
      <c r="AB9">
        <v>4729.4941873217804</v>
      </c>
      <c r="AC9">
        <v>4791.2087966426698</v>
      </c>
      <c r="AD9">
        <v>4774.8005473391004</v>
      </c>
      <c r="AE9">
        <v>4728.7625255328003</v>
      </c>
    </row>
    <row r="10" spans="1:31" x14ac:dyDescent="0.3">
      <c r="A10" t="s">
        <v>313</v>
      </c>
      <c r="B10" t="s">
        <v>138</v>
      </c>
      <c r="C10" t="s">
        <v>0</v>
      </c>
      <c r="D10" t="s">
        <v>139</v>
      </c>
      <c r="E10" t="s">
        <v>123</v>
      </c>
      <c r="F10">
        <v>6165.9151475345197</v>
      </c>
      <c r="G10">
        <v>6167.4485758228902</v>
      </c>
      <c r="H10">
        <v>6318.8982004662403</v>
      </c>
      <c r="I10">
        <v>6444.1854286070402</v>
      </c>
      <c r="J10">
        <v>6554.0952339423502</v>
      </c>
      <c r="K10">
        <v>6561.1991741482298</v>
      </c>
      <c r="L10">
        <v>6610.7800243307101</v>
      </c>
      <c r="M10">
        <v>6889.2268250330699</v>
      </c>
      <c r="N10">
        <v>6887.9093213373299</v>
      </c>
      <c r="O10">
        <v>6907.5292681318697</v>
      </c>
      <c r="P10">
        <v>6796.4470044853897</v>
      </c>
      <c r="Q10">
        <v>6772.9896942065097</v>
      </c>
      <c r="R10">
        <v>6941.07495889044</v>
      </c>
      <c r="S10">
        <v>7011.4474660775704</v>
      </c>
      <c r="T10">
        <v>7123.2371259321299</v>
      </c>
      <c r="U10">
        <v>6960.7715542511296</v>
      </c>
      <c r="V10">
        <v>6846.0274994655701</v>
      </c>
      <c r="W10">
        <v>6838.5020295383902</v>
      </c>
      <c r="X10">
        <v>6950.8302758030504</v>
      </c>
      <c r="Y10">
        <v>6883.5444444444402</v>
      </c>
      <c r="Z10">
        <v>6922</v>
      </c>
      <c r="AA10">
        <v>6992</v>
      </c>
      <c r="AB10">
        <v>7258.2679830747502</v>
      </c>
      <c r="AC10">
        <v>7345.3280707423601</v>
      </c>
      <c r="AD10">
        <v>7296.9844609573001</v>
      </c>
      <c r="AE10">
        <v>7254.7728269756699</v>
      </c>
    </row>
    <row r="11" spans="1:31" x14ac:dyDescent="0.3">
      <c r="A11" t="s">
        <v>313</v>
      </c>
      <c r="B11" t="s">
        <v>140</v>
      </c>
      <c r="C11" t="s">
        <v>0</v>
      </c>
      <c r="D11" t="s">
        <v>141</v>
      </c>
      <c r="E11" t="s">
        <v>123</v>
      </c>
      <c r="F11">
        <v>1730.28340089939</v>
      </c>
      <c r="G11">
        <v>1747.7786830116099</v>
      </c>
      <c r="H11">
        <v>1763.1700804158299</v>
      </c>
      <c r="I11">
        <v>1806.91284958645</v>
      </c>
      <c r="J11">
        <v>1833.07629356236</v>
      </c>
      <c r="K11">
        <v>1897.28211820552</v>
      </c>
      <c r="L11">
        <v>1946.6824662792201</v>
      </c>
      <c r="M11">
        <v>2087.1037527610201</v>
      </c>
      <c r="N11">
        <v>2121.6489183239601</v>
      </c>
      <c r="O11">
        <v>2123.0652393642299</v>
      </c>
      <c r="P11">
        <v>2099.7348521184699</v>
      </c>
      <c r="Q11">
        <v>2090.51971483645</v>
      </c>
      <c r="R11">
        <v>2130.2293417726801</v>
      </c>
      <c r="S11">
        <v>2156.2228433282999</v>
      </c>
      <c r="T11">
        <v>2178.3319820348502</v>
      </c>
      <c r="U11">
        <v>2177.2068105565299</v>
      </c>
      <c r="V11">
        <v>2164.9502727284198</v>
      </c>
      <c r="W11">
        <v>2233.0780785135798</v>
      </c>
      <c r="X11">
        <v>2346.0394052018501</v>
      </c>
      <c r="Y11">
        <v>2413.5366156392201</v>
      </c>
      <c r="Z11">
        <v>2449</v>
      </c>
      <c r="AA11">
        <v>2484</v>
      </c>
      <c r="AB11">
        <v>2529.1457921770102</v>
      </c>
      <c r="AC11">
        <v>2554.51531015409</v>
      </c>
      <c r="AD11">
        <v>2522.4989769846702</v>
      </c>
      <c r="AE11">
        <v>2526.24016938657</v>
      </c>
    </row>
    <row r="12" spans="1:31" x14ac:dyDescent="0.3">
      <c r="A12" t="s">
        <v>313</v>
      </c>
      <c r="B12" t="s">
        <v>142</v>
      </c>
      <c r="C12" t="s">
        <v>0</v>
      </c>
      <c r="D12" t="s">
        <v>143</v>
      </c>
      <c r="E12" t="s">
        <v>123</v>
      </c>
      <c r="F12">
        <v>3213.0089484585101</v>
      </c>
      <c r="G12">
        <v>3177.0573356908399</v>
      </c>
      <c r="H12">
        <v>3199.3478741583399</v>
      </c>
      <c r="I12">
        <v>3335.1326465053999</v>
      </c>
      <c r="J12">
        <v>3453.6981419660301</v>
      </c>
      <c r="K12">
        <v>3522.77210480535</v>
      </c>
      <c r="L12">
        <v>3543.6824140866602</v>
      </c>
      <c r="M12">
        <v>3544.8844773207502</v>
      </c>
      <c r="N12">
        <v>3559.3337347011302</v>
      </c>
      <c r="O12">
        <v>3566.5583633913202</v>
      </c>
      <c r="P12">
        <v>3589.1540982710999</v>
      </c>
      <c r="Q12">
        <v>3648.3733991484301</v>
      </c>
      <c r="R12">
        <v>3623.2751456208298</v>
      </c>
      <c r="S12">
        <v>3616.6309980432802</v>
      </c>
      <c r="T12">
        <v>3568.5517085567399</v>
      </c>
      <c r="U12">
        <v>3457.5680429796098</v>
      </c>
      <c r="V12">
        <v>3391.11824757263</v>
      </c>
      <c r="W12">
        <v>3296.2990442946102</v>
      </c>
      <c r="X12">
        <v>3193.2252780565</v>
      </c>
      <c r="Y12">
        <v>3110.0208062418701</v>
      </c>
      <c r="Z12">
        <v>3108</v>
      </c>
      <c r="AA12">
        <v>3111</v>
      </c>
      <c r="AB12">
        <v>3113.9619168517902</v>
      </c>
      <c r="AC12">
        <v>3179.3853876667999</v>
      </c>
      <c r="AD12">
        <v>3226.3383364298202</v>
      </c>
      <c r="AE12">
        <v>3302.7344506623399</v>
      </c>
    </row>
    <row r="13" spans="1:31" x14ac:dyDescent="0.3">
      <c r="A13" t="s">
        <v>313</v>
      </c>
      <c r="B13" t="s">
        <v>144</v>
      </c>
      <c r="C13" t="s">
        <v>0</v>
      </c>
      <c r="D13" t="s">
        <v>145</v>
      </c>
      <c r="E13" t="s">
        <v>123</v>
      </c>
      <c r="F13">
        <v>5452.8769386713202</v>
      </c>
      <c r="G13">
        <v>5703.1685409127404</v>
      </c>
      <c r="H13">
        <v>6082.8506033673802</v>
      </c>
      <c r="I13">
        <v>6350.5012523672303</v>
      </c>
      <c r="J13">
        <v>6362.0639695979198</v>
      </c>
      <c r="K13">
        <v>6502.7671177599796</v>
      </c>
      <c r="L13">
        <v>6618.4437325173803</v>
      </c>
      <c r="M13">
        <v>7044.2627226609602</v>
      </c>
      <c r="N13">
        <v>7135.7149823458403</v>
      </c>
      <c r="O13">
        <v>7462.0098787812503</v>
      </c>
      <c r="P13">
        <v>7383.6654042018899</v>
      </c>
      <c r="Q13">
        <v>7282.7764266421</v>
      </c>
      <c r="R13">
        <v>7331.2666945430101</v>
      </c>
      <c r="S13">
        <v>7480.3394922772704</v>
      </c>
      <c r="T13">
        <v>7593.9866165687099</v>
      </c>
      <c r="U13">
        <v>7510.5714699566397</v>
      </c>
      <c r="V13">
        <v>7406.0007866911001</v>
      </c>
      <c r="W13">
        <v>7603.0822230457998</v>
      </c>
      <c r="X13">
        <v>7290.7538725058203</v>
      </c>
      <c r="Y13">
        <v>7117.2128212532498</v>
      </c>
      <c r="Z13">
        <v>6996</v>
      </c>
      <c r="AA13">
        <v>6808</v>
      </c>
      <c r="AB13">
        <v>6706.5204052098397</v>
      </c>
      <c r="AC13">
        <v>6703.5956252686201</v>
      </c>
      <c r="AD13">
        <v>6747.6352423440803</v>
      </c>
      <c r="AE13">
        <v>6663.6397828958197</v>
      </c>
    </row>
    <row r="14" spans="1:31" x14ac:dyDescent="0.3">
      <c r="A14" t="s">
        <v>313</v>
      </c>
      <c r="B14" t="s">
        <v>146</v>
      </c>
      <c r="C14" t="s">
        <v>0</v>
      </c>
      <c r="D14" t="s">
        <v>147</v>
      </c>
      <c r="E14" t="s">
        <v>123</v>
      </c>
      <c r="F14">
        <v>4958.5095344227402</v>
      </c>
      <c r="G14">
        <v>5529.1457281625899</v>
      </c>
      <c r="H14">
        <v>6262.6744480439902</v>
      </c>
      <c r="I14">
        <v>7399.33456897221</v>
      </c>
      <c r="J14">
        <v>9066.9531930716003</v>
      </c>
      <c r="K14">
        <v>10819.2256100905</v>
      </c>
      <c r="L14">
        <v>12142.978678683499</v>
      </c>
      <c r="M14">
        <v>12745.270421146201</v>
      </c>
      <c r="N14">
        <v>13523.962424535501</v>
      </c>
      <c r="O14">
        <v>14373.224444862501</v>
      </c>
      <c r="P14">
        <v>15181.080720010101</v>
      </c>
      <c r="Q14">
        <v>15839.572351869499</v>
      </c>
      <c r="R14">
        <v>16319.7941053248</v>
      </c>
      <c r="S14">
        <v>17084.099241927299</v>
      </c>
      <c r="T14">
        <v>17161.866712095401</v>
      </c>
      <c r="U14">
        <v>17217.4287516654</v>
      </c>
      <c r="V14">
        <v>16887.2681588634</v>
      </c>
      <c r="W14">
        <v>15474.9453603939</v>
      </c>
      <c r="X14">
        <v>14191.8310722811</v>
      </c>
      <c r="Y14">
        <v>13117.7937881874</v>
      </c>
      <c r="Z14">
        <v>11933</v>
      </c>
      <c r="AA14">
        <v>10702</v>
      </c>
      <c r="AB14">
        <v>9733.6397139714009</v>
      </c>
      <c r="AC14">
        <v>8844.4153076910206</v>
      </c>
      <c r="AD14">
        <v>8150.8310452203104</v>
      </c>
      <c r="AE14">
        <v>7560.6534548618902</v>
      </c>
    </row>
    <row r="15" spans="1:31" x14ac:dyDescent="0.3">
      <c r="A15" t="s">
        <v>313</v>
      </c>
      <c r="B15" t="s">
        <v>148</v>
      </c>
      <c r="C15" t="s">
        <v>0</v>
      </c>
      <c r="D15" t="s">
        <v>149</v>
      </c>
      <c r="E15" t="s">
        <v>123</v>
      </c>
      <c r="F15">
        <v>6300.7914738457903</v>
      </c>
      <c r="G15">
        <v>6895.7983673881399</v>
      </c>
      <c r="H15">
        <v>7652.9038261221503</v>
      </c>
      <c r="I15">
        <v>8832.5938400459509</v>
      </c>
      <c r="J15">
        <v>10496.5637278268</v>
      </c>
      <c r="K15">
        <v>12221.630207350299</v>
      </c>
      <c r="L15">
        <v>13534.672412432399</v>
      </c>
      <c r="M15">
        <v>14101.887592863701</v>
      </c>
      <c r="N15">
        <v>14894.938531112701</v>
      </c>
      <c r="O15">
        <v>15737.245603416701</v>
      </c>
      <c r="P15">
        <v>16543.4400985211</v>
      </c>
      <c r="Q15">
        <v>17196.0542879352</v>
      </c>
      <c r="R15">
        <v>17735.8004056344</v>
      </c>
      <c r="S15">
        <v>18633.7524689251</v>
      </c>
      <c r="T15">
        <v>18788.740202125999</v>
      </c>
      <c r="U15">
        <v>18940.380940973399</v>
      </c>
      <c r="V15">
        <v>18650.4657729143</v>
      </c>
      <c r="W15">
        <v>17292.238270737798</v>
      </c>
      <c r="X15">
        <v>15965.4519888739</v>
      </c>
      <c r="Y15">
        <v>14923.203038978199</v>
      </c>
      <c r="Z15">
        <v>13797</v>
      </c>
      <c r="AA15">
        <v>12581</v>
      </c>
      <c r="AB15">
        <v>11332.7135725429</v>
      </c>
      <c r="AC15">
        <v>10473.5829777946</v>
      </c>
      <c r="AD15">
        <v>9835.6969473951194</v>
      </c>
      <c r="AE15">
        <v>9246.6993615303199</v>
      </c>
    </row>
    <row r="16" spans="1:31" x14ac:dyDescent="0.3">
      <c r="A16" t="s">
        <v>313</v>
      </c>
      <c r="B16" t="s">
        <v>150</v>
      </c>
      <c r="C16" t="s">
        <v>0</v>
      </c>
      <c r="D16" t="s">
        <v>151</v>
      </c>
      <c r="E16" t="s">
        <v>123</v>
      </c>
      <c r="F16">
        <v>1250.77539062343</v>
      </c>
      <c r="G16">
        <v>1280.0063038114299</v>
      </c>
      <c r="H16">
        <v>1310.1951317315099</v>
      </c>
      <c r="I16">
        <v>1362.2460166470701</v>
      </c>
      <c r="J16">
        <v>1376.8623902162401</v>
      </c>
      <c r="K16">
        <v>1371.1074794943299</v>
      </c>
      <c r="L16">
        <v>1373.8999590859701</v>
      </c>
      <c r="M16">
        <v>1346.80134056356</v>
      </c>
      <c r="N16">
        <v>1365.5254902834199</v>
      </c>
      <c r="O16">
        <v>1364.1984489906199</v>
      </c>
      <c r="P16">
        <v>1366.7919821636101</v>
      </c>
      <c r="Q16">
        <v>1364.2841069669801</v>
      </c>
      <c r="R16">
        <v>1423.22707468472</v>
      </c>
      <c r="S16">
        <v>1554.12588590155</v>
      </c>
      <c r="T16">
        <v>1628.94157406311</v>
      </c>
      <c r="U16">
        <v>1723.26039817439</v>
      </c>
      <c r="V16">
        <v>1763.28451064812</v>
      </c>
      <c r="W16">
        <v>1817.4061960578199</v>
      </c>
      <c r="X16">
        <v>1773.4872891335301</v>
      </c>
      <c r="Y16">
        <v>1805.2115280043499</v>
      </c>
      <c r="Z16">
        <v>1864</v>
      </c>
      <c r="AA16">
        <v>1879</v>
      </c>
      <c r="AB16">
        <v>1598.91893305439</v>
      </c>
      <c r="AC16">
        <v>1629.2162967002901</v>
      </c>
      <c r="AD16">
        <v>1684.5262007574199</v>
      </c>
      <c r="AE16">
        <v>1685.46204864673</v>
      </c>
    </row>
    <row r="17" spans="1:31" x14ac:dyDescent="0.3">
      <c r="A17" t="s">
        <v>313</v>
      </c>
      <c r="B17" t="s">
        <v>152</v>
      </c>
      <c r="C17" t="s">
        <v>0</v>
      </c>
      <c r="D17" t="s">
        <v>153</v>
      </c>
      <c r="E17" t="s">
        <v>123</v>
      </c>
      <c r="F17">
        <v>3317.6835674853901</v>
      </c>
      <c r="G17">
        <v>3404.5966871394799</v>
      </c>
      <c r="H17">
        <v>3521.5880478545801</v>
      </c>
      <c r="I17">
        <v>3596.26621435794</v>
      </c>
      <c r="J17">
        <v>3626.4025234168098</v>
      </c>
      <c r="K17">
        <v>3654.57969920093</v>
      </c>
      <c r="L17">
        <v>3698.4785544465899</v>
      </c>
      <c r="M17">
        <v>3673.2827521753502</v>
      </c>
      <c r="N17">
        <v>3723.24150113121</v>
      </c>
      <c r="O17">
        <v>3626.32983349712</v>
      </c>
      <c r="P17">
        <v>3582.76261994981</v>
      </c>
      <c r="Q17">
        <v>3582.76261994981</v>
      </c>
      <c r="R17">
        <v>3633.5991165842302</v>
      </c>
      <c r="S17">
        <v>3876.1515245600199</v>
      </c>
      <c r="T17">
        <v>4054.7245864458901</v>
      </c>
      <c r="U17">
        <v>4023.9570286083599</v>
      </c>
      <c r="V17">
        <v>4064.8711286519101</v>
      </c>
      <c r="W17">
        <v>4167.3015682333298</v>
      </c>
      <c r="X17">
        <v>4208.9641682656502</v>
      </c>
      <c r="Y17">
        <v>4303.9492853849697</v>
      </c>
      <c r="Z17">
        <v>4391</v>
      </c>
      <c r="AA17">
        <v>4438</v>
      </c>
      <c r="AB17">
        <v>4501.0062111801199</v>
      </c>
      <c r="AC17">
        <v>4716.2249389479202</v>
      </c>
      <c r="AD17">
        <v>4862.5471016315296</v>
      </c>
      <c r="AE17">
        <v>4966.9057111212996</v>
      </c>
    </row>
    <row r="18" spans="1:31" x14ac:dyDescent="0.3">
      <c r="A18" t="s">
        <v>313</v>
      </c>
      <c r="B18" t="s">
        <v>154</v>
      </c>
      <c r="C18" t="s">
        <v>0</v>
      </c>
      <c r="D18" t="s">
        <v>155</v>
      </c>
      <c r="E18" t="s">
        <v>123</v>
      </c>
      <c r="F18">
        <v>2211.9921600119501</v>
      </c>
      <c r="G18">
        <v>2162.6432535549902</v>
      </c>
      <c r="H18">
        <v>2107.6730571435601</v>
      </c>
      <c r="I18">
        <v>2090.4206173852199</v>
      </c>
      <c r="J18">
        <v>2042.5268835637301</v>
      </c>
      <c r="K18">
        <v>1975.3114253403401</v>
      </c>
      <c r="L18">
        <v>1942.03461561426</v>
      </c>
      <c r="M18">
        <v>1881.9848610525</v>
      </c>
      <c r="N18">
        <v>1817.9281945769201</v>
      </c>
      <c r="O18">
        <v>1770.59297768787</v>
      </c>
      <c r="P18">
        <v>1735.5317306049401</v>
      </c>
      <c r="Q18">
        <v>1730.6973803804101</v>
      </c>
      <c r="R18">
        <v>1688.54236976222</v>
      </c>
      <c r="S18">
        <v>1662.7545380859001</v>
      </c>
      <c r="T18">
        <v>1645.61273872419</v>
      </c>
      <c r="U18">
        <v>1588.7935366705201</v>
      </c>
      <c r="V18">
        <v>1564.57076618767</v>
      </c>
      <c r="W18">
        <v>1554.8996556823899</v>
      </c>
      <c r="X18">
        <v>1544.5954830138501</v>
      </c>
      <c r="Y18">
        <v>1455.46472727273</v>
      </c>
      <c r="Z18">
        <v>1384</v>
      </c>
      <c r="AA18">
        <v>1347</v>
      </c>
      <c r="AB18">
        <v>1391.2768444119799</v>
      </c>
      <c r="AC18">
        <v>1480.4736873986701</v>
      </c>
      <c r="AD18">
        <v>1440.4866167422399</v>
      </c>
      <c r="AE18">
        <v>1449.7323588265999</v>
      </c>
    </row>
    <row r="19" spans="1:31" x14ac:dyDescent="0.3">
      <c r="A19" t="s">
        <v>313</v>
      </c>
      <c r="B19" t="s">
        <v>156</v>
      </c>
      <c r="C19" t="s">
        <v>0</v>
      </c>
      <c r="D19" t="s">
        <v>157</v>
      </c>
      <c r="E19" t="s">
        <v>123</v>
      </c>
      <c r="F19">
        <v>2133.0343095455401</v>
      </c>
      <c r="G19">
        <v>2161.4548227863302</v>
      </c>
      <c r="H19">
        <v>2258.63194697155</v>
      </c>
      <c r="I19">
        <v>2369.0927114309002</v>
      </c>
      <c r="J19">
        <v>2480.1439322792198</v>
      </c>
      <c r="K19">
        <v>2594.9783774779198</v>
      </c>
      <c r="L19">
        <v>2671.2612064221598</v>
      </c>
      <c r="M19">
        <v>2725.3193058611</v>
      </c>
      <c r="N19">
        <v>2717.4841760886202</v>
      </c>
      <c r="O19">
        <v>2666.9925691960798</v>
      </c>
      <c r="P19">
        <v>2616.3133754821401</v>
      </c>
      <c r="Q19">
        <v>2578.28913045638</v>
      </c>
      <c r="R19">
        <v>2573.49677147783</v>
      </c>
      <c r="S19">
        <v>2378.6578991892902</v>
      </c>
      <c r="T19">
        <v>2153.48564330316</v>
      </c>
      <c r="U19">
        <v>1975.3859733577599</v>
      </c>
      <c r="V19">
        <v>1819.37662507256</v>
      </c>
      <c r="W19">
        <v>1677.9409863743399</v>
      </c>
      <c r="X19">
        <v>1519.66418556344</v>
      </c>
      <c r="Y19">
        <v>1400.73394495413</v>
      </c>
      <c r="Z19">
        <v>1320</v>
      </c>
      <c r="AA19">
        <v>1307</v>
      </c>
      <c r="AB19">
        <v>1253.57229371688</v>
      </c>
      <c r="AC19">
        <v>1251.6120555719001</v>
      </c>
      <c r="AD19">
        <v>1245.82648366633</v>
      </c>
      <c r="AE19">
        <v>1269.4216822206099</v>
      </c>
    </row>
    <row r="20" spans="1:31" x14ac:dyDescent="0.3">
      <c r="A20" t="s">
        <v>313</v>
      </c>
      <c r="B20" t="s">
        <v>158</v>
      </c>
      <c r="C20" t="s">
        <v>0</v>
      </c>
      <c r="D20" t="s">
        <v>159</v>
      </c>
      <c r="E20" t="s">
        <v>123</v>
      </c>
      <c r="F20">
        <v>20754.7111690856</v>
      </c>
      <c r="G20">
        <v>20648.724359270502</v>
      </c>
      <c r="H20">
        <v>20762.9677688097</v>
      </c>
      <c r="I20">
        <v>20646.923018994901</v>
      </c>
      <c r="J20">
        <v>20406.894525525498</v>
      </c>
      <c r="K20">
        <v>20349.793873603001</v>
      </c>
      <c r="L20">
        <v>20413.351669571301</v>
      </c>
      <c r="M20">
        <v>20445.006678228299</v>
      </c>
      <c r="N20">
        <v>20355.906749694299</v>
      </c>
      <c r="O20">
        <v>20693.5671840873</v>
      </c>
      <c r="P20">
        <v>20890.284136392402</v>
      </c>
      <c r="Q20">
        <v>21026.580502404198</v>
      </c>
      <c r="R20">
        <v>21224.180284151102</v>
      </c>
      <c r="S20">
        <v>21774.8351763971</v>
      </c>
      <c r="T20">
        <v>22498.566841580101</v>
      </c>
      <c r="U20">
        <v>22919.484841035101</v>
      </c>
      <c r="V20">
        <v>23378.051334576201</v>
      </c>
      <c r="W20">
        <v>23855.739347133898</v>
      </c>
      <c r="X20">
        <v>24531.123149374998</v>
      </c>
      <c r="Y20">
        <v>25558.425110215201</v>
      </c>
      <c r="Z20">
        <v>26628</v>
      </c>
      <c r="AA20">
        <v>28187</v>
      </c>
      <c r="AB20">
        <v>29552.752524351501</v>
      </c>
      <c r="AC20">
        <v>30333.029737487399</v>
      </c>
      <c r="AD20">
        <v>30849.246127308801</v>
      </c>
      <c r="AE20">
        <v>31593.0695204328</v>
      </c>
    </row>
    <row r="21" spans="1:31" x14ac:dyDescent="0.3">
      <c r="A21" t="s">
        <v>313</v>
      </c>
      <c r="B21" t="s">
        <v>160</v>
      </c>
      <c r="C21" t="s">
        <v>0</v>
      </c>
      <c r="D21" t="s">
        <v>161</v>
      </c>
      <c r="E21" t="s">
        <v>123</v>
      </c>
      <c r="F21">
        <v>28533.030959993001</v>
      </c>
      <c r="G21">
        <v>28488.318352712999</v>
      </c>
      <c r="H21">
        <v>28700.834895565698</v>
      </c>
      <c r="I21">
        <v>28668.324105727701</v>
      </c>
      <c r="J21">
        <v>28518.476339854202</v>
      </c>
      <c r="K21">
        <v>28552.9479057475</v>
      </c>
      <c r="L21">
        <v>28620.687472229201</v>
      </c>
      <c r="M21">
        <v>28750.819668128199</v>
      </c>
      <c r="N21">
        <v>28777.265522780301</v>
      </c>
      <c r="O21">
        <v>29178.533921264199</v>
      </c>
      <c r="P21">
        <v>29471.120868551599</v>
      </c>
      <c r="Q21">
        <v>29789.852627977802</v>
      </c>
      <c r="R21">
        <v>30175.8849154895</v>
      </c>
      <c r="S21">
        <v>30908.599083174799</v>
      </c>
      <c r="T21">
        <v>31795.6324056259</v>
      </c>
      <c r="U21">
        <v>32449.552845826802</v>
      </c>
      <c r="V21">
        <v>33005.502472225897</v>
      </c>
      <c r="W21">
        <v>33548.157405136801</v>
      </c>
      <c r="X21">
        <v>34239.966246976102</v>
      </c>
      <c r="Y21">
        <v>35277.114622875102</v>
      </c>
      <c r="Z21">
        <v>36315</v>
      </c>
      <c r="AA21">
        <v>37973</v>
      </c>
      <c r="AB21">
        <v>39372.995838744697</v>
      </c>
      <c r="AC21">
        <v>40302.274303369297</v>
      </c>
      <c r="AD21">
        <v>40837.068379600503</v>
      </c>
      <c r="AE21">
        <v>41905.716061086197</v>
      </c>
    </row>
    <row r="22" spans="1:31" x14ac:dyDescent="0.3">
      <c r="A22" t="s">
        <v>313</v>
      </c>
      <c r="B22" t="s">
        <v>162</v>
      </c>
      <c r="C22" t="s">
        <v>0</v>
      </c>
      <c r="D22" t="s">
        <v>163</v>
      </c>
      <c r="E22" t="s">
        <v>123</v>
      </c>
      <c r="F22">
        <v>7718.6786201635796</v>
      </c>
      <c r="G22">
        <v>7786.5053215709904</v>
      </c>
      <c r="H22">
        <v>7888.3340746865697</v>
      </c>
      <c r="I22">
        <v>7981.0990281058102</v>
      </c>
      <c r="J22">
        <v>8083.7131584671697</v>
      </c>
      <c r="K22">
        <v>8182.17881972945</v>
      </c>
      <c r="L22">
        <v>8185.2075736882598</v>
      </c>
      <c r="M22">
        <v>8287.1222891201596</v>
      </c>
      <c r="N22">
        <v>8408.3761250870793</v>
      </c>
      <c r="O22">
        <v>8469.3474865337503</v>
      </c>
      <c r="P22">
        <v>8565.4964200493796</v>
      </c>
      <c r="Q22">
        <v>8750.4198613641802</v>
      </c>
      <c r="R22">
        <v>8939.8336777878994</v>
      </c>
      <c r="S22">
        <v>9121.5137905527008</v>
      </c>
      <c r="T22">
        <v>9285.4125769186394</v>
      </c>
      <c r="U22">
        <v>9518.0741496609098</v>
      </c>
      <c r="V22">
        <v>9615.2762530809105</v>
      </c>
      <c r="W22">
        <v>9680.6576007109907</v>
      </c>
      <c r="X22">
        <v>9699.7357559244992</v>
      </c>
      <c r="Y22">
        <v>9713.6478858889495</v>
      </c>
      <c r="Z22">
        <v>9687</v>
      </c>
      <c r="AA22">
        <v>9786</v>
      </c>
      <c r="AB22">
        <v>9819.2857142857101</v>
      </c>
      <c r="AC22">
        <v>9968.6733059753806</v>
      </c>
      <c r="AD22">
        <v>9988.7117992677595</v>
      </c>
      <c r="AE22">
        <v>10312.614518111401</v>
      </c>
    </row>
    <row r="23" spans="1:31" x14ac:dyDescent="0.3">
      <c r="A23" t="s">
        <v>313</v>
      </c>
      <c r="B23" t="s">
        <v>164</v>
      </c>
      <c r="C23" t="s">
        <v>0</v>
      </c>
      <c r="D23" t="s">
        <v>165</v>
      </c>
      <c r="E23" t="s">
        <v>123</v>
      </c>
      <c r="F23">
        <v>2879.3498810080901</v>
      </c>
      <c r="G23">
        <v>2872.4581867021798</v>
      </c>
      <c r="H23">
        <v>2935.13991183895</v>
      </c>
      <c r="I23">
        <v>2974.1138392397402</v>
      </c>
      <c r="J23">
        <v>3151.2388412211299</v>
      </c>
      <c r="K23">
        <v>3357.0921591152</v>
      </c>
      <c r="L23">
        <v>3466.27609101913</v>
      </c>
      <c r="M23">
        <v>3564.8258851126898</v>
      </c>
      <c r="N23">
        <v>3730.0666214369298</v>
      </c>
      <c r="O23">
        <v>3860.4118626171298</v>
      </c>
      <c r="P23">
        <v>4042.06415032519</v>
      </c>
      <c r="Q23">
        <v>4255.9797290862198</v>
      </c>
      <c r="R23">
        <v>4533.5686640550402</v>
      </c>
      <c r="S23">
        <v>4860.1015103107302</v>
      </c>
      <c r="T23">
        <v>4890.3354232831098</v>
      </c>
      <c r="U23">
        <v>4963.5504846620697</v>
      </c>
      <c r="V23">
        <v>5065.3164006835796</v>
      </c>
      <c r="W23">
        <v>5201.2046944915301</v>
      </c>
      <c r="X23">
        <v>5233.2407257907998</v>
      </c>
      <c r="Y23">
        <v>5254.6549999999997</v>
      </c>
      <c r="Z23">
        <v>5278</v>
      </c>
      <c r="AA23">
        <v>5387</v>
      </c>
      <c r="AB23">
        <v>5592.4448111477795</v>
      </c>
      <c r="AC23">
        <v>5837.8046516648401</v>
      </c>
      <c r="AD23">
        <v>6121.8733968387296</v>
      </c>
      <c r="AE23">
        <v>6401.1627832836102</v>
      </c>
    </row>
    <row r="24" spans="1:31" x14ac:dyDescent="0.3">
      <c r="A24" t="s">
        <v>313</v>
      </c>
      <c r="B24" t="s">
        <v>166</v>
      </c>
      <c r="C24" t="s">
        <v>0</v>
      </c>
      <c r="D24" t="s">
        <v>167</v>
      </c>
      <c r="E24" t="s">
        <v>123</v>
      </c>
      <c r="F24">
        <v>18157.516831365301</v>
      </c>
      <c r="G24">
        <v>17742.987405334701</v>
      </c>
      <c r="H24">
        <v>17616.702797467598</v>
      </c>
      <c r="I24">
        <v>17538.381476678602</v>
      </c>
      <c r="J24">
        <v>17505.686031949601</v>
      </c>
      <c r="K24">
        <v>17450.4339981823</v>
      </c>
      <c r="L24">
        <v>17268.2871323619</v>
      </c>
      <c r="M24">
        <v>16907.439056740299</v>
      </c>
      <c r="N24">
        <v>16781.163498561498</v>
      </c>
      <c r="O24">
        <v>16532.133596511099</v>
      </c>
      <c r="P24">
        <v>16192.8389100768</v>
      </c>
      <c r="Q24">
        <v>15546.673336536</v>
      </c>
      <c r="R24">
        <v>15502.110624487999</v>
      </c>
      <c r="S24">
        <v>15490.050991046</v>
      </c>
      <c r="T24">
        <v>15290.716910749999</v>
      </c>
      <c r="U24">
        <v>15032.9545653242</v>
      </c>
      <c r="V24">
        <v>14887.559635472</v>
      </c>
      <c r="W24">
        <v>15097.076252757601</v>
      </c>
      <c r="X24">
        <v>14953.393021047001</v>
      </c>
      <c r="Y24">
        <v>14843.4640545864</v>
      </c>
      <c r="Z24">
        <v>14389</v>
      </c>
      <c r="AA24">
        <v>14448</v>
      </c>
      <c r="AB24">
        <v>14547.451236965901</v>
      </c>
      <c r="AC24">
        <v>14799.758442730101</v>
      </c>
      <c r="AD24">
        <v>14796.917616360601</v>
      </c>
      <c r="AE24">
        <v>14728.868899462301</v>
      </c>
    </row>
    <row r="25" spans="1:31" x14ac:dyDescent="0.3">
      <c r="A25" t="s">
        <v>313</v>
      </c>
      <c r="B25" t="s">
        <v>168</v>
      </c>
      <c r="C25" t="s">
        <v>0</v>
      </c>
      <c r="D25" t="s">
        <v>169</v>
      </c>
      <c r="E25" t="s">
        <v>123</v>
      </c>
      <c r="F25">
        <v>2452.1958495982799</v>
      </c>
      <c r="G25">
        <v>2360.5908322282298</v>
      </c>
      <c r="H25">
        <v>2329.67833323476</v>
      </c>
      <c r="I25">
        <v>2314.2499999020802</v>
      </c>
      <c r="J25">
        <v>2310.1418638075802</v>
      </c>
      <c r="K25">
        <v>2276.9882779320401</v>
      </c>
      <c r="L25">
        <v>2238.3952562721702</v>
      </c>
      <c r="M25">
        <v>2187.8309557172702</v>
      </c>
      <c r="N25">
        <v>2154.41951012656</v>
      </c>
      <c r="O25">
        <v>2140.7524890127302</v>
      </c>
      <c r="P25">
        <v>2101.4951367786798</v>
      </c>
      <c r="Q25">
        <v>2100.3145215333002</v>
      </c>
      <c r="R25">
        <v>2055.7485441993499</v>
      </c>
      <c r="S25">
        <v>2062.3164309220301</v>
      </c>
      <c r="T25">
        <v>2033.92145711535</v>
      </c>
      <c r="U25">
        <v>2044.5203182780201</v>
      </c>
      <c r="V25">
        <v>2041.2138164155699</v>
      </c>
      <c r="W25">
        <v>2030.4080259634</v>
      </c>
      <c r="X25">
        <v>1968.3476685727701</v>
      </c>
      <c r="Y25">
        <v>1931.6893571042699</v>
      </c>
      <c r="Z25">
        <v>1873</v>
      </c>
      <c r="AA25">
        <v>1894</v>
      </c>
      <c r="AB25">
        <v>1851.6484659386399</v>
      </c>
      <c r="AC25">
        <v>1873.96917595781</v>
      </c>
      <c r="AD25">
        <v>1905.2335757589301</v>
      </c>
      <c r="AE25">
        <v>1904.3140614849201</v>
      </c>
    </row>
    <row r="26" spans="1:31" x14ac:dyDescent="0.3">
      <c r="A26" t="s">
        <v>313</v>
      </c>
      <c r="B26" t="s">
        <v>170</v>
      </c>
      <c r="C26" t="s">
        <v>0</v>
      </c>
      <c r="D26" t="s">
        <v>171</v>
      </c>
      <c r="E26" t="s">
        <v>123</v>
      </c>
      <c r="F26">
        <v>9695.6792406549794</v>
      </c>
      <c r="G26">
        <v>9530.1994079634806</v>
      </c>
      <c r="H26">
        <v>9471.6004014058199</v>
      </c>
      <c r="I26">
        <v>9410.3922833925208</v>
      </c>
      <c r="J26">
        <v>9320.2809842734205</v>
      </c>
      <c r="K26">
        <v>9244.2133989206704</v>
      </c>
      <c r="L26">
        <v>9107.8528895572399</v>
      </c>
      <c r="M26">
        <v>8809.1544883405804</v>
      </c>
      <c r="N26">
        <v>8561.9619639574303</v>
      </c>
      <c r="O26">
        <v>8226.1258527644295</v>
      </c>
      <c r="P26">
        <v>7961.2764308322703</v>
      </c>
      <c r="Q26">
        <v>7448.1013090340903</v>
      </c>
      <c r="R26">
        <v>7429.7900581206704</v>
      </c>
      <c r="S26">
        <v>7405.6066905694597</v>
      </c>
      <c r="T26">
        <v>7184.5280163330599</v>
      </c>
      <c r="U26">
        <v>6901.7395504637798</v>
      </c>
      <c r="V26">
        <v>6826.8523174285901</v>
      </c>
      <c r="W26">
        <v>6921.8496298785803</v>
      </c>
      <c r="X26">
        <v>6810.1735378518497</v>
      </c>
      <c r="Y26">
        <v>6773.5104232470003</v>
      </c>
      <c r="Z26">
        <v>6412</v>
      </c>
      <c r="AA26">
        <v>6422</v>
      </c>
      <c r="AB26">
        <v>6537.2414110429499</v>
      </c>
      <c r="AC26">
        <v>6714.05489548489</v>
      </c>
      <c r="AD26">
        <v>6649.4966753359904</v>
      </c>
      <c r="AE26">
        <v>6522.0479890587203</v>
      </c>
    </row>
    <row r="27" spans="1:31" x14ac:dyDescent="0.3">
      <c r="A27" t="s">
        <v>313</v>
      </c>
      <c r="B27" t="s">
        <v>172</v>
      </c>
      <c r="C27" t="s">
        <v>0</v>
      </c>
      <c r="D27" t="s">
        <v>173</v>
      </c>
      <c r="E27" t="s">
        <v>123</v>
      </c>
      <c r="F27">
        <v>6026.9606757165402</v>
      </c>
      <c r="G27">
        <v>5870.8076036638804</v>
      </c>
      <c r="H27">
        <v>5833.9186566545904</v>
      </c>
      <c r="I27">
        <v>5831.1931632387304</v>
      </c>
      <c r="J27">
        <v>5889.5581539535797</v>
      </c>
      <c r="K27">
        <v>5940.9841146953704</v>
      </c>
      <c r="L27">
        <v>5932.2179071062401</v>
      </c>
      <c r="M27">
        <v>5918.9278058886903</v>
      </c>
      <c r="N27">
        <v>6071.1636033652503</v>
      </c>
      <c r="O27">
        <v>6168.90823775229</v>
      </c>
      <c r="P27">
        <v>6132.81164186141</v>
      </c>
      <c r="Q27">
        <v>5999.9961921706399</v>
      </c>
      <c r="R27">
        <v>6018.2471311582303</v>
      </c>
      <c r="S27">
        <v>6023.7152822859398</v>
      </c>
      <c r="T27">
        <v>6073.1676173544902</v>
      </c>
      <c r="U27">
        <v>6086.9269723606903</v>
      </c>
      <c r="V27">
        <v>6019.7350531942102</v>
      </c>
      <c r="W27">
        <v>6145.0561705973896</v>
      </c>
      <c r="X27">
        <v>6175.0169353834199</v>
      </c>
      <c r="Y27">
        <v>6138.4001326040097</v>
      </c>
      <c r="Z27">
        <v>6104</v>
      </c>
      <c r="AA27">
        <v>6132</v>
      </c>
      <c r="AB27">
        <v>6158.57528089888</v>
      </c>
      <c r="AC27">
        <v>6211.88369141972</v>
      </c>
      <c r="AD27">
        <v>6242.0980519799004</v>
      </c>
      <c r="AE27">
        <v>6301.59891330542</v>
      </c>
    </row>
    <row r="28" spans="1:31" x14ac:dyDescent="0.3">
      <c r="A28" t="s">
        <v>313</v>
      </c>
      <c r="B28" t="s">
        <v>174</v>
      </c>
      <c r="C28" t="s">
        <v>0</v>
      </c>
      <c r="D28" t="s">
        <v>175</v>
      </c>
      <c r="E28" t="s">
        <v>123</v>
      </c>
      <c r="F28">
        <v>17796.935314422099</v>
      </c>
      <c r="G28">
        <v>17548.801965159299</v>
      </c>
      <c r="H28">
        <v>17676.502347686801</v>
      </c>
      <c r="I28">
        <v>18119.935035157101</v>
      </c>
      <c r="J28">
        <v>18325.925810514698</v>
      </c>
      <c r="K28">
        <v>18078.011671955901</v>
      </c>
      <c r="L28">
        <v>18037.018448209899</v>
      </c>
      <c r="M28">
        <v>17616.2010206716</v>
      </c>
      <c r="N28">
        <v>17235.607949085799</v>
      </c>
      <c r="O28">
        <v>17431.7492668585</v>
      </c>
      <c r="P28">
        <v>17324.115676100399</v>
      </c>
      <c r="Q28">
        <v>17418.665253883599</v>
      </c>
      <c r="R28">
        <v>17570.875140487398</v>
      </c>
      <c r="S28">
        <v>17504.789234375799</v>
      </c>
      <c r="T28">
        <v>17654.213612917702</v>
      </c>
      <c r="U28">
        <v>17322.746745083299</v>
      </c>
      <c r="V28">
        <v>17286.111866681102</v>
      </c>
      <c r="W28">
        <v>17118.631722954698</v>
      </c>
      <c r="X28">
        <v>16970.162270238601</v>
      </c>
      <c r="Y28">
        <v>16625.202487008199</v>
      </c>
      <c r="Z28">
        <v>16419</v>
      </c>
      <c r="AA28">
        <v>16675</v>
      </c>
      <c r="AB28">
        <v>16897.692837465602</v>
      </c>
      <c r="AC28">
        <v>16055.758898648901</v>
      </c>
      <c r="AD28">
        <v>17559.049065800398</v>
      </c>
      <c r="AE28">
        <v>17522.054688750701</v>
      </c>
    </row>
    <row r="29" spans="1:31" x14ac:dyDescent="0.3">
      <c r="A29" t="s">
        <v>313</v>
      </c>
      <c r="B29" t="s">
        <v>176</v>
      </c>
      <c r="C29" t="s">
        <v>0</v>
      </c>
      <c r="D29" t="s">
        <v>177</v>
      </c>
      <c r="E29" t="s">
        <v>123</v>
      </c>
      <c r="F29">
        <v>4931.6466237819504</v>
      </c>
      <c r="G29">
        <v>5011.3295157643197</v>
      </c>
      <c r="H29">
        <v>5096.7256449735996</v>
      </c>
      <c r="I29">
        <v>5254.4128790795903</v>
      </c>
      <c r="J29">
        <v>5344.2892290664004</v>
      </c>
      <c r="K29">
        <v>5309.1551143391598</v>
      </c>
      <c r="L29">
        <v>5292.0603186628096</v>
      </c>
      <c r="M29">
        <v>5236.1705727231401</v>
      </c>
      <c r="N29">
        <v>5246.5666757794997</v>
      </c>
      <c r="O29">
        <v>5308.3717805988999</v>
      </c>
      <c r="P29">
        <v>5373.9630808278498</v>
      </c>
      <c r="Q29">
        <v>5285.7921393147899</v>
      </c>
      <c r="R29">
        <v>5148.0160099077402</v>
      </c>
      <c r="S29">
        <v>5193.9708964400297</v>
      </c>
      <c r="T29">
        <v>5139.5399237244201</v>
      </c>
      <c r="U29">
        <v>5040.17966878876</v>
      </c>
      <c r="V29">
        <v>5085.1906191019298</v>
      </c>
      <c r="W29">
        <v>4924.6164181367203</v>
      </c>
      <c r="X29">
        <v>4824.1749281868397</v>
      </c>
      <c r="Y29">
        <v>4799.8972602739696</v>
      </c>
      <c r="Z29">
        <v>4833</v>
      </c>
      <c r="AA29">
        <v>4949</v>
      </c>
      <c r="AB29">
        <v>5065.0154277699803</v>
      </c>
      <c r="AC29">
        <v>4136.6882136311597</v>
      </c>
      <c r="AD29">
        <v>5318.1871247519402</v>
      </c>
      <c r="AE29">
        <v>5331.4683626660499</v>
      </c>
    </row>
    <row r="30" spans="1:31" x14ac:dyDescent="0.3">
      <c r="A30" t="s">
        <v>313</v>
      </c>
      <c r="B30" t="s">
        <v>178</v>
      </c>
      <c r="C30" t="s">
        <v>0</v>
      </c>
      <c r="D30" t="s">
        <v>179</v>
      </c>
      <c r="E30" t="s">
        <v>123</v>
      </c>
      <c r="F30">
        <v>5478.6083859250202</v>
      </c>
      <c r="G30">
        <v>5086.8332563332297</v>
      </c>
      <c r="H30">
        <v>5065.4407463937096</v>
      </c>
      <c r="I30">
        <v>4981.6189023734996</v>
      </c>
      <c r="J30">
        <v>4775.4539309070296</v>
      </c>
      <c r="K30">
        <v>4470.0866227359802</v>
      </c>
      <c r="L30">
        <v>4373.8616660821699</v>
      </c>
      <c r="M30">
        <v>4146.3402789546299</v>
      </c>
      <c r="N30">
        <v>3792.14205382825</v>
      </c>
      <c r="O30">
        <v>3891.0169233299098</v>
      </c>
      <c r="P30">
        <v>3717.7748519438901</v>
      </c>
      <c r="Q30">
        <v>3695.0292119809401</v>
      </c>
      <c r="R30">
        <v>3798.8093534285599</v>
      </c>
      <c r="S30">
        <v>3521.8719521030198</v>
      </c>
      <c r="T30">
        <v>3364.78781202861</v>
      </c>
      <c r="U30">
        <v>3146.1047850492</v>
      </c>
      <c r="V30">
        <v>3168.4572169145599</v>
      </c>
      <c r="W30">
        <v>3291.7606249390301</v>
      </c>
      <c r="X30">
        <v>3262.9790391639799</v>
      </c>
      <c r="Y30">
        <v>3014.2454160789798</v>
      </c>
      <c r="Z30">
        <v>2840</v>
      </c>
      <c r="AA30">
        <v>2700</v>
      </c>
      <c r="AB30">
        <v>2468.17172464841</v>
      </c>
      <c r="AC30">
        <v>2441.23533153381</v>
      </c>
      <c r="AD30">
        <v>2359.8608204826901</v>
      </c>
      <c r="AE30">
        <v>2256.3581529176599</v>
      </c>
    </row>
    <row r="31" spans="1:31" x14ac:dyDescent="0.3">
      <c r="A31" t="s">
        <v>313</v>
      </c>
      <c r="B31" t="s">
        <v>180</v>
      </c>
      <c r="C31" t="s">
        <v>0</v>
      </c>
      <c r="D31" t="s">
        <v>181</v>
      </c>
      <c r="E31" t="s">
        <v>123</v>
      </c>
      <c r="F31">
        <v>1872.6349791687801</v>
      </c>
      <c r="G31">
        <v>1830.94029909048</v>
      </c>
      <c r="H31">
        <v>1725.5118749585899</v>
      </c>
      <c r="I31">
        <v>1715.3518442915099</v>
      </c>
      <c r="J31">
        <v>1938.0177086947399</v>
      </c>
      <c r="K31">
        <v>1934.8090701041899</v>
      </c>
      <c r="L31">
        <v>2008.3588330484099</v>
      </c>
      <c r="M31">
        <v>1853.8696920446901</v>
      </c>
      <c r="N31">
        <v>1688.27043113532</v>
      </c>
      <c r="O31">
        <v>1629.5236555697199</v>
      </c>
      <c r="P31">
        <v>1743.9487515192</v>
      </c>
      <c r="Q31">
        <v>1919.1714504455699</v>
      </c>
      <c r="R31">
        <v>2047.4841354861501</v>
      </c>
      <c r="S31">
        <v>2085.8830342092601</v>
      </c>
      <c r="T31">
        <v>2337.1776986334198</v>
      </c>
      <c r="U31">
        <v>2212.09314466351</v>
      </c>
      <c r="V31">
        <v>2057.0713825450998</v>
      </c>
      <c r="W31">
        <v>1944.11849655264</v>
      </c>
      <c r="X31">
        <v>2041.5117160331199</v>
      </c>
      <c r="Y31">
        <v>1907.5781448538801</v>
      </c>
      <c r="Z31">
        <v>1858</v>
      </c>
      <c r="AA31">
        <v>1959</v>
      </c>
      <c r="AB31">
        <v>2080.3096212896598</v>
      </c>
      <c r="AC31">
        <v>2078.2859737981398</v>
      </c>
      <c r="AD31">
        <v>2205.88211659026</v>
      </c>
      <c r="AE31">
        <v>2081.1128232082201</v>
      </c>
    </row>
    <row r="32" spans="1:31" x14ac:dyDescent="0.3">
      <c r="A32" t="s">
        <v>313</v>
      </c>
      <c r="B32" t="s">
        <v>182</v>
      </c>
      <c r="C32" t="s">
        <v>0</v>
      </c>
      <c r="D32" t="s">
        <v>183</v>
      </c>
      <c r="E32" t="s">
        <v>123</v>
      </c>
      <c r="F32">
        <v>4766.8771408128796</v>
      </c>
      <c r="G32">
        <v>4848.59503465539</v>
      </c>
      <c r="H32">
        <v>4960.8681581836299</v>
      </c>
      <c r="I32">
        <v>5271.6090298446097</v>
      </c>
      <c r="J32">
        <v>5353.6152753925298</v>
      </c>
      <c r="K32">
        <v>5419.5982087587199</v>
      </c>
      <c r="L32">
        <v>5432.4713636488796</v>
      </c>
      <c r="M32">
        <v>5469.7178661421503</v>
      </c>
      <c r="N32">
        <v>5630.1080892846703</v>
      </c>
      <c r="O32">
        <v>5740.9529544278503</v>
      </c>
      <c r="P32">
        <v>5682.8835452336398</v>
      </c>
      <c r="Q32">
        <v>5755.1235903001598</v>
      </c>
      <c r="R32">
        <v>5879.68289473406</v>
      </c>
      <c r="S32">
        <v>6007.2273155500598</v>
      </c>
      <c r="T32">
        <v>6137.9601402230101</v>
      </c>
      <c r="U32">
        <v>6229.91459925256</v>
      </c>
      <c r="V32">
        <v>6275.0429558902597</v>
      </c>
      <c r="W32">
        <v>6244.3917438773196</v>
      </c>
      <c r="X32">
        <v>6180.8792027303598</v>
      </c>
      <c r="Y32">
        <v>6227.7342547510598</v>
      </c>
      <c r="Z32">
        <v>6312</v>
      </c>
      <c r="AA32">
        <v>6559</v>
      </c>
      <c r="AB32">
        <v>6799.8077099586999</v>
      </c>
      <c r="AC32">
        <v>6950.7838326999899</v>
      </c>
      <c r="AD32">
        <v>7250.0086919634696</v>
      </c>
      <c r="AE32">
        <v>7437.1237082814796</v>
      </c>
    </row>
    <row r="33" spans="1:31" x14ac:dyDescent="0.3">
      <c r="A33" t="s">
        <v>313</v>
      </c>
      <c r="B33" t="s">
        <v>184</v>
      </c>
      <c r="C33" t="s">
        <v>0</v>
      </c>
      <c r="D33" t="s">
        <v>185</v>
      </c>
      <c r="E33" t="s">
        <v>123</v>
      </c>
      <c r="F33">
        <v>648.89923885262203</v>
      </c>
      <c r="G33">
        <v>661.01561468182001</v>
      </c>
      <c r="H33">
        <v>697.36474216941497</v>
      </c>
      <c r="I33">
        <v>764.80814083183498</v>
      </c>
      <c r="J33">
        <v>810.03157872450004</v>
      </c>
      <c r="K33">
        <v>853.00753065039703</v>
      </c>
      <c r="L33">
        <v>855.56144541282401</v>
      </c>
      <c r="M33">
        <v>840.78916146325003</v>
      </c>
      <c r="N33">
        <v>829.66106962035406</v>
      </c>
      <c r="O33">
        <v>803.57891024606101</v>
      </c>
      <c r="P33">
        <v>760.77029250083694</v>
      </c>
      <c r="Q33">
        <v>753.67134731420401</v>
      </c>
      <c r="R33">
        <v>717.89215624722101</v>
      </c>
      <c r="S33">
        <v>722.33043851150001</v>
      </c>
      <c r="T33">
        <v>744.63770205376704</v>
      </c>
      <c r="U33">
        <v>742.51016576218501</v>
      </c>
      <c r="V33">
        <v>718.23791665851797</v>
      </c>
      <c r="W33">
        <v>722.57117709084605</v>
      </c>
      <c r="X33">
        <v>691.47055253887299</v>
      </c>
      <c r="Y33">
        <v>682.29173989455205</v>
      </c>
      <c r="Z33">
        <v>576</v>
      </c>
      <c r="AA33">
        <v>508</v>
      </c>
      <c r="AB33">
        <v>485.26848249027199</v>
      </c>
      <c r="AC33">
        <v>460.90761489537903</v>
      </c>
      <c r="AD33">
        <v>428.462772438976</v>
      </c>
      <c r="AE33">
        <v>408.90251543632701</v>
      </c>
    </row>
    <row r="34" spans="1:31" x14ac:dyDescent="0.3">
      <c r="A34" t="s">
        <v>313</v>
      </c>
      <c r="B34" t="s">
        <v>186</v>
      </c>
      <c r="C34" t="s">
        <v>0</v>
      </c>
      <c r="D34" t="s">
        <v>187</v>
      </c>
      <c r="E34" t="s">
        <v>123</v>
      </c>
      <c r="F34">
        <v>2209.5907414511298</v>
      </c>
      <c r="G34">
        <v>2194.6976666006599</v>
      </c>
      <c r="H34">
        <v>2213.6524891376198</v>
      </c>
      <c r="I34">
        <v>2251.4927026271498</v>
      </c>
      <c r="J34">
        <v>2268.6796698227799</v>
      </c>
      <c r="K34">
        <v>2268.6796698227799</v>
      </c>
      <c r="L34">
        <v>2234.8934861022999</v>
      </c>
      <c r="M34">
        <v>2234.8934861022999</v>
      </c>
      <c r="N34">
        <v>2219.1547995804599</v>
      </c>
      <c r="O34">
        <v>2215.5048739232502</v>
      </c>
      <c r="P34">
        <v>2221.5056996922699</v>
      </c>
      <c r="Q34">
        <v>2269.16751742508</v>
      </c>
      <c r="R34">
        <v>2303.1710266772002</v>
      </c>
      <c r="S34">
        <v>2341.3029973175499</v>
      </c>
      <c r="T34">
        <v>2354.9335118563499</v>
      </c>
      <c r="U34">
        <v>2372.9020350617102</v>
      </c>
      <c r="V34">
        <v>2366.2769014133301</v>
      </c>
      <c r="W34">
        <v>2380.3425620070102</v>
      </c>
      <c r="X34">
        <v>2327.6298087884502</v>
      </c>
      <c r="Y34">
        <v>2295.13235945108</v>
      </c>
      <c r="Z34">
        <v>2282</v>
      </c>
      <c r="AA34">
        <v>2326</v>
      </c>
      <c r="AB34">
        <v>2357.5389830508502</v>
      </c>
      <c r="AC34">
        <v>2432.21216350947</v>
      </c>
      <c r="AD34">
        <v>2486.0096386045602</v>
      </c>
      <c r="AE34">
        <v>2532.8115919337702</v>
      </c>
    </row>
    <row r="35" spans="1:31" x14ac:dyDescent="0.3">
      <c r="A35" t="s">
        <v>313</v>
      </c>
      <c r="B35" t="s">
        <v>188</v>
      </c>
      <c r="C35" t="s">
        <v>0</v>
      </c>
      <c r="D35" t="s">
        <v>189</v>
      </c>
      <c r="E35" t="s">
        <v>123</v>
      </c>
      <c r="F35">
        <v>8572.9423557138907</v>
      </c>
      <c r="G35">
        <v>8919.5230984428308</v>
      </c>
      <c r="H35">
        <v>9364.3730509535599</v>
      </c>
      <c r="I35">
        <v>9857.7468166241597</v>
      </c>
      <c r="J35">
        <v>10509.670258161599</v>
      </c>
      <c r="K35">
        <v>11217.355218779099</v>
      </c>
      <c r="L35">
        <v>11835.446245764801</v>
      </c>
      <c r="M35">
        <v>12226.550826815301</v>
      </c>
      <c r="N35">
        <v>12266.481618601199</v>
      </c>
      <c r="O35">
        <v>11972.321387939301</v>
      </c>
      <c r="P35">
        <v>11809.9085964927</v>
      </c>
      <c r="Q35">
        <v>11484.932239153401</v>
      </c>
      <c r="R35">
        <v>11367.198438649501</v>
      </c>
      <c r="S35">
        <v>11116.894799724199</v>
      </c>
      <c r="T35">
        <v>10693.590955059701</v>
      </c>
      <c r="U35">
        <v>10534.602739230901</v>
      </c>
      <c r="V35">
        <v>10362.884258595501</v>
      </c>
      <c r="W35">
        <v>10246.980113354501</v>
      </c>
      <c r="X35">
        <v>10218.3715339175</v>
      </c>
      <c r="Y35">
        <v>10371.652149051701</v>
      </c>
      <c r="Z35">
        <v>10518</v>
      </c>
      <c r="AA35">
        <v>10562</v>
      </c>
      <c r="AB35">
        <v>10657.3589767704</v>
      </c>
      <c r="AC35">
        <v>11176.9676092803</v>
      </c>
      <c r="AD35">
        <v>11092.220655151699</v>
      </c>
      <c r="AE35">
        <v>11372.198255043</v>
      </c>
    </row>
    <row r="36" spans="1:31" x14ac:dyDescent="0.3">
      <c r="A36" t="s">
        <v>313</v>
      </c>
      <c r="B36" t="s">
        <v>190</v>
      </c>
      <c r="C36" t="s">
        <v>0</v>
      </c>
      <c r="D36" t="s">
        <v>191</v>
      </c>
      <c r="E36" t="s">
        <v>123</v>
      </c>
      <c r="F36">
        <v>2325.28788240004</v>
      </c>
      <c r="G36">
        <v>2339.6859497833302</v>
      </c>
      <c r="H36">
        <v>2443.2882796630302</v>
      </c>
      <c r="I36">
        <v>2519.1934841308698</v>
      </c>
      <c r="J36">
        <v>2489.6221799571699</v>
      </c>
      <c r="K36">
        <v>2510.5082720709102</v>
      </c>
      <c r="L36">
        <v>2544.3974226118198</v>
      </c>
      <c r="M36">
        <v>2492.0973728150698</v>
      </c>
      <c r="N36">
        <v>2451.9022538987001</v>
      </c>
      <c r="O36">
        <v>2409.09126216396</v>
      </c>
      <c r="P36">
        <v>2400.23895831349</v>
      </c>
      <c r="Q36">
        <v>2382.97992111966</v>
      </c>
      <c r="R36">
        <v>2401.09684905519</v>
      </c>
      <c r="S36">
        <v>2364.6274701621401</v>
      </c>
      <c r="T36">
        <v>2360.05593324544</v>
      </c>
      <c r="U36">
        <v>2464.2254642334901</v>
      </c>
      <c r="V36">
        <v>2532.3350035711601</v>
      </c>
      <c r="W36">
        <v>2600.2809597998598</v>
      </c>
      <c r="X36">
        <v>2631.6726816485502</v>
      </c>
      <c r="Y36">
        <v>2516.8062200956902</v>
      </c>
      <c r="Z36">
        <v>2535</v>
      </c>
      <c r="AA36">
        <v>2579</v>
      </c>
      <c r="AB36">
        <v>2680.9832699619801</v>
      </c>
      <c r="AC36">
        <v>2773.7976925787598</v>
      </c>
      <c r="AD36">
        <v>2825.1291097820699</v>
      </c>
      <c r="AE36">
        <v>2836.2699409741099</v>
      </c>
    </row>
    <row r="37" spans="1:31" x14ac:dyDescent="0.3">
      <c r="A37" t="s">
        <v>313</v>
      </c>
      <c r="B37" t="s">
        <v>192</v>
      </c>
      <c r="C37" t="s">
        <v>0</v>
      </c>
      <c r="D37" t="s">
        <v>193</v>
      </c>
      <c r="E37" t="s">
        <v>123</v>
      </c>
      <c r="F37">
        <v>5794.3770361230299</v>
      </c>
      <c r="G37">
        <v>6108.9707388418301</v>
      </c>
      <c r="H37">
        <v>6420.1907262547302</v>
      </c>
      <c r="I37">
        <v>6753.1851927181997</v>
      </c>
      <c r="J37">
        <v>7282.2563893451597</v>
      </c>
      <c r="K37">
        <v>7813.44606956388</v>
      </c>
      <c r="L37">
        <v>8223.3138472993505</v>
      </c>
      <c r="M37">
        <v>8493.2576880176202</v>
      </c>
      <c r="N37">
        <v>8423.2401646913004</v>
      </c>
      <c r="O37">
        <v>8197.4545203635007</v>
      </c>
      <c r="P37">
        <v>7910.7411258225802</v>
      </c>
      <c r="Q37">
        <v>7533.2730339302298</v>
      </c>
      <c r="R37">
        <v>7183.0814888609902</v>
      </c>
      <c r="S37">
        <v>6889.9408649878196</v>
      </c>
      <c r="T37">
        <v>6562.8730912594801</v>
      </c>
      <c r="U37">
        <v>6319.6428509480802</v>
      </c>
      <c r="V37">
        <v>6063.0900322302496</v>
      </c>
      <c r="W37">
        <v>5773.6250306915099</v>
      </c>
      <c r="X37">
        <v>5530.6629855724796</v>
      </c>
      <c r="Y37">
        <v>5266.15735641227</v>
      </c>
      <c r="Z37">
        <v>5063</v>
      </c>
      <c r="AA37">
        <v>4977</v>
      </c>
      <c r="AB37">
        <v>4874.5884607625603</v>
      </c>
      <c r="AC37">
        <v>4817.3448627216103</v>
      </c>
      <c r="AD37">
        <v>4659.0967344218097</v>
      </c>
      <c r="AE37">
        <v>4692.7190819897996</v>
      </c>
    </row>
    <row r="38" spans="1:31" x14ac:dyDescent="0.3">
      <c r="A38" t="s">
        <v>313</v>
      </c>
      <c r="B38" t="s">
        <v>194</v>
      </c>
      <c r="C38" t="s">
        <v>0</v>
      </c>
      <c r="D38" t="s">
        <v>195</v>
      </c>
      <c r="E38" t="s">
        <v>123</v>
      </c>
      <c r="F38">
        <v>561.65023714311099</v>
      </c>
      <c r="G38">
        <v>584.77701161370999</v>
      </c>
      <c r="H38">
        <v>619.04560775742402</v>
      </c>
      <c r="I38">
        <v>696.56473574135896</v>
      </c>
      <c r="J38">
        <v>834.08875258917101</v>
      </c>
      <c r="K38">
        <v>977.27020058131802</v>
      </c>
      <c r="L38">
        <v>1134.89442648153</v>
      </c>
      <c r="M38">
        <v>1291.2376626370601</v>
      </c>
      <c r="N38">
        <v>1421.37993363028</v>
      </c>
      <c r="O38">
        <v>1394.0237841458199</v>
      </c>
      <c r="P38">
        <v>1508.2329616421</v>
      </c>
      <c r="Q38">
        <v>1565.7315789481099</v>
      </c>
      <c r="R38">
        <v>1761.99319747921</v>
      </c>
      <c r="S38">
        <v>1836.6722703453399</v>
      </c>
      <c r="T38">
        <v>1751.3191700022701</v>
      </c>
      <c r="U38">
        <v>1735.5793332437099</v>
      </c>
      <c r="V38">
        <v>1754.5359036310799</v>
      </c>
      <c r="W38">
        <v>1862.82773388487</v>
      </c>
      <c r="X38">
        <v>2050.4432954153699</v>
      </c>
      <c r="Y38">
        <v>2585.8255773871101</v>
      </c>
      <c r="Z38">
        <v>2920</v>
      </c>
      <c r="AA38">
        <v>3006</v>
      </c>
      <c r="AB38">
        <v>3098.7655942219299</v>
      </c>
      <c r="AC38">
        <v>3579.3228254114301</v>
      </c>
      <c r="AD38">
        <v>3599.49614246286</v>
      </c>
      <c r="AE38">
        <v>3833.2662362221899</v>
      </c>
    </row>
    <row r="39" spans="1:31" x14ac:dyDescent="0.3">
      <c r="A39" t="s">
        <v>313</v>
      </c>
      <c r="B39" t="s">
        <v>196</v>
      </c>
      <c r="C39" t="s">
        <v>0</v>
      </c>
      <c r="D39" t="s">
        <v>197</v>
      </c>
      <c r="E39" t="s">
        <v>123</v>
      </c>
      <c r="F39">
        <v>3142.7873985271799</v>
      </c>
      <c r="G39">
        <v>2942.5367404229701</v>
      </c>
      <c r="H39">
        <v>2713.8289347192299</v>
      </c>
      <c r="I39">
        <v>2549.66536967005</v>
      </c>
      <c r="J39">
        <v>2403.2489425008798</v>
      </c>
      <c r="K39">
        <v>2331.8774941316801</v>
      </c>
      <c r="L39">
        <v>2232.4422603725502</v>
      </c>
      <c r="M39">
        <v>2175.89491024174</v>
      </c>
      <c r="N39">
        <v>2030.11831548639</v>
      </c>
      <c r="O39">
        <v>1816.2937652017699</v>
      </c>
      <c r="P39">
        <v>1730.82111742757</v>
      </c>
      <c r="Q39">
        <v>1673.93967225389</v>
      </c>
      <c r="R39">
        <v>1828.6830832517201</v>
      </c>
      <c r="S39">
        <v>1957.10800566496</v>
      </c>
      <c r="T39">
        <v>2040.02730193974</v>
      </c>
      <c r="U39">
        <v>1947.2987882151999</v>
      </c>
      <c r="V39">
        <v>1891.8480689527901</v>
      </c>
      <c r="W39">
        <v>1815.0650582624901</v>
      </c>
      <c r="X39">
        <v>1748.7234456246799</v>
      </c>
      <c r="Y39">
        <v>1774.0966819222001</v>
      </c>
      <c r="Z39">
        <v>1761</v>
      </c>
      <c r="AA39">
        <v>1750</v>
      </c>
      <c r="AB39">
        <v>2126.4076576576599</v>
      </c>
      <c r="AC39">
        <v>2041.8180526205199</v>
      </c>
      <c r="AD39">
        <v>2056.2038068663201</v>
      </c>
      <c r="AE39">
        <v>1954.09619185565</v>
      </c>
    </row>
    <row r="40" spans="1:31" x14ac:dyDescent="0.3">
      <c r="A40" t="s">
        <v>313</v>
      </c>
      <c r="B40" t="s">
        <v>198</v>
      </c>
      <c r="C40" t="s">
        <v>0</v>
      </c>
      <c r="D40" t="s">
        <v>199</v>
      </c>
      <c r="E40" t="s">
        <v>123</v>
      </c>
      <c r="F40">
        <v>233182.66295308399</v>
      </c>
      <c r="G40">
        <v>235864.12111949199</v>
      </c>
      <c r="H40">
        <v>239147.55903747701</v>
      </c>
      <c r="I40">
        <v>244097.52606573299</v>
      </c>
      <c r="J40">
        <v>252729.28881150301</v>
      </c>
      <c r="K40">
        <v>260561.58893098601</v>
      </c>
      <c r="L40">
        <v>267886.21425376501</v>
      </c>
      <c r="M40">
        <v>274070.32968657598</v>
      </c>
      <c r="N40">
        <v>282832.98698234902</v>
      </c>
      <c r="O40">
        <v>290684.61458746099</v>
      </c>
      <c r="P40">
        <v>299575.37910665898</v>
      </c>
      <c r="Q40">
        <v>308825.858784949</v>
      </c>
      <c r="R40">
        <v>319464.08144798398</v>
      </c>
      <c r="S40">
        <v>329041.55149280501</v>
      </c>
      <c r="T40">
        <v>334762.36927949003</v>
      </c>
      <c r="U40">
        <v>342376.61094563198</v>
      </c>
      <c r="V40">
        <v>350935.99823644501</v>
      </c>
      <c r="W40">
        <v>359121.54026478803</v>
      </c>
      <c r="X40">
        <v>365787.73456331599</v>
      </c>
      <c r="Y40">
        <v>370764.62404356699</v>
      </c>
      <c r="Z40">
        <v>376391</v>
      </c>
      <c r="AA40">
        <v>383273</v>
      </c>
      <c r="AB40">
        <v>389847.80053989397</v>
      </c>
      <c r="AC40">
        <v>398182.454816729</v>
      </c>
      <c r="AD40">
        <v>405929.67928120599</v>
      </c>
      <c r="AE40">
        <v>412343.77288468799</v>
      </c>
    </row>
    <row r="41" spans="1:31" x14ac:dyDescent="0.3">
      <c r="A41" t="s">
        <v>313</v>
      </c>
      <c r="B41" t="s">
        <v>200</v>
      </c>
      <c r="C41" t="s">
        <v>0</v>
      </c>
      <c r="D41" t="s">
        <v>201</v>
      </c>
      <c r="E41" t="s">
        <v>123</v>
      </c>
      <c r="F41">
        <v>131444.42523049301</v>
      </c>
      <c r="G41">
        <v>133432.64087075801</v>
      </c>
      <c r="H41">
        <v>136005.45231227999</v>
      </c>
      <c r="I41">
        <v>139436.60740745699</v>
      </c>
      <c r="J41">
        <v>143656.69877099499</v>
      </c>
      <c r="K41">
        <v>148090.858536638</v>
      </c>
      <c r="L41">
        <v>151504.95254112201</v>
      </c>
      <c r="M41">
        <v>154920.82618182799</v>
      </c>
      <c r="N41">
        <v>159263.1463816</v>
      </c>
      <c r="O41">
        <v>164571.43591358</v>
      </c>
      <c r="P41">
        <v>170364.98486097201</v>
      </c>
      <c r="Q41">
        <v>176544.61975721101</v>
      </c>
      <c r="R41">
        <v>182653.66170689699</v>
      </c>
      <c r="S41">
        <v>187510.733366973</v>
      </c>
      <c r="T41">
        <v>191095.209246076</v>
      </c>
      <c r="U41">
        <v>196782.68249230899</v>
      </c>
      <c r="V41">
        <v>202977.65966849899</v>
      </c>
      <c r="W41">
        <v>208741.337850112</v>
      </c>
      <c r="X41">
        <v>213735.900568432</v>
      </c>
      <c r="Y41">
        <v>217972.309870239</v>
      </c>
      <c r="Z41">
        <v>222060</v>
      </c>
      <c r="AA41">
        <v>226986</v>
      </c>
      <c r="AB41">
        <v>232107.57019931599</v>
      </c>
      <c r="AC41">
        <v>237548.831246544</v>
      </c>
      <c r="AD41">
        <v>242394.91694825399</v>
      </c>
      <c r="AE41">
        <v>246597.01781885</v>
      </c>
    </row>
    <row r="42" spans="1:31" x14ac:dyDescent="0.3">
      <c r="A42" t="s">
        <v>313</v>
      </c>
      <c r="B42" t="s">
        <v>202</v>
      </c>
      <c r="C42" t="s">
        <v>0</v>
      </c>
      <c r="D42" t="s">
        <v>203</v>
      </c>
      <c r="E42" t="s">
        <v>123</v>
      </c>
      <c r="F42">
        <v>4926.0142658053401</v>
      </c>
      <c r="G42">
        <v>5071.5151794654903</v>
      </c>
      <c r="H42">
        <v>5281.1081674709503</v>
      </c>
      <c r="I42">
        <v>5501.6757775460101</v>
      </c>
      <c r="J42">
        <v>5767.5901067940704</v>
      </c>
      <c r="K42">
        <v>6020.1194625254702</v>
      </c>
      <c r="L42">
        <v>6174.9638813933198</v>
      </c>
      <c r="M42">
        <v>6433.4119646379504</v>
      </c>
      <c r="N42">
        <v>6528.5606731789703</v>
      </c>
      <c r="O42">
        <v>6642.6963492835002</v>
      </c>
      <c r="P42">
        <v>6717.14261194751</v>
      </c>
      <c r="Q42">
        <v>6776.3966852886397</v>
      </c>
      <c r="R42">
        <v>6947.3438974946503</v>
      </c>
      <c r="S42">
        <v>7027.30817186884</v>
      </c>
      <c r="T42">
        <v>6884.3567947852898</v>
      </c>
      <c r="U42">
        <v>6939.68838773486</v>
      </c>
      <c r="V42">
        <v>7055.6812690962397</v>
      </c>
      <c r="W42">
        <v>7024.4471434965099</v>
      </c>
      <c r="X42">
        <v>6890.9857757708796</v>
      </c>
      <c r="Y42">
        <v>6755.14746123442</v>
      </c>
      <c r="Z42">
        <v>6652</v>
      </c>
      <c r="AA42">
        <v>6496</v>
      </c>
      <c r="AB42">
        <v>6362.1835807331099</v>
      </c>
      <c r="AC42">
        <v>6386.5747154545197</v>
      </c>
      <c r="AD42">
        <v>6585.7322073382102</v>
      </c>
      <c r="AE42">
        <v>6634.5989417533901</v>
      </c>
    </row>
    <row r="43" spans="1:31" x14ac:dyDescent="0.3">
      <c r="A43" t="s">
        <v>313</v>
      </c>
      <c r="B43" t="s">
        <v>204</v>
      </c>
      <c r="C43" t="s">
        <v>0</v>
      </c>
      <c r="D43" t="s">
        <v>205</v>
      </c>
      <c r="E43" t="s">
        <v>123</v>
      </c>
      <c r="F43">
        <v>6068.8850513580701</v>
      </c>
      <c r="G43">
        <v>6361.61595637136</v>
      </c>
      <c r="H43">
        <v>6616.9117903648003</v>
      </c>
      <c r="I43">
        <v>6959.0146093982403</v>
      </c>
      <c r="J43">
        <v>7318.5684725021902</v>
      </c>
      <c r="K43">
        <v>7762.8446468784095</v>
      </c>
      <c r="L43">
        <v>8017.7440233430698</v>
      </c>
      <c r="M43">
        <v>8446.1232446586801</v>
      </c>
      <c r="N43">
        <v>8745.9025774626007</v>
      </c>
      <c r="O43">
        <v>9007.7862507643204</v>
      </c>
      <c r="P43">
        <v>9216.7807423045706</v>
      </c>
      <c r="Q43">
        <v>9539.8183995918607</v>
      </c>
      <c r="R43">
        <v>9918.4012840715895</v>
      </c>
      <c r="S43">
        <v>10280.111013531099</v>
      </c>
      <c r="T43">
        <v>10155.843518395301</v>
      </c>
      <c r="U43">
        <v>10264.3113547554</v>
      </c>
      <c r="V43">
        <v>10473.9876799084</v>
      </c>
      <c r="W43">
        <v>10526.330912576999</v>
      </c>
      <c r="X43">
        <v>10427.035661755801</v>
      </c>
      <c r="Y43">
        <v>10367.0400401405</v>
      </c>
      <c r="Z43">
        <v>10067</v>
      </c>
      <c r="AA43">
        <v>9999</v>
      </c>
      <c r="AB43">
        <v>10014.8008888889</v>
      </c>
      <c r="AC43">
        <v>10180.2296202174</v>
      </c>
      <c r="AD43">
        <v>10527.4037850942</v>
      </c>
      <c r="AE43">
        <v>10621.904716737799</v>
      </c>
    </row>
    <row r="44" spans="1:31" x14ac:dyDescent="0.3">
      <c r="A44" t="s">
        <v>313</v>
      </c>
      <c r="B44" t="s">
        <v>206</v>
      </c>
      <c r="C44" t="s">
        <v>0</v>
      </c>
      <c r="D44" t="s">
        <v>207</v>
      </c>
      <c r="E44" t="s">
        <v>123</v>
      </c>
      <c r="F44">
        <v>179118.66812869499</v>
      </c>
      <c r="G44">
        <v>179834.89419381501</v>
      </c>
      <c r="H44">
        <v>182120.19616063099</v>
      </c>
      <c r="I44">
        <v>185358.980009224</v>
      </c>
      <c r="J44">
        <v>188227.86952441101</v>
      </c>
      <c r="K44">
        <v>190998.752188919</v>
      </c>
      <c r="L44">
        <v>194059.93151929701</v>
      </c>
      <c r="M44">
        <v>195190.041485408</v>
      </c>
      <c r="N44">
        <v>196039.33553853899</v>
      </c>
      <c r="O44">
        <v>196676.69224804</v>
      </c>
      <c r="P44">
        <v>196979.27953322299</v>
      </c>
      <c r="Q44">
        <v>197328.64403463699</v>
      </c>
      <c r="R44">
        <v>200250.853220772</v>
      </c>
      <c r="S44">
        <v>203029.85302090499</v>
      </c>
      <c r="T44">
        <v>202922.94697523399</v>
      </c>
      <c r="U44">
        <v>201576.771356785</v>
      </c>
      <c r="V44">
        <v>200691.70065619901</v>
      </c>
      <c r="W44">
        <v>199505.52023231599</v>
      </c>
      <c r="X44">
        <v>197437.919248839</v>
      </c>
      <c r="Y44">
        <v>196055.57147513001</v>
      </c>
      <c r="Z44">
        <v>194508</v>
      </c>
      <c r="AA44">
        <v>194979</v>
      </c>
      <c r="AB44">
        <v>197232.55857168301</v>
      </c>
      <c r="AC44">
        <v>198019.28128551901</v>
      </c>
      <c r="AD44">
        <v>199943.68364623701</v>
      </c>
      <c r="AE44">
        <v>200752.254739008</v>
      </c>
    </row>
    <row r="45" spans="1:31" x14ac:dyDescent="0.3">
      <c r="A45" t="s">
        <v>313</v>
      </c>
      <c r="B45" t="s">
        <v>208</v>
      </c>
      <c r="C45" t="s">
        <v>0</v>
      </c>
      <c r="D45" t="s">
        <v>209</v>
      </c>
      <c r="E45" t="s">
        <v>123</v>
      </c>
      <c r="F45">
        <v>160752.400900879</v>
      </c>
      <c r="G45">
        <v>161771.984722861</v>
      </c>
      <c r="H45">
        <v>163987.57547897601</v>
      </c>
      <c r="I45">
        <v>167040.82457241099</v>
      </c>
      <c r="J45">
        <v>169638.87695370999</v>
      </c>
      <c r="K45">
        <v>172241.08439143599</v>
      </c>
      <c r="L45">
        <v>175084.26532331901</v>
      </c>
      <c r="M45">
        <v>175954.99510588401</v>
      </c>
      <c r="N45">
        <v>176613.590662175</v>
      </c>
      <c r="O45">
        <v>177184.19277614501</v>
      </c>
      <c r="P45">
        <v>177388.47020921001</v>
      </c>
      <c r="Q45">
        <v>177651.07975065801</v>
      </c>
      <c r="R45">
        <v>180339.89911216099</v>
      </c>
      <c r="S45">
        <v>182983.37744404501</v>
      </c>
      <c r="T45">
        <v>182798.73115743999</v>
      </c>
      <c r="U45">
        <v>181471.97935009401</v>
      </c>
      <c r="V45">
        <v>180559.418958583</v>
      </c>
      <c r="W45">
        <v>179407.63720645499</v>
      </c>
      <c r="X45">
        <v>177294.86457042201</v>
      </c>
      <c r="Y45">
        <v>175883.352299586</v>
      </c>
      <c r="Z45">
        <v>174626</v>
      </c>
      <c r="AA45">
        <v>175352</v>
      </c>
      <c r="AB45">
        <v>177770.45640557801</v>
      </c>
      <c r="AC45">
        <v>178669.928130716</v>
      </c>
      <c r="AD45">
        <v>180677.25057106101</v>
      </c>
      <c r="AE45">
        <v>181605.60025933501</v>
      </c>
    </row>
    <row r="46" spans="1:31" x14ac:dyDescent="0.3">
      <c r="A46" t="s">
        <v>313</v>
      </c>
      <c r="B46" t="s">
        <v>210</v>
      </c>
      <c r="C46" t="s">
        <v>0</v>
      </c>
      <c r="D46" t="s">
        <v>211</v>
      </c>
      <c r="E46" t="s">
        <v>123</v>
      </c>
      <c r="F46">
        <v>1271.80145468466</v>
      </c>
      <c r="G46">
        <v>1407.4602765176901</v>
      </c>
      <c r="H46">
        <v>1459.0155980018501</v>
      </c>
      <c r="I46">
        <v>1577.0055550576501</v>
      </c>
      <c r="J46">
        <v>1673.5313322750101</v>
      </c>
      <c r="K46">
        <v>1855.4907300889399</v>
      </c>
      <c r="L46">
        <v>1952.1938300284301</v>
      </c>
      <c r="M46">
        <v>2115.7404517771201</v>
      </c>
      <c r="N46">
        <v>2300.6436162597602</v>
      </c>
      <c r="O46">
        <v>2437.4932121562501</v>
      </c>
      <c r="P46">
        <v>2561.6966879349102</v>
      </c>
      <c r="Q46">
        <v>2804.0045979142701</v>
      </c>
      <c r="R46">
        <v>3001.06022057875</v>
      </c>
      <c r="S46">
        <v>3263.8112736462999</v>
      </c>
      <c r="T46">
        <v>3277.2638882808601</v>
      </c>
      <c r="U46">
        <v>3329.41640082511</v>
      </c>
      <c r="V46">
        <v>3422.3452512812501</v>
      </c>
      <c r="W46">
        <v>3504.3805707649399</v>
      </c>
      <c r="X46">
        <v>3536.97945979531</v>
      </c>
      <c r="Y46">
        <v>3611.6120460584598</v>
      </c>
      <c r="Z46">
        <v>3415</v>
      </c>
      <c r="AA46">
        <v>3503</v>
      </c>
      <c r="AB46">
        <v>3654.1370990633</v>
      </c>
      <c r="AC46">
        <v>3795.9688355229</v>
      </c>
      <c r="AD46">
        <v>3944.09003721507</v>
      </c>
      <c r="AE46">
        <v>3989.9071528458398</v>
      </c>
    </row>
    <row r="47" spans="1:31" x14ac:dyDescent="0.3">
      <c r="A47" t="s">
        <v>313</v>
      </c>
      <c r="B47" t="s">
        <v>212</v>
      </c>
      <c r="C47" t="s">
        <v>0</v>
      </c>
      <c r="D47" t="s">
        <v>213</v>
      </c>
      <c r="E47" t="s">
        <v>123</v>
      </c>
      <c r="F47">
        <v>59555.566626879903</v>
      </c>
      <c r="G47">
        <v>60068.465443269801</v>
      </c>
      <c r="H47">
        <v>60910.337718377603</v>
      </c>
      <c r="I47">
        <v>62037.671687515103</v>
      </c>
      <c r="J47">
        <v>62989.231120214303</v>
      </c>
      <c r="K47">
        <v>63259.8680038167</v>
      </c>
      <c r="L47">
        <v>63015.638049903799</v>
      </c>
      <c r="M47">
        <v>63520.424986063699</v>
      </c>
      <c r="N47">
        <v>61897.300726251997</v>
      </c>
      <c r="O47">
        <v>62796.7109624367</v>
      </c>
      <c r="P47">
        <v>63708.9266439032</v>
      </c>
      <c r="Q47">
        <v>64000.286373756899</v>
      </c>
      <c r="R47">
        <v>64075.957358963897</v>
      </c>
      <c r="S47">
        <v>64582.057020342399</v>
      </c>
      <c r="T47">
        <v>64997.668376712601</v>
      </c>
      <c r="U47">
        <v>65299.755824571002</v>
      </c>
      <c r="V47">
        <v>65431.972790435902</v>
      </c>
      <c r="W47">
        <v>65924.013655960502</v>
      </c>
      <c r="X47">
        <v>66387.071110325705</v>
      </c>
      <c r="Y47">
        <v>67044.921493678296</v>
      </c>
      <c r="Z47">
        <v>67330</v>
      </c>
      <c r="AA47">
        <v>67675</v>
      </c>
      <c r="AB47">
        <v>68145.295383557794</v>
      </c>
      <c r="AC47">
        <v>68663.465609387204</v>
      </c>
      <c r="AD47">
        <v>68838.220898730098</v>
      </c>
      <c r="AE47">
        <v>69906.473276412697</v>
      </c>
    </row>
    <row r="48" spans="1:31" x14ac:dyDescent="0.3">
      <c r="A48" t="s">
        <v>313</v>
      </c>
      <c r="B48" t="s">
        <v>214</v>
      </c>
      <c r="C48" t="s">
        <v>0</v>
      </c>
      <c r="D48" t="s">
        <v>215</v>
      </c>
      <c r="E48" t="s">
        <v>123</v>
      </c>
      <c r="F48">
        <v>90066.050297071706</v>
      </c>
      <c r="G48">
        <v>91114.920756227497</v>
      </c>
      <c r="H48">
        <v>92752.289163338894</v>
      </c>
      <c r="I48">
        <v>94350.612899797197</v>
      </c>
      <c r="J48">
        <v>93055.063113380107</v>
      </c>
      <c r="K48">
        <v>93790.862391564093</v>
      </c>
      <c r="L48">
        <v>94218.679864950594</v>
      </c>
      <c r="M48">
        <v>95648.776306592801</v>
      </c>
      <c r="N48">
        <v>95045.996811399498</v>
      </c>
      <c r="O48">
        <v>96771.283390864002</v>
      </c>
      <c r="P48">
        <v>98210.7140604827</v>
      </c>
      <c r="Q48">
        <v>99148.774260698498</v>
      </c>
      <c r="R48">
        <v>99978.114953486802</v>
      </c>
      <c r="S48">
        <v>101159.48767017201</v>
      </c>
      <c r="T48">
        <v>102250.397881998</v>
      </c>
      <c r="U48">
        <v>103345.181599366</v>
      </c>
      <c r="V48">
        <v>104256.65116692999</v>
      </c>
      <c r="W48">
        <v>105410.520911265</v>
      </c>
      <c r="X48">
        <v>106501.087146812</v>
      </c>
      <c r="Y48">
        <v>107770.449279084</v>
      </c>
      <c r="Z48">
        <v>108544</v>
      </c>
      <c r="AA48">
        <v>109760</v>
      </c>
      <c r="AB48">
        <v>111196.795688745</v>
      </c>
      <c r="AC48">
        <v>112486.824670054</v>
      </c>
      <c r="AD48">
        <v>113821.709785146</v>
      </c>
      <c r="AE48">
        <v>116181.152892999</v>
      </c>
    </row>
    <row r="49" spans="1:31" x14ac:dyDescent="0.3">
      <c r="A49" t="s">
        <v>313</v>
      </c>
      <c r="B49" t="s">
        <v>216</v>
      </c>
      <c r="C49" t="s">
        <v>0</v>
      </c>
      <c r="D49" t="s">
        <v>217</v>
      </c>
      <c r="E49" t="s">
        <v>123</v>
      </c>
      <c r="F49">
        <v>17768.914319023399</v>
      </c>
      <c r="G49">
        <v>18175.5833418486</v>
      </c>
      <c r="H49">
        <v>18834.540633553501</v>
      </c>
      <c r="I49">
        <v>19230.8917182847</v>
      </c>
      <c r="J49">
        <v>16882.7659035096</v>
      </c>
      <c r="K49">
        <v>17181.291017864802</v>
      </c>
      <c r="L49">
        <v>17623.394280655899</v>
      </c>
      <c r="M49">
        <v>18228.2825952475</v>
      </c>
      <c r="N49">
        <v>18868.479832806501</v>
      </c>
      <c r="O49">
        <v>19445.408129793799</v>
      </c>
      <c r="P49">
        <v>19756.2445458822</v>
      </c>
      <c r="Q49">
        <v>20046.1762626421</v>
      </c>
      <c r="R49">
        <v>20381.456673223202</v>
      </c>
      <c r="S49">
        <v>20657.850108771701</v>
      </c>
      <c r="T49">
        <v>20881.5968710413</v>
      </c>
      <c r="U49">
        <v>21292.4492085327</v>
      </c>
      <c r="V49">
        <v>21711.670712168499</v>
      </c>
      <c r="W49">
        <v>21875.503717892199</v>
      </c>
      <c r="X49">
        <v>21993.873160831201</v>
      </c>
      <c r="Y49">
        <v>22169.393967954798</v>
      </c>
      <c r="Z49">
        <v>22423</v>
      </c>
      <c r="AA49">
        <v>22807</v>
      </c>
      <c r="AB49">
        <v>23162.639890029601</v>
      </c>
      <c r="AC49">
        <v>23451.465218622299</v>
      </c>
      <c r="AD49">
        <v>24012.549799975401</v>
      </c>
      <c r="AE49">
        <v>24655.991141881899</v>
      </c>
    </row>
    <row r="50" spans="1:31" x14ac:dyDescent="0.3">
      <c r="A50" t="s">
        <v>313</v>
      </c>
      <c r="B50" t="s">
        <v>218</v>
      </c>
      <c r="C50" t="s">
        <v>0</v>
      </c>
      <c r="D50" t="s">
        <v>219</v>
      </c>
      <c r="E50" t="s">
        <v>123</v>
      </c>
      <c r="F50">
        <v>12948.884268362501</v>
      </c>
      <c r="G50">
        <v>13079.1782988751</v>
      </c>
      <c r="H50">
        <v>13222.031614379101</v>
      </c>
      <c r="I50">
        <v>13308.1299453136</v>
      </c>
      <c r="J50">
        <v>13410.102449751101</v>
      </c>
      <c r="K50">
        <v>13568.785698161901</v>
      </c>
      <c r="L50">
        <v>13781.005220322801</v>
      </c>
      <c r="M50">
        <v>14077.8962517941</v>
      </c>
      <c r="N50">
        <v>14370.6576880711</v>
      </c>
      <c r="O50">
        <v>14611.3359603835</v>
      </c>
      <c r="P50">
        <v>14828.0215870013</v>
      </c>
      <c r="Q50">
        <v>15162.8286634133</v>
      </c>
      <c r="R50">
        <v>15554.5053980716</v>
      </c>
      <c r="S50">
        <v>15937.3221313575</v>
      </c>
      <c r="T50">
        <v>16372.154350885001</v>
      </c>
      <c r="U50">
        <v>16735.330645767001</v>
      </c>
      <c r="V50">
        <v>17098.2042130183</v>
      </c>
      <c r="W50">
        <v>17602.876316088201</v>
      </c>
      <c r="X50">
        <v>18115.872066592201</v>
      </c>
      <c r="Y50">
        <v>18553.190046456999</v>
      </c>
      <c r="Z50">
        <v>18791</v>
      </c>
      <c r="AA50">
        <v>19278</v>
      </c>
      <c r="AB50">
        <v>19876.147507629699</v>
      </c>
      <c r="AC50">
        <v>20350.821733341701</v>
      </c>
      <c r="AD50">
        <v>20928.320119790998</v>
      </c>
      <c r="AE50">
        <v>21555.064743441799</v>
      </c>
    </row>
    <row r="51" spans="1:31" x14ac:dyDescent="0.3">
      <c r="A51" t="s">
        <v>313</v>
      </c>
      <c r="B51" t="s">
        <v>220</v>
      </c>
      <c r="C51" t="s">
        <v>0</v>
      </c>
      <c r="D51" t="s">
        <v>221</v>
      </c>
      <c r="E51" t="s">
        <v>123</v>
      </c>
      <c r="F51">
        <v>7534.2678892365302</v>
      </c>
      <c r="G51">
        <v>7561.6076695832598</v>
      </c>
      <c r="H51">
        <v>7631.0465768226004</v>
      </c>
      <c r="I51">
        <v>7661.6406925372303</v>
      </c>
      <c r="J51">
        <v>7692.7109405069696</v>
      </c>
      <c r="K51">
        <v>7754.8251590892596</v>
      </c>
      <c r="L51">
        <v>7850.5637413002396</v>
      </c>
      <c r="M51">
        <v>8044.4048213323504</v>
      </c>
      <c r="N51">
        <v>8208.7555748561408</v>
      </c>
      <c r="O51">
        <v>8334.7920492128997</v>
      </c>
      <c r="P51">
        <v>8475.4948914475099</v>
      </c>
      <c r="Q51">
        <v>8713.2582512773697</v>
      </c>
      <c r="R51">
        <v>8917.8860690389301</v>
      </c>
      <c r="S51">
        <v>9091.1540436650703</v>
      </c>
      <c r="T51">
        <v>9346.8073153318001</v>
      </c>
      <c r="U51">
        <v>9543.9445302182794</v>
      </c>
      <c r="V51">
        <v>9759.0473022238893</v>
      </c>
      <c r="W51">
        <v>10086.292912291799</v>
      </c>
      <c r="X51">
        <v>10430.9294169164</v>
      </c>
      <c r="Y51">
        <v>10703.5938512825</v>
      </c>
      <c r="Z51">
        <v>10833</v>
      </c>
      <c r="AA51">
        <v>11148</v>
      </c>
      <c r="AB51">
        <v>11612.377278731799</v>
      </c>
      <c r="AC51">
        <v>12019.174207800501</v>
      </c>
      <c r="AD51">
        <v>12473.618573735401</v>
      </c>
      <c r="AE51">
        <v>12967.517728200301</v>
      </c>
    </row>
    <row r="52" spans="1:31" x14ac:dyDescent="0.3">
      <c r="A52" t="s">
        <v>313</v>
      </c>
      <c r="B52" t="s">
        <v>222</v>
      </c>
      <c r="C52" t="s">
        <v>0</v>
      </c>
      <c r="D52" t="s">
        <v>223</v>
      </c>
      <c r="E52" t="s">
        <v>123</v>
      </c>
      <c r="F52">
        <v>5409.6721291527501</v>
      </c>
      <c r="G52">
        <v>5514.5978839437403</v>
      </c>
      <c r="H52">
        <v>5588.5484302801497</v>
      </c>
      <c r="I52">
        <v>5644.9061004683099</v>
      </c>
      <c r="J52">
        <v>5716.9187010730902</v>
      </c>
      <c r="K52">
        <v>5814.3820008965504</v>
      </c>
      <c r="L52">
        <v>5931.5585665852204</v>
      </c>
      <c r="M52">
        <v>6034.15439060687</v>
      </c>
      <c r="N52">
        <v>6162.6500122126399</v>
      </c>
      <c r="O52">
        <v>6277.58627606154</v>
      </c>
      <c r="P52">
        <v>6353.2198456526403</v>
      </c>
      <c r="Q52">
        <v>6449.4807524049502</v>
      </c>
      <c r="R52">
        <v>6636.7573040969401</v>
      </c>
      <c r="S52">
        <v>6846.4649268360899</v>
      </c>
      <c r="T52">
        <v>7025.6594059680801</v>
      </c>
      <c r="U52">
        <v>7191.7185475689303</v>
      </c>
      <c r="V52">
        <v>7339.4403339514301</v>
      </c>
      <c r="W52">
        <v>7516.6217282692696</v>
      </c>
      <c r="X52">
        <v>7684.94283579886</v>
      </c>
      <c r="Y52">
        <v>7849.59132189707</v>
      </c>
      <c r="Z52">
        <v>7958</v>
      </c>
      <c r="AA52">
        <v>8130</v>
      </c>
      <c r="AB52">
        <v>8264.1131848284203</v>
      </c>
      <c r="AC52">
        <v>8332.6713308484195</v>
      </c>
      <c r="AD52">
        <v>8456.6420857155808</v>
      </c>
      <c r="AE52">
        <v>8590.9581076313298</v>
      </c>
    </row>
    <row r="53" spans="1:31" x14ac:dyDescent="0.3">
      <c r="A53" t="s">
        <v>313</v>
      </c>
      <c r="B53" t="s">
        <v>224</v>
      </c>
      <c r="C53" t="s">
        <v>0</v>
      </c>
      <c r="D53" t="s">
        <v>225</v>
      </c>
      <c r="E53" t="s">
        <v>123</v>
      </c>
      <c r="F53">
        <v>9562.5070663250299</v>
      </c>
      <c r="G53">
        <v>9731.3883973864195</v>
      </c>
      <c r="H53">
        <v>9986.4223112127693</v>
      </c>
      <c r="I53">
        <v>10165.6291908645</v>
      </c>
      <c r="J53">
        <v>10178.045226517501</v>
      </c>
      <c r="K53">
        <v>10325.8994418403</v>
      </c>
      <c r="L53">
        <v>10427.625383337599</v>
      </c>
      <c r="M53">
        <v>10531.301407557101</v>
      </c>
      <c r="N53">
        <v>10719.9462147018</v>
      </c>
      <c r="O53">
        <v>10849.003988164801</v>
      </c>
      <c r="P53">
        <v>10918.8869744765</v>
      </c>
      <c r="Q53">
        <v>11038.6392560022</v>
      </c>
      <c r="R53">
        <v>11184.1059680449</v>
      </c>
      <c r="S53">
        <v>11268.128693084</v>
      </c>
      <c r="T53">
        <v>11323.6209453844</v>
      </c>
      <c r="U53">
        <v>11366.861502693801</v>
      </c>
      <c r="V53">
        <v>11413.225315757099</v>
      </c>
      <c r="W53">
        <v>11515.347566695</v>
      </c>
      <c r="X53">
        <v>11588.5641884543</v>
      </c>
      <c r="Y53">
        <v>11609.5416772878</v>
      </c>
      <c r="Z53">
        <v>11684</v>
      </c>
      <c r="AA53">
        <v>11681</v>
      </c>
      <c r="AB53">
        <v>12054.2331482273</v>
      </c>
      <c r="AC53">
        <v>12367.0021308001</v>
      </c>
      <c r="AD53">
        <v>12644.7324618435</v>
      </c>
      <c r="AE53">
        <v>12841.1643606366</v>
      </c>
    </row>
    <row r="54" spans="1:31" x14ac:dyDescent="0.3">
      <c r="A54" t="s">
        <v>313</v>
      </c>
      <c r="B54" t="s">
        <v>226</v>
      </c>
      <c r="C54" t="s">
        <v>0</v>
      </c>
      <c r="D54" t="s">
        <v>227</v>
      </c>
      <c r="E54" t="s">
        <v>123</v>
      </c>
      <c r="F54">
        <v>12947.2049825984</v>
      </c>
      <c r="G54">
        <v>13120.868091347</v>
      </c>
      <c r="H54">
        <v>13412.477591356799</v>
      </c>
      <c r="I54">
        <v>13664.8712472551</v>
      </c>
      <c r="J54">
        <v>13778.241307381601</v>
      </c>
      <c r="K54">
        <v>13967.0241246202</v>
      </c>
      <c r="L54">
        <v>14105.408370850901</v>
      </c>
      <c r="M54">
        <v>14223.7958986712</v>
      </c>
      <c r="N54">
        <v>14469.701982045701</v>
      </c>
      <c r="O54">
        <v>14673.688382419199</v>
      </c>
      <c r="P54">
        <v>14794.2833823807</v>
      </c>
      <c r="Q54">
        <v>14929.4759451473</v>
      </c>
      <c r="R54">
        <v>15113.599813025899</v>
      </c>
      <c r="S54">
        <v>15264.9937415529</v>
      </c>
      <c r="T54">
        <v>15373.0607433323</v>
      </c>
      <c r="U54">
        <v>15490.714446927001</v>
      </c>
      <c r="V54">
        <v>15566.6061891052</v>
      </c>
      <c r="W54">
        <v>15676.3051790805</v>
      </c>
      <c r="X54">
        <v>15734.3806629754</v>
      </c>
      <c r="Y54">
        <v>15737.380544894</v>
      </c>
      <c r="Z54">
        <v>15809</v>
      </c>
      <c r="AA54">
        <v>15794</v>
      </c>
      <c r="AB54">
        <v>16133.1319186449</v>
      </c>
      <c r="AC54">
        <v>16387.875776390101</v>
      </c>
      <c r="AD54">
        <v>16627.2587358321</v>
      </c>
      <c r="AE54">
        <v>16780.0443545829</v>
      </c>
    </row>
    <row r="55" spans="1:31" x14ac:dyDescent="0.3">
      <c r="A55" t="s">
        <v>313</v>
      </c>
      <c r="B55" t="s">
        <v>228</v>
      </c>
      <c r="C55" t="s">
        <v>0</v>
      </c>
      <c r="D55" t="s">
        <v>229</v>
      </c>
      <c r="E55" t="s">
        <v>123</v>
      </c>
      <c r="F55">
        <v>3386.19262309742</v>
      </c>
      <c r="G55">
        <v>3394.8455855073798</v>
      </c>
      <c r="H55">
        <v>3435.3465128163698</v>
      </c>
      <c r="I55">
        <v>3507.97540315075</v>
      </c>
      <c r="J55">
        <v>3602.36670917931</v>
      </c>
      <c r="K55">
        <v>3644.1449987358201</v>
      </c>
      <c r="L55">
        <v>3680.7827222419601</v>
      </c>
      <c r="M55">
        <v>3696.9483220355901</v>
      </c>
      <c r="N55">
        <v>3754.81141247916</v>
      </c>
      <c r="O55">
        <v>3828.3357412853002</v>
      </c>
      <c r="P55">
        <v>3877.9255824936599</v>
      </c>
      <c r="Q55">
        <v>3894.5486560254699</v>
      </c>
      <c r="R55">
        <v>3933.6551694055302</v>
      </c>
      <c r="S55">
        <v>3999.8125902309298</v>
      </c>
      <c r="T55">
        <v>4051.7717041596302</v>
      </c>
      <c r="U55">
        <v>4124.5331252194401</v>
      </c>
      <c r="V55">
        <v>4153.9396196427197</v>
      </c>
      <c r="W55">
        <v>4161.4203444529803</v>
      </c>
      <c r="X55">
        <v>4146.0532087644497</v>
      </c>
      <c r="Y55">
        <v>4128.0007274490799</v>
      </c>
      <c r="Z55">
        <v>4125</v>
      </c>
      <c r="AA55">
        <v>4113</v>
      </c>
      <c r="AB55">
        <v>4080.4978448275901</v>
      </c>
      <c r="AC55">
        <v>4023.79756860412</v>
      </c>
      <c r="AD55">
        <v>3986.5488061083702</v>
      </c>
      <c r="AE55">
        <v>3944.3773467594801</v>
      </c>
    </row>
    <row r="56" spans="1:31" x14ac:dyDescent="0.3">
      <c r="A56" t="s">
        <v>313</v>
      </c>
      <c r="B56" t="s">
        <v>230</v>
      </c>
      <c r="C56" t="s">
        <v>0</v>
      </c>
      <c r="D56" t="s">
        <v>231</v>
      </c>
      <c r="E56" t="s">
        <v>123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>
        <v>0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</row>
    <row r="57" spans="1:31" x14ac:dyDescent="0.3">
      <c r="A57" t="s">
        <v>313</v>
      </c>
      <c r="B57" t="s">
        <v>232</v>
      </c>
      <c r="C57" t="s">
        <v>0</v>
      </c>
      <c r="D57" t="s">
        <v>233</v>
      </c>
      <c r="E57" t="s">
        <v>123</v>
      </c>
      <c r="F57">
        <v>502220.74946532003</v>
      </c>
      <c r="G57">
        <v>506590.983080226</v>
      </c>
      <c r="H57">
        <v>513778.53330842202</v>
      </c>
      <c r="I57">
        <v>523535.92546725599</v>
      </c>
      <c r="J57">
        <v>533745.65034693398</v>
      </c>
      <c r="K57">
        <v>545075.02942086896</v>
      </c>
      <c r="L57">
        <v>555954.33784589905</v>
      </c>
      <c r="M57">
        <v>564723.09113677102</v>
      </c>
      <c r="N57">
        <v>573792.49868596601</v>
      </c>
      <c r="O57">
        <v>583950.94846201804</v>
      </c>
      <c r="P57">
        <v>594541.50172282895</v>
      </c>
      <c r="Q57">
        <v>605121.59242576396</v>
      </c>
      <c r="R57">
        <v>619587.56013920996</v>
      </c>
      <c r="S57">
        <v>633223.22122227703</v>
      </c>
      <c r="T57">
        <v>640025.04321792605</v>
      </c>
      <c r="U57">
        <v>647429.04302051</v>
      </c>
      <c r="V57">
        <v>655937.94297687605</v>
      </c>
      <c r="W57">
        <v>664027.77434818703</v>
      </c>
      <c r="X57">
        <v>669711.95889971405</v>
      </c>
      <c r="Y57">
        <v>674583.63037322101</v>
      </c>
      <c r="Z57">
        <v>679443</v>
      </c>
      <c r="AA57">
        <v>688012</v>
      </c>
      <c r="AB57">
        <v>698293.23770779197</v>
      </c>
      <c r="AC57">
        <v>708787.92132522096</v>
      </c>
      <c r="AD57">
        <v>719873.12410394999</v>
      </c>
      <c r="AE57">
        <v>729538.65274539206</v>
      </c>
    </row>
    <row r="58" spans="1:31" x14ac:dyDescent="0.3">
      <c r="A58" t="s">
        <v>313</v>
      </c>
      <c r="B58" t="s">
        <v>234</v>
      </c>
      <c r="C58" t="s">
        <v>0</v>
      </c>
      <c r="D58" t="s">
        <v>235</v>
      </c>
      <c r="E58" t="s">
        <v>123</v>
      </c>
      <c r="F58">
        <v>502220.74946532003</v>
      </c>
      <c r="G58">
        <v>506590.983080226</v>
      </c>
      <c r="H58">
        <v>513778.53330842202</v>
      </c>
      <c r="I58">
        <v>523535.92546725599</v>
      </c>
      <c r="J58">
        <v>533745.65034693398</v>
      </c>
      <c r="K58">
        <v>545075.02942086896</v>
      </c>
      <c r="L58">
        <v>555954.33784589905</v>
      </c>
      <c r="M58">
        <v>564723.09113677102</v>
      </c>
      <c r="N58">
        <v>573792.49868596601</v>
      </c>
      <c r="O58">
        <v>583950.94846201804</v>
      </c>
      <c r="P58">
        <v>594541.50172282895</v>
      </c>
      <c r="Q58">
        <v>605121.59242576396</v>
      </c>
      <c r="R58">
        <v>619587.56013920996</v>
      </c>
      <c r="S58">
        <v>633223.22122227703</v>
      </c>
      <c r="T58">
        <v>640025.04321792605</v>
      </c>
      <c r="U58">
        <v>647429.04302051</v>
      </c>
      <c r="V58">
        <v>655937.94297687605</v>
      </c>
      <c r="W58">
        <v>664027.77434818703</v>
      </c>
      <c r="X58">
        <v>669711.95889971405</v>
      </c>
      <c r="Y58">
        <v>674583.63037322101</v>
      </c>
      <c r="Z58">
        <v>679443</v>
      </c>
      <c r="AA58">
        <v>688012</v>
      </c>
      <c r="AB58">
        <v>698293.23770779197</v>
      </c>
      <c r="AC58">
        <v>708787.92132522096</v>
      </c>
      <c r="AD58">
        <v>719873.12410394999</v>
      </c>
      <c r="AE58">
        <v>729538.65274539206</v>
      </c>
    </row>
    <row r="59" spans="1:31" x14ac:dyDescent="0.3">
      <c r="A59" t="s">
        <v>313</v>
      </c>
      <c r="B59" t="s">
        <v>236</v>
      </c>
      <c r="C59" t="s">
        <v>0</v>
      </c>
      <c r="D59" t="s">
        <v>237</v>
      </c>
      <c r="E5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879f2e-7304-4bf2-baf2-63e7f83f3c34}" enabled="0" method="" siteId="{87879f2e-7304-4bf2-baf2-63e7f83f3c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Legend</vt:lpstr>
      <vt:lpstr>I_IT</vt:lpstr>
      <vt:lpstr>I_CT</vt:lpstr>
      <vt:lpstr>I_Soft_DB</vt:lpstr>
      <vt:lpstr>I_TraEq</vt:lpstr>
      <vt:lpstr>I_OMach</vt:lpstr>
      <vt:lpstr>I_OCon</vt:lpstr>
      <vt:lpstr>I_Rstruc</vt:lpstr>
      <vt:lpstr>I_Cult</vt:lpstr>
      <vt:lpstr>I_RD</vt:lpstr>
      <vt:lpstr>I_OIPP</vt:lpstr>
      <vt:lpstr>I_GFCF</vt:lpstr>
      <vt:lpstr>Ipyp_IT</vt:lpstr>
      <vt:lpstr>Ipyp_CT</vt:lpstr>
      <vt:lpstr>Ipyp_Soft_DB</vt:lpstr>
      <vt:lpstr>Ipyp_TraEq</vt:lpstr>
      <vt:lpstr>Ipyp_OMach</vt:lpstr>
      <vt:lpstr>Ipyp_OCon</vt:lpstr>
      <vt:lpstr>Ipyp_Rstruc</vt:lpstr>
      <vt:lpstr>Ipyp_Cult</vt:lpstr>
      <vt:lpstr>Ipyp_RD</vt:lpstr>
      <vt:lpstr>Ipyp_OIPP</vt:lpstr>
      <vt:lpstr>Ipyp_GFCF</vt:lpstr>
      <vt:lpstr>Ip_IT</vt:lpstr>
      <vt:lpstr>Ip_CT</vt:lpstr>
      <vt:lpstr>Ip_Soft_DB</vt:lpstr>
      <vt:lpstr>Ip_TraEq</vt:lpstr>
      <vt:lpstr>Ip_OMach</vt:lpstr>
      <vt:lpstr>Ip_OCon</vt:lpstr>
      <vt:lpstr>Ip_Rstruc</vt:lpstr>
      <vt:lpstr>Ip_Cult</vt:lpstr>
      <vt:lpstr>Ip_RD</vt:lpstr>
      <vt:lpstr>Ip_OIPP</vt:lpstr>
      <vt:lpstr>Ip_GFCF</vt:lpstr>
      <vt:lpstr>K_IT</vt:lpstr>
      <vt:lpstr>K_CT</vt:lpstr>
      <vt:lpstr>K_Soft_DB</vt:lpstr>
      <vt:lpstr>K_TraEq</vt:lpstr>
      <vt:lpstr>K_OMach</vt:lpstr>
      <vt:lpstr>K_OCon</vt:lpstr>
      <vt:lpstr>K_Rstruc</vt:lpstr>
      <vt:lpstr>K_Cult</vt:lpstr>
      <vt:lpstr>K_RD</vt:lpstr>
      <vt:lpstr>K_OIPP</vt:lpstr>
      <vt:lpstr>K_GFCF</vt:lpstr>
      <vt:lpstr>Kpyp_IT</vt:lpstr>
      <vt:lpstr>Kpyp_CT</vt:lpstr>
      <vt:lpstr>Kpyp_Soft_DB</vt:lpstr>
      <vt:lpstr>Kpyp_TraEq</vt:lpstr>
      <vt:lpstr>Kpyp_OMach</vt:lpstr>
      <vt:lpstr>Kpyp_OCon</vt:lpstr>
      <vt:lpstr>Kpyp_Rstruc</vt:lpstr>
      <vt:lpstr>Kpyp_Cult</vt:lpstr>
      <vt:lpstr>Kpyp_RD</vt:lpstr>
      <vt:lpstr>Kpyp_OIPP</vt:lpstr>
      <vt:lpstr>Kpyp_GFCF</vt:lpstr>
      <vt:lpstr>Iq_IT</vt:lpstr>
      <vt:lpstr>Iq_CT</vt:lpstr>
      <vt:lpstr>Iq_Soft_DB</vt:lpstr>
      <vt:lpstr>Iq_TraEq</vt:lpstr>
      <vt:lpstr>Iq_OMach</vt:lpstr>
      <vt:lpstr>Iq_OCon</vt:lpstr>
      <vt:lpstr>Iq_Rstruc</vt:lpstr>
      <vt:lpstr>Iq_Cult</vt:lpstr>
      <vt:lpstr>Iq_RD</vt:lpstr>
      <vt:lpstr>Iq_OIPP</vt:lpstr>
      <vt:lpstr>Iq_GFCF</vt:lpstr>
      <vt:lpstr>Kq_IT</vt:lpstr>
      <vt:lpstr>Kq_CT</vt:lpstr>
      <vt:lpstr>Kq_Soft_DB</vt:lpstr>
      <vt:lpstr>Kq_TraEq</vt:lpstr>
      <vt:lpstr>Kq_OMach</vt:lpstr>
      <vt:lpstr>Kq_OCon</vt:lpstr>
      <vt:lpstr>Kq_Rstruc</vt:lpstr>
      <vt:lpstr>Kq_Cult</vt:lpstr>
      <vt:lpstr>Kq_RD</vt:lpstr>
      <vt:lpstr>Kq_OIPP</vt:lpstr>
      <vt:lpstr>Kq_GFCF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legend</dc:creator>
  <cp:keywords/>
  <dc:description/>
  <cp:lastModifiedBy>Teemu Koskimäki</cp:lastModifiedBy>
  <cp:revision/>
  <dcterms:created xsi:type="dcterms:W3CDTF">2023-05-30T12:36:08Z</dcterms:created>
  <dcterms:modified xsi:type="dcterms:W3CDTF">2026-02-14T08:43:36Z</dcterms:modified>
  <cp:category/>
  <cp:contentStatus/>
</cp:coreProperties>
</file>